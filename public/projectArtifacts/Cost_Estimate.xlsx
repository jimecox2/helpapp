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st Estimate" sheetId="1" state="visible" r:id="rId3"/>
    <sheet name="Raw Data" sheetId="2" state="visible" r:id="rId4"/>
    <sheet name="WBSNew" sheetId="3" state="visible" r:id="rId5"/>
  </sheets>
  <definedNames>
    <definedName function="false" hidden="true" localSheetId="1" name="_xlnm._FilterDatabase" vbProcedure="false">'Raw Data'!$B$1:$I$39</definedName>
    <definedName function="false" hidden="true" localSheetId="2" name="_xlnm._FilterDatabase" vbProcedure="false">WBSNew!$A$1:$H$93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<sst xmlns="http://schemas.openxmlformats.org/spreadsheetml/2006/main" count="771" uniqueCount="361">
  <si>
    <t xml:space="preserve">Rankin Inlet, Arviat &amp; Chesterfield Inlet — NWI Last Mile Wireless System</t>
  </si>
  <si>
    <t xml:space="preserve">Mock Cost Estimate by WBS — 3-Community / 50-Subscriber Solution</t>
  </si>
  <si>
    <t xml:space="preserve">Prepared by: Northern Wireless Inc. (NWI)    |    Reference: NWI-EST-RANKIN-2026 Rev 0    |    Basis: WBSWithEstimatesV1.xlsx + Scope of Supply Summary</t>
  </si>
  <si>
    <t xml:space="preserve">WBS No</t>
  </si>
  <si>
    <t xml:space="preserve">Item</t>
  </si>
  <si>
    <t xml:space="preserve">Unit</t>
  </si>
  <si>
    <t xml:space="preserve">Qty</t>
  </si>
  <si>
    <t xml:space="preserve">Unit Price</t>
  </si>
  <si>
    <t xml:space="preserve">Our Cost Total</t>
  </si>
  <si>
    <t xml:space="preserve">Cust Cost Total</t>
  </si>
  <si>
    <t xml:space="preserve">Profit</t>
  </si>
  <si>
    <t xml:space="preserve">Std. Delivery (Cal. Days)</t>
  </si>
  <si>
    <t xml:space="preserve">Effort (Hrs)</t>
  </si>
  <si>
    <t xml:space="preserve">Notes / Source Mapping</t>
  </si>
  <si>
    <t xml:space="preserve">Engineering &amp; Admin</t>
  </si>
  <si>
    <t xml:space="preserve">E-SVT</t>
  </si>
  <si>
    <t xml:space="preserve">Site visit (2 days)</t>
  </si>
  <si>
    <t xml:space="preserve">Each</t>
  </si>
  <si>
    <t xml:space="preserve">Site study &amp; conceptual design — kickoff site visit</t>
  </si>
  <si>
    <t xml:space="preserve">E-SST</t>
  </si>
  <si>
    <t xml:space="preserve">Site study</t>
  </si>
  <si>
    <t xml:space="preserve">Days</t>
  </si>
  <si>
    <t xml:space="preserve">Site study &amp; conceptual design</t>
  </si>
  <si>
    <t xml:space="preserve">E-SLD</t>
  </si>
  <si>
    <t xml:space="preserve">Site layout drawing</t>
  </si>
  <si>
    <t xml:space="preserve">Layout drawing and BOM</t>
  </si>
  <si>
    <t xml:space="preserve">E-NDD</t>
  </si>
  <si>
    <t xml:space="preserve">Network design and drawing</t>
  </si>
  <si>
    <t xml:space="preserve">Network design and configuration drawings</t>
  </si>
  <si>
    <t xml:space="preserve">E-TMN</t>
  </si>
  <si>
    <t xml:space="preserve">Technical/Training Manual</t>
  </si>
  <si>
    <t xml:space="preserve">Training manual documentation</t>
  </si>
  <si>
    <t xml:space="preserve">E-BDS</t>
  </si>
  <si>
    <t xml:space="preserve">Engineering — Base Station subsystem</t>
  </si>
  <si>
    <t xml:space="preserve">Coordination — base station (Bandwidth Distribution System) engineering</t>
  </si>
  <si>
    <t xml:space="preserve">E-BCS</t>
  </si>
  <si>
    <t xml:space="preserve">Engineering — Wired Network subsystem</t>
  </si>
  <si>
    <t xml:space="preserve">Coordination — wired network / bandwidth control gateway engineering</t>
  </si>
  <si>
    <t xml:space="preserve">E-CPE</t>
  </si>
  <si>
    <t xml:space="preserve">Engineering — Premise Equipment subsystem</t>
  </si>
  <si>
    <t xml:space="preserve">Coordination — CPE configuration template for 50 units</t>
  </si>
  <si>
    <t xml:space="preserve">PM-COORD*</t>
  </si>
  <si>
    <t xml:space="preserve">Project Management &amp; Coordination</t>
  </si>
  <si>
    <t xml:space="preserve">*By analogy at WBS $400/day rate (no dedicated WBS row); oversees engineering-to-startup handoff</t>
  </si>
  <si>
    <t xml:space="preserve">PROC*</t>
  </si>
  <si>
    <t xml:space="preserve">Procurement / Purchasing Support</t>
  </si>
  <si>
    <t xml:space="preserve">*Matches Sample Cost Template 'Procurement time' line (2 days / $800)</t>
  </si>
  <si>
    <t xml:space="preserve">Subtotal — Engineering &amp; Admin</t>
  </si>
  <si>
    <t xml:space="preserve">Base Station</t>
  </si>
  <si>
    <t xml:space="preserve">C-BDS-APC</t>
  </si>
  <si>
    <t xml:space="preserve">Access Point Cabinet</t>
  </si>
  <si>
    <t xml:space="preserve">1 – Access point &amp; cabinet</t>
  </si>
  <si>
    <t xml:space="preserve">C-BDS-WAP</t>
  </si>
  <si>
    <t xml:space="preserve">Wireless Access Point / Radio Card</t>
  </si>
  <si>
    <t xml:space="preserve">2 – Radio Card (AP radio modules)</t>
  </si>
  <si>
    <t xml:space="preserve">C-BDS-ANT</t>
  </si>
  <si>
    <t xml:space="preserve">Omni Antenna</t>
  </si>
  <si>
    <t xml:space="preserve">2 – Antennas/Amplifier (antenna side)</t>
  </si>
  <si>
    <t xml:space="preserve">C-BDS-AMP</t>
  </si>
  <si>
    <t xml:space="preserve">Bi-Directional Amplifier</t>
  </si>
  <si>
    <t xml:space="preserve">2 – Antennas/Amplifier (amplifier side)</t>
  </si>
  <si>
    <t xml:space="preserve">C-BDS-CBL</t>
  </si>
  <si>
    <t xml:space="preserve">Cable Coax</t>
  </si>
  <si>
    <t xml:space="preserve">2 – Cabling and connectors (cable)</t>
  </si>
  <si>
    <t xml:space="preserve">C-BDS-CON</t>
  </si>
  <si>
    <t xml:space="preserve">Connectors</t>
  </si>
  <si>
    <t xml:space="preserve">2 – Cabling and connectors (connectors)</t>
  </si>
  <si>
    <t xml:space="preserve">C-BDS-LGP</t>
  </si>
  <si>
    <t xml:space="preserve">Lightning Protection</t>
  </si>
  <si>
    <t xml:space="preserve">Power outage protection and power conditioning</t>
  </si>
  <si>
    <t xml:space="preserve">C-BDS-POE</t>
  </si>
  <si>
    <t xml:space="preserve">Power Over Ethernet / Conditioning</t>
  </si>
  <si>
    <t xml:space="preserve">C-BRK-ASY</t>
  </si>
  <si>
    <t xml:space="preserve">Mast Mounting Bracket Assembly</t>
  </si>
  <si>
    <t xml:space="preserve">Exclusions: NWI supplies bracket to mount antennas to mast (no full tower in this scope)</t>
  </si>
  <si>
    <t xml:space="preserve">I-BDS</t>
  </si>
  <si>
    <t xml:space="preserve">Install — Base Station</t>
  </si>
  <si>
    <t xml:space="preserve">Installation of equipment (base station)</t>
  </si>
  <si>
    <t xml:space="preserve">S-BDS</t>
  </si>
  <si>
    <t xml:space="preserve">Startup — Base Station</t>
  </si>
  <si>
    <t xml:space="preserve">On-the-ground / installed on-site testing (base station)</t>
  </si>
  <si>
    <t xml:space="preserve">Subtotal — Base Station</t>
  </si>
  <si>
    <t xml:space="preserve">Wired Network</t>
  </si>
  <si>
    <t xml:space="preserve">C-BCS-CHW</t>
  </si>
  <si>
    <t xml:space="preserve">Bandwidth Control Gateway — Hardware</t>
  </si>
  <si>
    <t xml:space="preserve">Bandwidth control gateway</t>
  </si>
  <si>
    <t xml:space="preserve">C-BCS-CSW</t>
  </si>
  <si>
    <t xml:space="preserve">Bandwidth Control Gateway — Software</t>
  </si>
  <si>
    <t xml:space="preserve">C-BCS-CBL</t>
  </si>
  <si>
    <t xml:space="preserve">Cable — Wired Network</t>
  </si>
  <si>
    <t xml:space="preserve">Wired network cabling</t>
  </si>
  <si>
    <t xml:space="preserve">C-BSS-RTR</t>
  </si>
  <si>
    <t xml:space="preserve">Router / Main Hub-Switch</t>
  </si>
  <si>
    <t xml:space="preserve">Main Hub/switch</t>
  </si>
  <si>
    <t xml:space="preserve">C-BCS-LGP*</t>
  </si>
  <si>
    <t xml:space="preserve">Power Outage Protection &amp; Conditioning</t>
  </si>
  <si>
    <t xml:space="preserve">*Wired network side; cost by analogy to C-BDS-LGP (no dedicated WBS row)</t>
  </si>
  <si>
    <t xml:space="preserve">I-BCS</t>
  </si>
  <si>
    <t xml:space="preserve">Install — Wired Network</t>
  </si>
  <si>
    <t xml:space="preserve">Installation of equipment / configuration (wired network)</t>
  </si>
  <si>
    <t xml:space="preserve">S-BCS</t>
  </si>
  <si>
    <t xml:space="preserve">Startup — Wired Network</t>
  </si>
  <si>
    <t xml:space="preserve">On-the-ground / installed on-site testing (wired network)</t>
  </si>
  <si>
    <t xml:space="preserve">Subtotal — Wired Network</t>
  </si>
  <si>
    <t xml:space="preserve">Premise Equipment (Qty 50 Subscribers)</t>
  </si>
  <si>
    <t xml:space="preserve">C-CPE-CWD</t>
  </si>
  <si>
    <t xml:space="preserve">Modem/Radio (Wireless Device)</t>
  </si>
  <si>
    <t xml:space="preserve">50 – Modem/Radio</t>
  </si>
  <si>
    <t xml:space="preserve">C-CPE-ANT</t>
  </si>
  <si>
    <t xml:space="preserve">Patch Antenna</t>
  </si>
  <si>
    <t xml:space="preserve">50 – Patch Antenna</t>
  </si>
  <si>
    <t xml:space="preserve">C-CPE-CBL</t>
  </si>
  <si>
    <t xml:space="preserve">RF Cable with Connectors</t>
  </si>
  <si>
    <t xml:space="preserve">50 – RF Cable with Connectors</t>
  </si>
  <si>
    <t xml:space="preserve">C-CPE-BRK</t>
  </si>
  <si>
    <t xml:space="preserve">Mounting Bracket</t>
  </si>
  <si>
    <t xml:space="preserve">Premise antenna mounting hardware</t>
  </si>
  <si>
    <t xml:space="preserve">CPE-ETH*</t>
  </si>
  <si>
    <t xml:space="preserve">Ethernet Cable &amp; RJ45 Connectors</t>
  </si>
  <si>
    <t xml:space="preserve">*50 – Ethernet cable and RJ45 connectors; estimated by analogy (no dedicated WBS row)</t>
  </si>
  <si>
    <t xml:space="preserve">I-CPE</t>
  </si>
  <si>
    <t xml:space="preserve">Install — Premise Equipment</t>
  </si>
  <si>
    <t xml:space="preserve">Installation of equipment (premise); duration is crew-adjusted (2-person crew, ~5 installs/day) — NOT a simple x50 of the WBS per-unit day figure; effort hours (300 = 6 hrs x 50) do scale linearly</t>
  </si>
  <si>
    <t xml:space="preserve">S-CPE</t>
  </si>
  <si>
    <t xml:space="preserve">Startup — Premise Equipment (batch commissioning)</t>
  </si>
  <si>
    <t xml:space="preserve">Installed on-site testing across all 50 premises (single batch commissioning task)</t>
  </si>
  <si>
    <t xml:space="preserve">Subtotal — Premise Equipment</t>
  </si>
  <si>
    <t xml:space="preserve">Installation &amp; Commissioning — Supporting Items</t>
  </si>
  <si>
    <t xml:space="preserve">SFTY-EQP*</t>
  </si>
  <si>
    <t xml:space="preserve">Safety Climbing Equipment (rental/consumables)</t>
  </si>
  <si>
    <t xml:space="preserve">*Safety climbing equipment; estimated by analogy (no dedicated WBS row)</t>
  </si>
  <si>
    <t xml:space="preserve">TOOLS-INS*</t>
  </si>
  <si>
    <t xml:space="preserve">Installation Tools &amp; Consumables</t>
  </si>
  <si>
    <t xml:space="preserve">*Tools for installation; estimated by analogy (no dedicated WBS row)</t>
  </si>
  <si>
    <t xml:space="preserve">Subtotal — Installation &amp; Commissioning (Supporting Items)</t>
  </si>
  <si>
    <t xml:space="preserve">Note: per-subsystem install/startup ('installation of equipment', 'on-the-ground / installed on-site testing') costs are itemized within Base Station, Wired Network and Premise Equipment above.</t>
  </si>
  <si>
    <t xml:space="preserve">Training</t>
  </si>
  <si>
    <t xml:space="preserve">TRN-OJT</t>
  </si>
  <si>
    <t xml:space="preserve">On-Site Training (customer personnel, 4-hr course)</t>
  </si>
  <si>
    <t xml:space="preserve">One-time local training course, 4 hours (Scope of Supply — Support Details). Training manual costed under Engineering (E-TMN)</t>
  </si>
  <si>
    <t xml:space="preserve">Subtotal — Training</t>
  </si>
  <si>
    <t xml:space="preserve">Support (2-Month Included Period)</t>
  </si>
  <si>
    <t xml:space="preserve">T-WAP</t>
  </si>
  <si>
    <t xml:space="preserve">Support — Wireless Access Point</t>
  </si>
  <si>
    <t xml:space="preserve">24/7 technical support</t>
  </si>
  <si>
    <t xml:space="preserve">T-BCU</t>
  </si>
  <si>
    <t xml:space="preserve">Support — Bandwidth Control Unit</t>
  </si>
  <si>
    <t xml:space="preserve">T-CSW</t>
  </si>
  <si>
    <t xml:space="preserve">Support — Computer Software</t>
  </si>
  <si>
    <t xml:space="preserve">T-RTR</t>
  </si>
  <si>
    <t xml:space="preserve">Support — Router</t>
  </si>
  <si>
    <t xml:space="preserve">T-CWD</t>
  </si>
  <si>
    <t xml:space="preserve">Support — Customer Wireless Device (fleet)</t>
  </si>
  <si>
    <t xml:space="preserve">T-SPT</t>
  </si>
  <si>
    <t xml:space="preserve">Support — General (24/7 coordination + telephone support)</t>
  </si>
  <si>
    <t xml:space="preserve">Two months telephone support and remote administration included</t>
  </si>
  <si>
    <t xml:space="preserve">Subtotal — Support (2-Month Included Period)</t>
  </si>
  <si>
    <t xml:space="preserve">TOTAL — SUPPLY, INSTALL &amp; COMMISSION</t>
  </si>
  <si>
    <t xml:space="preserve">Assumptions &amp; Methodology</t>
  </si>
  <si>
    <t xml:space="preserve">•  Source data: costs, unit prices and standard delivery spans are drawn from WBSWithEstimatesV1.xlsx (internal $400/day = $50/hr labor rate); quantities are drawn from ScopeOfSupplySummary-nwi-last-mile-system.md.</t>
  </si>
  <si>
    <t xml:space="preserve">•  Lines marked with * have no directly corresponding WBS row and are estimated by analogy to the nearest comparable WBS item, consistent with the source workbook's own Assumptions tab methodology.</t>
  </si>
  <si>
    <t xml:space="preserve">•  Component (hardware/software) 'Std. Delivery' is vendor lead time for the order as a whole and is NOT multiplied by quantity (bulk ordering 2 or 50 units does not take proportionally longer).</t>
  </si>
  <si>
    <t xml:space="preserve">•  Installation labor (I-CPE) hours DO scale with quantity (6 hrs/unit x 50 = 300 hrs total labor), but the calendar-day duration is crew-adjusted (assumes a 2-person install crew averaging ~5 premises/day) rather than a literal x50 of the single-unit WBS day figure.</t>
  </si>
  <si>
    <t xml:space="preserve">•  Startup/commissioning (S-*) rows represent a single batch verification task per subsystem, not a per-unit cost, and are held at Qty 1.</t>
  </si>
  <si>
    <t xml:space="preserve">•  Cust Cost Total = Our Cost Total x 1.30 (30% standard NWI markup); Profit = Cust Cost Total - Our Cost Total. Adjust the markup assumption in column H formulas as needed for a firm quote.</t>
  </si>
  <si>
    <t xml:space="preserve">•  Excludes: emergency backup power, firewalls, ISP services, spares, full tower/mast structure (bracket-mount only), NIC, and client VPN/encryption configuration — per Scope of Supply Summary Exclusions.</t>
  </si>
  <si>
    <t xml:space="preserve">•  Figures are mock/ballpark planning estimates only and should be validated against current vendor quotes and labor rates before use in a firm customer quote.</t>
  </si>
  <si>
    <t xml:space="preserve">TBID</t>
  </si>
  <si>
    <t xml:space="preserve">tbMDWBS</t>
  </si>
  <si>
    <t xml:space="preserve">tbMDPhase</t>
  </si>
  <si>
    <t xml:space="preserve">Sub-Project or WorkPackage</t>
  </si>
  <si>
    <t xml:space="preserve">tbName</t>
  </si>
  <si>
    <t xml:space="preserve">tbBudget</t>
  </si>
  <si>
    <t xml:space="preserve">tbDuration</t>
  </si>
  <si>
    <t xml:space="preserve">tbWork</t>
  </si>
  <si>
    <t xml:space="preserve">tbMDNotes</t>
  </si>
  <si>
    <t xml:space="preserve">Equipment Procurement</t>
  </si>
  <si>
    <t xml:space="preserve">Engineerring</t>
  </si>
  <si>
    <t xml:space="preserve">Installation</t>
  </si>
  <si>
    <t xml:space="preserve">Startup</t>
  </si>
  <si>
    <t xml:space="preserve">Support</t>
  </si>
  <si>
    <t xml:space="preserve">L1</t>
  </si>
  <si>
    <t xml:space="preserve">L2</t>
  </si>
  <si>
    <t xml:space="preserve">L3</t>
  </si>
  <si>
    <t xml:space="preserve">WBSTitle</t>
  </si>
  <si>
    <t xml:space="preserve">Standard Cost</t>
  </si>
  <si>
    <t xml:space="preserve">Standard Delivery in Calendar Days</t>
  </si>
  <si>
    <t xml:space="preserve">Effort/Hours</t>
  </si>
  <si>
    <t xml:space="preserve">C</t>
  </si>
  <si>
    <t xml:space="preserve">Components</t>
  </si>
  <si>
    <t xml:space="preserve">BBS</t>
  </si>
  <si>
    <t xml:space="preserve">C-BBS</t>
  </si>
  <si>
    <t xml:space="preserve">Bandwidth Backhaul System</t>
  </si>
  <si>
    <t xml:space="preserve">ANT</t>
  </si>
  <si>
    <t xml:space="preserve">C-BBS-ANT</t>
  </si>
  <si>
    <t xml:space="preserve">Antenna - Bandwidth Backhaul System</t>
  </si>
  <si>
    <t xml:space="preserve">CBL</t>
  </si>
  <si>
    <t xml:space="preserve">C-BBS-CBL</t>
  </si>
  <si>
    <t xml:space="preserve">Cable Coax - Bandwidth Backhaul System</t>
  </si>
  <si>
    <t xml:space="preserve">CON</t>
  </si>
  <si>
    <t xml:space="preserve">C-BBS-CON</t>
  </si>
  <si>
    <t xml:space="preserve">Connectors - Bandwidth Backhaul System</t>
  </si>
  <si>
    <t xml:space="preserve">BCS</t>
  </si>
  <si>
    <t xml:space="preserve">C-BCS</t>
  </si>
  <si>
    <t xml:space="preserve">Bandwidth Control System</t>
  </si>
  <si>
    <t xml:space="preserve">Cables - Bandwidth Control System</t>
  </si>
  <si>
    <t xml:space="preserve">CHW</t>
  </si>
  <si>
    <t xml:space="preserve">Computer Hardware - Bandwidth Control System</t>
  </si>
  <si>
    <t xml:space="preserve">CSW</t>
  </si>
  <si>
    <t xml:space="preserve">Computer SW - Bandwidth Control System</t>
  </si>
  <si>
    <t xml:space="preserve">BDS</t>
  </si>
  <si>
    <t xml:space="preserve">C-BDS</t>
  </si>
  <si>
    <t xml:space="preserve">Bandwidth Distrubution System</t>
  </si>
  <si>
    <t xml:space="preserve">AMP</t>
  </si>
  <si>
    <t xml:space="preserve">Amplifier - Bandwidth Distrubution System</t>
  </si>
  <si>
    <t xml:space="preserve">Antenna - Bandwidth Distrubution System</t>
  </si>
  <si>
    <t xml:space="preserve">APC</t>
  </si>
  <si>
    <t xml:space="preserve">Access Point Cabinet - Bandwidth Distrubution System</t>
  </si>
  <si>
    <t xml:space="preserve">Cable - Bandwidth Distrubution System</t>
  </si>
  <si>
    <t xml:space="preserve">Connectors - Bandwidth Distrubution System</t>
  </si>
  <si>
    <t xml:space="preserve">LGP</t>
  </si>
  <si>
    <t xml:space="preserve">Lightning Protectors - Bandwidth Distrubution System</t>
  </si>
  <si>
    <t xml:space="preserve">POE</t>
  </si>
  <si>
    <t xml:space="preserve">Power Over Ethernet - Bandwidth Distrubution System</t>
  </si>
  <si>
    <t xml:space="preserve">WAP</t>
  </si>
  <si>
    <t xml:space="preserve">Wireless Access Point - Bandwidth Distrubution System</t>
  </si>
  <si>
    <t xml:space="preserve">BSS</t>
  </si>
  <si>
    <t xml:space="preserve">C-BSS</t>
  </si>
  <si>
    <t xml:space="preserve">Bandwidth Supply system</t>
  </si>
  <si>
    <t xml:space="preserve">C-BSS-CBL</t>
  </si>
  <si>
    <t xml:space="preserve">Cable - Bandwidth Supply system</t>
  </si>
  <si>
    <t xml:space="preserve">EQB</t>
  </si>
  <si>
    <t xml:space="preserve">C-BSS-EQB</t>
  </si>
  <si>
    <t xml:space="preserve">Equipment Building - Bandwidth Supply System</t>
  </si>
  <si>
    <t xml:space="preserve">RTR</t>
  </si>
  <si>
    <t xml:space="preserve">Router - Bandwidth Supply system</t>
  </si>
  <si>
    <t xml:space="preserve">CPE</t>
  </si>
  <si>
    <t xml:space="preserve">C-CPE</t>
  </si>
  <si>
    <t xml:space="preserve">Customer Premise Equipment</t>
  </si>
  <si>
    <t xml:space="preserve">Antenna - Customer Premise Equipment</t>
  </si>
  <si>
    <t xml:space="preserve">BRK</t>
  </si>
  <si>
    <t xml:space="preserve">Brackets - Customer Premise Equipment</t>
  </si>
  <si>
    <t xml:space="preserve">Cable - Customer Premise Equipment</t>
  </si>
  <si>
    <t xml:space="preserve">CWD</t>
  </si>
  <si>
    <t xml:space="preserve">Wireless Device - Customer Premise Equipment</t>
  </si>
  <si>
    <t xml:space="preserve">NSS</t>
  </si>
  <si>
    <t xml:space="preserve">C-NSS</t>
  </si>
  <si>
    <t xml:space="preserve">Network Server System</t>
  </si>
  <si>
    <t xml:space="preserve">C-NSS-CHW</t>
  </si>
  <si>
    <t xml:space="preserve">Computer Hardware - Network Server System</t>
  </si>
  <si>
    <t xml:space="preserve">C-NSS-CSW</t>
  </si>
  <si>
    <t xml:space="preserve">Computer Software - Network Server System</t>
  </si>
  <si>
    <t xml:space="preserve">TWR</t>
  </si>
  <si>
    <t xml:space="preserve">C-TWR</t>
  </si>
  <si>
    <t xml:space="preserve">Tower System</t>
  </si>
  <si>
    <t xml:space="preserve">FRM</t>
  </si>
  <si>
    <t xml:space="preserve">C-TWR-FRM</t>
  </si>
  <si>
    <t xml:space="preserve">Tower Frame - Tower System</t>
  </si>
  <si>
    <t xml:space="preserve">BLD</t>
  </si>
  <si>
    <t xml:space="preserve">C-TWR-BLD</t>
  </si>
  <si>
    <t xml:space="preserve">Building - Tower System</t>
  </si>
  <si>
    <t xml:space="preserve">C-TWR-BRK</t>
  </si>
  <si>
    <t xml:space="preserve">Brackets - Tower System</t>
  </si>
  <si>
    <t xml:space="preserve">FDN</t>
  </si>
  <si>
    <t xml:space="preserve">C-TWR-FDN</t>
  </si>
  <si>
    <t xml:space="preserve">Foundaton - Tower System</t>
  </si>
  <si>
    <t xml:space="preserve">FEN</t>
  </si>
  <si>
    <t xml:space="preserve">C-TWR-FEN</t>
  </si>
  <si>
    <t xml:space="preserve">Fence - Tower System</t>
  </si>
  <si>
    <t xml:space="preserve">UCS</t>
  </si>
  <si>
    <t xml:space="preserve">C-UCS</t>
  </si>
  <si>
    <t xml:space="preserve">Unified Communication System</t>
  </si>
  <si>
    <t xml:space="preserve">C-UCS-CBL</t>
  </si>
  <si>
    <t xml:space="preserve">Cable - Unified Communication System</t>
  </si>
  <si>
    <t xml:space="preserve">C-UCS-CHW</t>
  </si>
  <si>
    <t xml:space="preserve">Computer Hardware - Unified Communication System</t>
  </si>
  <si>
    <t xml:space="preserve">C-UCS-CSW</t>
  </si>
  <si>
    <t xml:space="preserve">Computer SW - Unified Communication System</t>
  </si>
  <si>
    <t xml:space="preserve">PBX</t>
  </si>
  <si>
    <t xml:space="preserve">C-UCS-PBX</t>
  </si>
  <si>
    <t xml:space="preserve">Private Branch Exchange - Unified Communication System</t>
  </si>
  <si>
    <t xml:space="preserve">C-UCS-RTR</t>
  </si>
  <si>
    <t xml:space="preserve">Router - Unified Communication System</t>
  </si>
  <si>
    <t xml:space="preserve">SIP</t>
  </si>
  <si>
    <t xml:space="preserve">C-UCS-SIP</t>
  </si>
  <si>
    <t xml:space="preserve">SIP Trunk - Unified Communication System</t>
  </si>
  <si>
    <t xml:space="preserve">SPH</t>
  </si>
  <si>
    <t xml:space="preserve">C-UCS-SPH</t>
  </si>
  <si>
    <t xml:space="preserve">Smart Phone - Unified Communication System</t>
  </si>
  <si>
    <t xml:space="preserve">ASY</t>
  </si>
  <si>
    <t xml:space="preserve">Assembly - Brackets</t>
  </si>
  <si>
    <t xml:space="preserve">CAB</t>
  </si>
  <si>
    <t xml:space="preserve">C-CAB-ASY</t>
  </si>
  <si>
    <t xml:space="preserve">Assembly - Cabinet</t>
  </si>
  <si>
    <t xml:space="preserve">C-CBL-ASY</t>
  </si>
  <si>
    <t xml:space="preserve">Assembly - Coax Cable</t>
  </si>
  <si>
    <t xml:space="preserve">E</t>
  </si>
  <si>
    <t xml:space="preserve">Engineering</t>
  </si>
  <si>
    <t xml:space="preserve">ENG</t>
  </si>
  <si>
    <t xml:space="preserve">E-BBS</t>
  </si>
  <si>
    <t xml:space="preserve">Engineering Bandwidth Backhaul System</t>
  </si>
  <si>
    <t xml:space="preserve">Engineering - Bandwidth Control System</t>
  </si>
  <si>
    <t xml:space="preserve">Engineering - Bandwidth Distrubution System</t>
  </si>
  <si>
    <t xml:space="preserve">E-BSS</t>
  </si>
  <si>
    <t xml:space="preserve">Engineering - Bandwidth Supply system</t>
  </si>
  <si>
    <t xml:space="preserve">Engineering - Customer Premise Equipment</t>
  </si>
  <si>
    <t xml:space="preserve">E-NSS</t>
  </si>
  <si>
    <t xml:space="preserve">Engineering - Network Server System</t>
  </si>
  <si>
    <t xml:space="preserve">E-TWR</t>
  </si>
  <si>
    <t xml:space="preserve">Engineering - Tower System</t>
  </si>
  <si>
    <t xml:space="preserve">E-UCS</t>
  </si>
  <si>
    <t xml:space="preserve">Engineering - Unified Communication System</t>
  </si>
  <si>
    <t xml:space="preserve">Site visit 2 days</t>
  </si>
  <si>
    <t xml:space="preserve">Technical Manual</t>
  </si>
  <si>
    <t xml:space="preserve">I</t>
  </si>
  <si>
    <t xml:space="preserve">INS</t>
  </si>
  <si>
    <t xml:space="preserve">I-BBS</t>
  </si>
  <si>
    <t xml:space="preserve">Install - Bandwidth Backhaul System</t>
  </si>
  <si>
    <t xml:space="preserve">Install - Bandwidth Control System</t>
  </si>
  <si>
    <t xml:space="preserve">Install - Bandwidth Distrubution System</t>
  </si>
  <si>
    <t xml:space="preserve">I-BSS</t>
  </si>
  <si>
    <t xml:space="preserve">Install - Bandwidth Supply System</t>
  </si>
  <si>
    <t xml:space="preserve">Install - Customer Premise Equipment</t>
  </si>
  <si>
    <t xml:space="preserve">I-NSS</t>
  </si>
  <si>
    <t xml:space="preserve">Install - Network Server System</t>
  </si>
  <si>
    <t xml:space="preserve">I-TWR</t>
  </si>
  <si>
    <t xml:space="preserve">Install - Tower System</t>
  </si>
  <si>
    <t xml:space="preserve">I-UCS</t>
  </si>
  <si>
    <t xml:space="preserve">Install - Unified Communication System</t>
  </si>
  <si>
    <t xml:space="preserve">S</t>
  </si>
  <si>
    <t xml:space="preserve">Start-up</t>
  </si>
  <si>
    <t xml:space="preserve">STP</t>
  </si>
  <si>
    <t xml:space="preserve">S-BBS</t>
  </si>
  <si>
    <t xml:space="preserve">Startup - Bandwidth Backhaul System</t>
  </si>
  <si>
    <t xml:space="preserve">Startup - Bandwidth Control System</t>
  </si>
  <si>
    <t xml:space="preserve">Startup - Bandwidth Distrubution System</t>
  </si>
  <si>
    <t xml:space="preserve">S-BSS</t>
  </si>
  <si>
    <t xml:space="preserve">Startup - Bandwidth Supply system</t>
  </si>
  <si>
    <t xml:space="preserve">Startup - Customer Premise Equipment</t>
  </si>
  <si>
    <t xml:space="preserve">S-NSS</t>
  </si>
  <si>
    <t xml:space="preserve">Startup - Network Server System</t>
  </si>
  <si>
    <t xml:space="preserve">S-TWR</t>
  </si>
  <si>
    <t xml:space="preserve">Startup - Tower System</t>
  </si>
  <si>
    <t xml:space="preserve">S-UCS</t>
  </si>
  <si>
    <t xml:space="preserve">Startup - Unified Communication System</t>
  </si>
  <si>
    <t xml:space="preserve">T</t>
  </si>
  <si>
    <t xml:space="preserve">Toubleshooting</t>
  </si>
  <si>
    <t xml:space="preserve">BCU</t>
  </si>
  <si>
    <t xml:space="preserve">Bandwidth Control Unit</t>
  </si>
  <si>
    <t xml:space="preserve">SPT</t>
  </si>
  <si>
    <t xml:space="preserve">Support - Bandwidth Control Unit</t>
  </si>
  <si>
    <t xml:space="preserve">Computer Software</t>
  </si>
  <si>
    <t xml:space="preserve">Support - Computer Software</t>
  </si>
  <si>
    <t xml:space="preserve">Customer Wireless Device</t>
  </si>
  <si>
    <t xml:space="preserve">Support - Customer Wireless Device</t>
  </si>
  <si>
    <t xml:space="preserve">Router</t>
  </si>
  <si>
    <t xml:space="preserve">Support - Router</t>
  </si>
  <si>
    <t xml:space="preserve">General Support</t>
  </si>
  <si>
    <t xml:space="preserve">Support - General Support</t>
  </si>
  <si>
    <t xml:space="preserve">Wireless Access Point</t>
  </si>
  <si>
    <t xml:space="preserve">Support - Wireless Access Point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</si>
</sst>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\$#,##0"/>
    <numFmt numFmtId="168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62F57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8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062F57"/>
      <name val="Cambria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62F57"/>
        <bgColor rgb="FF003300"/>
      </patternFill>
    </fill>
    <fill>
      <patternFill patternType="solid">
        <fgColor rgb="FFE8EEF5"/>
        <bgColor rgb="FFF3F3F3"/>
      </patternFill>
    </fill>
    <fill>
      <patternFill patternType="solid">
        <fgColor rgb="FFF3F3F3"/>
        <bgColor rgb="FFE8EEF5"/>
      </patternFill>
    </fill>
    <fill>
      <patternFill patternType="solid">
        <fgColor rgb="FFDCEFE0"/>
        <bgColor rgb="FFE8EEF5"/>
      </patternFill>
    </fill>
    <fill>
      <patternFill patternType="solid">
        <fgColor rgb="FF1F4E78"/>
        <bgColor rgb="FF062F5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62F57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1121" row="3">
    <wetp:webextensionref xmlns:r="http://schemas.openxmlformats.org/officeDocument/2006/relationships" r:id="rId1"/>
  </wetp:taskpane>
</wetp:taskpane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83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1328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2" min="12" style="0" width="52"/>
  </cols>
  <sheetData>
    <row r="1" customFormat="false" ht="6" hidden="false" customHeight="true" outlineLevel="0" collapsed="false"/>
    <row r="2" customFormat="false" ht="17.25" hidden="false" customHeight="false" outlineLevel="0" collapsed="false">
      <c r="B2" s="1" t="s">
        <v>0</v>
      </c>
    </row>
    <row r="3" customFormat="false" ht="14.25" hidden="false" customHeight="false" outlineLevel="0" collapsed="false">
      <c r="B3" s="2" t="s">
        <v>1</v>
      </c>
    </row>
    <row r="4" customFormat="false" ht="14.25" hidden="false" customHeight="false" outlineLevel="0" collapsed="false">
      <c r="B4" s="3" t="s">
        <v>2</v>
      </c>
    </row>
    <row r="6" customFormat="false" ht="40.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</row>
    <row r="7" customFormat="false" ht="14.25" hidden="false" customHeight="false" outlineLevel="0" collapsed="false">
      <c r="B7" s="5"/>
      <c r="C7" s="6" t="s">
        <v>14</v>
      </c>
      <c r="D7" s="5"/>
      <c r="E7" s="5"/>
      <c r="F7" s="5"/>
      <c r="G7" s="5"/>
      <c r="H7" s="5"/>
      <c r="I7" s="5"/>
      <c r="J7" s="5"/>
      <c r="K7" s="5"/>
      <c r="L7" s="5"/>
    </row>
    <row r="8" customFormat="false" ht="16.4" hidden="false" customHeight="false" outlineLevel="0" collapsed="false">
      <c r="B8" s="0" t="s">
        <v>15</v>
      </c>
      <c r="C8" s="7" t="s">
        <v>16</v>
      </c>
      <c r="D8" s="0" t="s">
        <v>17</v>
      </c>
      <c r="E8" s="0" t="n">
        <v>1</v>
      </c>
      <c r="F8" s="8" t="n">
        <v>1400</v>
      </c>
      <c r="G8" s="8" t="n">
        <f aca="false">E8*F8</f>
        <v>1400</v>
      </c>
      <c r="H8" s="8" t="n">
        <f aca="false">G8*1.3</f>
        <v>1820</v>
      </c>
      <c r="I8" s="8" t="n">
        <f aca="false">H8-G8</f>
        <v>420</v>
      </c>
      <c r="J8" s="0" t="n">
        <v>2</v>
      </c>
      <c r="K8" s="0" t="n">
        <v>16</v>
      </c>
      <c r="L8" s="9" t="s">
        <v>18</v>
      </c>
    </row>
    <row r="9" customFormat="false" ht="16.4" hidden="false" customHeight="false" outlineLevel="0" collapsed="false">
      <c r="B9" s="0" t="s">
        <v>19</v>
      </c>
      <c r="C9" s="7" t="s">
        <v>20</v>
      </c>
      <c r="D9" s="0" t="s">
        <v>21</v>
      </c>
      <c r="E9" s="0" t="n">
        <v>1</v>
      </c>
      <c r="F9" s="8" t="n">
        <v>2000</v>
      </c>
      <c r="G9" s="8" t="n">
        <f aca="false">E9*F9</f>
        <v>2000</v>
      </c>
      <c r="H9" s="8" t="n">
        <f aca="false">G9*1.3</f>
        <v>2600</v>
      </c>
      <c r="I9" s="8" t="n">
        <f aca="false">H9-G9</f>
        <v>600</v>
      </c>
      <c r="J9" s="0" t="n">
        <v>5</v>
      </c>
      <c r="K9" s="0" t="n">
        <v>40</v>
      </c>
      <c r="L9" s="9" t="s">
        <v>22</v>
      </c>
    </row>
    <row r="10" customFormat="false" ht="16.4" hidden="false" customHeight="false" outlineLevel="0" collapsed="false">
      <c r="B10" s="0" t="s">
        <v>23</v>
      </c>
      <c r="C10" s="7" t="s">
        <v>24</v>
      </c>
      <c r="D10" s="0" t="s">
        <v>21</v>
      </c>
      <c r="E10" s="0" t="n">
        <v>1</v>
      </c>
      <c r="F10" s="8" t="n">
        <v>800</v>
      </c>
      <c r="G10" s="8" t="n">
        <f aca="false">E10*F10</f>
        <v>800</v>
      </c>
      <c r="H10" s="8" t="n">
        <f aca="false">G10*1.3</f>
        <v>1040</v>
      </c>
      <c r="I10" s="8" t="n">
        <f aca="false">H10-G10</f>
        <v>240</v>
      </c>
      <c r="J10" s="0" t="n">
        <v>2</v>
      </c>
      <c r="K10" s="0" t="n">
        <v>16</v>
      </c>
      <c r="L10" s="9" t="s">
        <v>25</v>
      </c>
    </row>
    <row r="11" customFormat="false" ht="16.4" hidden="false" customHeight="false" outlineLevel="0" collapsed="false">
      <c r="B11" s="0" t="s">
        <v>26</v>
      </c>
      <c r="C11" s="7" t="s">
        <v>27</v>
      </c>
      <c r="D11" s="0" t="s">
        <v>21</v>
      </c>
      <c r="E11" s="0" t="n">
        <v>1</v>
      </c>
      <c r="F11" s="8" t="n">
        <v>1200</v>
      </c>
      <c r="G11" s="8" t="n">
        <f aca="false">E11*F11</f>
        <v>1200</v>
      </c>
      <c r="H11" s="8" t="n">
        <f aca="false">G11*1.3</f>
        <v>1560</v>
      </c>
      <c r="I11" s="8" t="n">
        <f aca="false">H11-G11</f>
        <v>360</v>
      </c>
      <c r="J11" s="0" t="n">
        <v>3</v>
      </c>
      <c r="K11" s="0" t="n">
        <v>24</v>
      </c>
      <c r="L11" s="9" t="s">
        <v>28</v>
      </c>
    </row>
    <row r="12" customFormat="false" ht="16.4" hidden="false" customHeight="false" outlineLevel="0" collapsed="false">
      <c r="B12" s="0" t="s">
        <v>29</v>
      </c>
      <c r="C12" s="7" t="s">
        <v>30</v>
      </c>
      <c r="D12" s="0" t="s">
        <v>21</v>
      </c>
      <c r="E12" s="0" t="n">
        <v>1</v>
      </c>
      <c r="F12" s="8" t="n">
        <v>2000</v>
      </c>
      <c r="G12" s="8" t="n">
        <f aca="false">E12*F12</f>
        <v>2000</v>
      </c>
      <c r="H12" s="8" t="n">
        <f aca="false">G12*1.3</f>
        <v>2600</v>
      </c>
      <c r="I12" s="8" t="n">
        <f aca="false">H12-G12</f>
        <v>600</v>
      </c>
      <c r="J12" s="0" t="n">
        <v>5</v>
      </c>
      <c r="K12" s="0" t="n">
        <v>40</v>
      </c>
      <c r="L12" s="9" t="s">
        <v>31</v>
      </c>
    </row>
    <row r="13" customFormat="false" ht="31.3" hidden="false" customHeight="false" outlineLevel="0" collapsed="false">
      <c r="B13" s="0" t="s">
        <v>32</v>
      </c>
      <c r="C13" s="7" t="s">
        <v>33</v>
      </c>
      <c r="D13" s="0" t="s">
        <v>21</v>
      </c>
      <c r="E13" s="0" t="n">
        <v>1</v>
      </c>
      <c r="F13" s="8" t="n">
        <v>1200</v>
      </c>
      <c r="G13" s="8" t="n">
        <f aca="false">E13*F13</f>
        <v>1200</v>
      </c>
      <c r="H13" s="8" t="n">
        <f aca="false">G13*1.3</f>
        <v>1560</v>
      </c>
      <c r="I13" s="8" t="n">
        <f aca="false">H13-G13</f>
        <v>360</v>
      </c>
      <c r="J13" s="0" t="n">
        <v>3</v>
      </c>
      <c r="K13" s="0" t="n">
        <v>24</v>
      </c>
      <c r="L13" s="9" t="s">
        <v>34</v>
      </c>
    </row>
    <row r="14" customFormat="false" ht="31.3" hidden="false" customHeight="false" outlineLevel="0" collapsed="false">
      <c r="B14" s="0" t="s">
        <v>35</v>
      </c>
      <c r="C14" s="7" t="s">
        <v>36</v>
      </c>
      <c r="D14" s="0" t="s">
        <v>21</v>
      </c>
      <c r="E14" s="0" t="n">
        <v>1</v>
      </c>
      <c r="F14" s="8" t="n">
        <v>1600</v>
      </c>
      <c r="G14" s="8" t="n">
        <f aca="false">E14*F14</f>
        <v>1600</v>
      </c>
      <c r="H14" s="8" t="n">
        <f aca="false">G14*1.3</f>
        <v>2080</v>
      </c>
      <c r="I14" s="8" t="n">
        <f aca="false">H14-G14</f>
        <v>480</v>
      </c>
      <c r="J14" s="0" t="n">
        <v>4</v>
      </c>
      <c r="K14" s="0" t="n">
        <v>32</v>
      </c>
      <c r="L14" s="9" t="s">
        <v>37</v>
      </c>
    </row>
    <row r="15" customFormat="false" ht="16.4" hidden="false" customHeight="false" outlineLevel="0" collapsed="false">
      <c r="B15" s="0" t="s">
        <v>38</v>
      </c>
      <c r="C15" s="7" t="s">
        <v>39</v>
      </c>
      <c r="D15" s="0" t="s">
        <v>21</v>
      </c>
      <c r="E15" s="0" t="n">
        <v>1</v>
      </c>
      <c r="F15" s="8" t="n">
        <v>400</v>
      </c>
      <c r="G15" s="8" t="n">
        <f aca="false">E15*F15</f>
        <v>400</v>
      </c>
      <c r="H15" s="8" t="n">
        <f aca="false">G15*1.3</f>
        <v>520</v>
      </c>
      <c r="I15" s="8" t="n">
        <f aca="false">H15-G15</f>
        <v>120</v>
      </c>
      <c r="J15" s="0" t="n">
        <v>1</v>
      </c>
      <c r="K15" s="0" t="n">
        <v>8</v>
      </c>
      <c r="L15" s="9" t="s">
        <v>40</v>
      </c>
    </row>
    <row r="16" customFormat="false" ht="31.3" hidden="false" customHeight="false" outlineLevel="0" collapsed="false">
      <c r="B16" s="0" t="s">
        <v>41</v>
      </c>
      <c r="C16" s="7" t="s">
        <v>42</v>
      </c>
      <c r="D16" s="0" t="s">
        <v>21</v>
      </c>
      <c r="E16" s="0" t="n">
        <v>1</v>
      </c>
      <c r="F16" s="8" t="n">
        <v>1600</v>
      </c>
      <c r="G16" s="8" t="n">
        <f aca="false">E16*F16</f>
        <v>1600</v>
      </c>
      <c r="H16" s="8" t="n">
        <f aca="false">G16*1.3</f>
        <v>2080</v>
      </c>
      <c r="I16" s="8" t="n">
        <f aca="false">H16-G16</f>
        <v>480</v>
      </c>
      <c r="J16" s="0" t="n">
        <v>4</v>
      </c>
      <c r="K16" s="0" t="n">
        <v>32</v>
      </c>
      <c r="L16" s="9" t="s">
        <v>43</v>
      </c>
    </row>
    <row r="17" customFormat="false" ht="31.3" hidden="false" customHeight="false" outlineLevel="0" collapsed="false">
      <c r="B17" s="0" t="s">
        <v>44</v>
      </c>
      <c r="C17" s="7" t="s">
        <v>45</v>
      </c>
      <c r="D17" s="0" t="s">
        <v>21</v>
      </c>
      <c r="E17" s="0" t="n">
        <v>1</v>
      </c>
      <c r="F17" s="8" t="n">
        <v>800</v>
      </c>
      <c r="G17" s="8" t="n">
        <f aca="false">E17*F17</f>
        <v>800</v>
      </c>
      <c r="H17" s="8" t="n">
        <f aca="false">G17*1.3</f>
        <v>1040</v>
      </c>
      <c r="I17" s="8" t="n">
        <f aca="false">H17-G17</f>
        <v>240</v>
      </c>
      <c r="J17" s="0" t="n">
        <v>2</v>
      </c>
      <c r="K17" s="0" t="n">
        <v>16</v>
      </c>
      <c r="L17" s="9" t="s">
        <v>46</v>
      </c>
    </row>
    <row r="18" customFormat="false" ht="14.25" hidden="false" customHeight="false" outlineLevel="0" collapsed="false">
      <c r="B18" s="10"/>
      <c r="C18" s="11" t="s">
        <v>47</v>
      </c>
      <c r="D18" s="10"/>
      <c r="E18" s="10"/>
      <c r="F18" s="10"/>
      <c r="G18" s="12" t="n">
        <f aca="false">SUM(G8:G17)</f>
        <v>13000</v>
      </c>
      <c r="H18" s="12" t="n">
        <f aca="false">SUM(H8:H17)</f>
        <v>16900</v>
      </c>
      <c r="I18" s="12" t="n">
        <f aca="false">SUM(I8:I17)</f>
        <v>3900</v>
      </c>
      <c r="J18" s="11" t="n">
        <f aca="false">MAX(J8:J17)</f>
        <v>5</v>
      </c>
      <c r="K18" s="11" t="n">
        <f aca="false">SUM(K8:K17)</f>
        <v>248</v>
      </c>
      <c r="L18" s="10"/>
    </row>
    <row r="20" customFormat="false" ht="14.25" hidden="false" customHeight="false" outlineLevel="0" collapsed="false">
      <c r="B20" s="5"/>
      <c r="C20" s="6" t="s">
        <v>48</v>
      </c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6.4" hidden="false" customHeight="false" outlineLevel="0" collapsed="false">
      <c r="B21" s="0" t="s">
        <v>49</v>
      </c>
      <c r="C21" s="7" t="s">
        <v>50</v>
      </c>
      <c r="D21" s="0" t="s">
        <v>17</v>
      </c>
      <c r="E21" s="0" t="n">
        <v>1</v>
      </c>
      <c r="F21" s="8" t="n">
        <v>2200</v>
      </c>
      <c r="G21" s="8" t="n">
        <f aca="false">E21*F21</f>
        <v>2200</v>
      </c>
      <c r="H21" s="8" t="n">
        <f aca="false">G21*1.3</f>
        <v>2860</v>
      </c>
      <c r="I21" s="8" t="n">
        <f aca="false">H21-G21</f>
        <v>660</v>
      </c>
      <c r="J21" s="0" t="n">
        <v>21</v>
      </c>
      <c r="L21" s="9" t="s">
        <v>51</v>
      </c>
    </row>
    <row r="22" customFormat="false" ht="16.4" hidden="false" customHeight="false" outlineLevel="0" collapsed="false">
      <c r="B22" s="0" t="s">
        <v>52</v>
      </c>
      <c r="C22" s="7" t="s">
        <v>53</v>
      </c>
      <c r="D22" s="0" t="s">
        <v>17</v>
      </c>
      <c r="E22" s="0" t="n">
        <v>2</v>
      </c>
      <c r="F22" s="8" t="n">
        <v>2200</v>
      </c>
      <c r="G22" s="8" t="n">
        <f aca="false">E22*F22</f>
        <v>4400</v>
      </c>
      <c r="H22" s="8" t="n">
        <f aca="false">G22*1.3</f>
        <v>5720</v>
      </c>
      <c r="I22" s="8" t="n">
        <f aca="false">H22-G22</f>
        <v>1320</v>
      </c>
      <c r="J22" s="0" t="n">
        <v>21</v>
      </c>
      <c r="L22" s="9" t="s">
        <v>54</v>
      </c>
    </row>
    <row r="23" customFormat="false" ht="16.4" hidden="false" customHeight="false" outlineLevel="0" collapsed="false">
      <c r="B23" s="0" t="s">
        <v>55</v>
      </c>
      <c r="C23" s="7" t="s">
        <v>56</v>
      </c>
      <c r="D23" s="0" t="s">
        <v>17</v>
      </c>
      <c r="E23" s="0" t="n">
        <v>2</v>
      </c>
      <c r="F23" s="8" t="n">
        <v>600</v>
      </c>
      <c r="G23" s="8" t="n">
        <f aca="false">E23*F23</f>
        <v>1200</v>
      </c>
      <c r="H23" s="8" t="n">
        <f aca="false">G23*1.3</f>
        <v>1560</v>
      </c>
      <c r="I23" s="8" t="n">
        <f aca="false">H23-G23</f>
        <v>360</v>
      </c>
      <c r="J23" s="0" t="n">
        <v>14</v>
      </c>
      <c r="L23" s="9" t="s">
        <v>57</v>
      </c>
    </row>
    <row r="24" customFormat="false" ht="16.4" hidden="false" customHeight="false" outlineLevel="0" collapsed="false">
      <c r="B24" s="0" t="s">
        <v>58</v>
      </c>
      <c r="C24" s="7" t="s">
        <v>59</v>
      </c>
      <c r="D24" s="0" t="s">
        <v>17</v>
      </c>
      <c r="E24" s="0" t="n">
        <v>2</v>
      </c>
      <c r="F24" s="8" t="n">
        <v>800</v>
      </c>
      <c r="G24" s="8" t="n">
        <f aca="false">E24*F24</f>
        <v>1600</v>
      </c>
      <c r="H24" s="8" t="n">
        <f aca="false">G24*1.3</f>
        <v>2080</v>
      </c>
      <c r="I24" s="8" t="n">
        <f aca="false">H24-G24</f>
        <v>480</v>
      </c>
      <c r="J24" s="0" t="n">
        <v>14</v>
      </c>
      <c r="L24" s="9" t="s">
        <v>60</v>
      </c>
    </row>
    <row r="25" customFormat="false" ht="16.4" hidden="false" customHeight="false" outlineLevel="0" collapsed="false">
      <c r="B25" s="0" t="s">
        <v>61</v>
      </c>
      <c r="C25" s="7" t="s">
        <v>62</v>
      </c>
      <c r="D25" s="0" t="s">
        <v>17</v>
      </c>
      <c r="E25" s="0" t="n">
        <v>2</v>
      </c>
      <c r="F25" s="8" t="n">
        <v>150</v>
      </c>
      <c r="G25" s="8" t="n">
        <f aca="false">E25*F25</f>
        <v>300</v>
      </c>
      <c r="H25" s="8" t="n">
        <f aca="false">G25*1.3</f>
        <v>390</v>
      </c>
      <c r="I25" s="8" t="n">
        <f aca="false">H25-G25</f>
        <v>90</v>
      </c>
      <c r="J25" s="0" t="n">
        <v>7</v>
      </c>
      <c r="L25" s="9" t="s">
        <v>63</v>
      </c>
    </row>
    <row r="26" customFormat="false" ht="16.4" hidden="false" customHeight="false" outlineLevel="0" collapsed="false">
      <c r="B26" s="0" t="s">
        <v>64</v>
      </c>
      <c r="C26" s="7" t="s">
        <v>65</v>
      </c>
      <c r="D26" s="0" t="s">
        <v>17</v>
      </c>
      <c r="E26" s="0" t="n">
        <v>2</v>
      </c>
      <c r="F26" s="8" t="n">
        <v>100</v>
      </c>
      <c r="G26" s="8" t="n">
        <f aca="false">E26*F26</f>
        <v>200</v>
      </c>
      <c r="H26" s="8" t="n">
        <f aca="false">G26*1.3</f>
        <v>260</v>
      </c>
      <c r="I26" s="8" t="n">
        <f aca="false">H26-G26</f>
        <v>60</v>
      </c>
      <c r="J26" s="0" t="n">
        <v>7</v>
      </c>
      <c r="L26" s="9" t="s">
        <v>66</v>
      </c>
    </row>
    <row r="27" customFormat="false" ht="16.4" hidden="false" customHeight="false" outlineLevel="0" collapsed="false">
      <c r="B27" s="0" t="s">
        <v>67</v>
      </c>
      <c r="C27" s="7" t="s">
        <v>68</v>
      </c>
      <c r="D27" s="0" t="s">
        <v>17</v>
      </c>
      <c r="E27" s="0" t="n">
        <v>1</v>
      </c>
      <c r="F27" s="8" t="n">
        <v>150</v>
      </c>
      <c r="G27" s="8" t="n">
        <f aca="false">E27*F27</f>
        <v>150</v>
      </c>
      <c r="H27" s="8" t="n">
        <f aca="false">G27*1.3</f>
        <v>195</v>
      </c>
      <c r="I27" s="8" t="n">
        <f aca="false">H27-G27</f>
        <v>45</v>
      </c>
      <c r="J27" s="0" t="n">
        <v>10</v>
      </c>
      <c r="L27" s="9" t="s">
        <v>69</v>
      </c>
    </row>
    <row r="28" customFormat="false" ht="16.4" hidden="false" customHeight="false" outlineLevel="0" collapsed="false">
      <c r="B28" s="0" t="s">
        <v>70</v>
      </c>
      <c r="C28" s="7" t="s">
        <v>71</v>
      </c>
      <c r="D28" s="0" t="s">
        <v>17</v>
      </c>
      <c r="E28" s="0" t="n">
        <v>1</v>
      </c>
      <c r="F28" s="8" t="n">
        <v>200</v>
      </c>
      <c r="G28" s="8" t="n">
        <f aca="false">E28*F28</f>
        <v>200</v>
      </c>
      <c r="H28" s="8" t="n">
        <f aca="false">G28*1.3</f>
        <v>260</v>
      </c>
      <c r="I28" s="8" t="n">
        <f aca="false">H28-G28</f>
        <v>60</v>
      </c>
      <c r="J28" s="0" t="n">
        <v>10</v>
      </c>
      <c r="L28" s="9" t="s">
        <v>69</v>
      </c>
    </row>
    <row r="29" customFormat="false" ht="31.3" hidden="false" customHeight="false" outlineLevel="0" collapsed="false">
      <c r="B29" s="0" t="s">
        <v>72</v>
      </c>
      <c r="C29" s="7" t="s">
        <v>73</v>
      </c>
      <c r="D29" s="0" t="s">
        <v>17</v>
      </c>
      <c r="E29" s="0" t="n">
        <v>1</v>
      </c>
      <c r="F29" s="8" t="n">
        <v>180</v>
      </c>
      <c r="G29" s="8" t="n">
        <f aca="false">E29*F29</f>
        <v>180</v>
      </c>
      <c r="H29" s="8" t="n">
        <f aca="false">G29*1.3</f>
        <v>234</v>
      </c>
      <c r="I29" s="8" t="n">
        <f aca="false">H29-G29</f>
        <v>54</v>
      </c>
      <c r="J29" s="0" t="n">
        <v>3</v>
      </c>
      <c r="K29" s="0" t="n">
        <v>4</v>
      </c>
      <c r="L29" s="9" t="s">
        <v>74</v>
      </c>
    </row>
    <row r="30" customFormat="false" ht="16.4" hidden="false" customHeight="false" outlineLevel="0" collapsed="false">
      <c r="B30" s="0" t="s">
        <v>75</v>
      </c>
      <c r="C30" s="7" t="s">
        <v>76</v>
      </c>
      <c r="D30" s="0" t="s">
        <v>17</v>
      </c>
      <c r="E30" s="0" t="n">
        <v>1</v>
      </c>
      <c r="F30" s="8" t="n">
        <v>800</v>
      </c>
      <c r="G30" s="8" t="n">
        <f aca="false">E30*F30</f>
        <v>800</v>
      </c>
      <c r="H30" s="8" t="n">
        <f aca="false">G30*1.3</f>
        <v>1040</v>
      </c>
      <c r="I30" s="8" t="n">
        <f aca="false">H30-G30</f>
        <v>240</v>
      </c>
      <c r="J30" s="0" t="n">
        <v>2</v>
      </c>
      <c r="K30" s="0" t="n">
        <v>16</v>
      </c>
      <c r="L30" s="9" t="s">
        <v>77</v>
      </c>
    </row>
    <row r="31" customFormat="false" ht="16.4" hidden="false" customHeight="false" outlineLevel="0" collapsed="false">
      <c r="B31" s="0" t="s">
        <v>78</v>
      </c>
      <c r="C31" s="7" t="s">
        <v>79</v>
      </c>
      <c r="D31" s="0" t="s">
        <v>17</v>
      </c>
      <c r="E31" s="0" t="n">
        <v>1</v>
      </c>
      <c r="F31" s="8" t="n">
        <v>400</v>
      </c>
      <c r="G31" s="8" t="n">
        <f aca="false">E31*F31</f>
        <v>400</v>
      </c>
      <c r="H31" s="8" t="n">
        <f aca="false">G31*1.3</f>
        <v>520</v>
      </c>
      <c r="I31" s="8" t="n">
        <f aca="false">H31-G31</f>
        <v>120</v>
      </c>
      <c r="J31" s="0" t="n">
        <v>1</v>
      </c>
      <c r="K31" s="0" t="n">
        <v>8</v>
      </c>
      <c r="L31" s="9" t="s">
        <v>80</v>
      </c>
    </row>
    <row r="32" customFormat="false" ht="14.25" hidden="false" customHeight="false" outlineLevel="0" collapsed="false">
      <c r="B32" s="10"/>
      <c r="C32" s="11" t="s">
        <v>81</v>
      </c>
      <c r="D32" s="10"/>
      <c r="E32" s="10"/>
      <c r="F32" s="10"/>
      <c r="G32" s="12" t="n">
        <f aca="false">SUM(G21:G31)</f>
        <v>11630</v>
      </c>
      <c r="H32" s="12" t="n">
        <f aca="false">SUM(H21:H31)</f>
        <v>15119</v>
      </c>
      <c r="I32" s="12" t="n">
        <f aca="false">SUM(I21:I31)</f>
        <v>3489</v>
      </c>
      <c r="J32" s="11" t="n">
        <f aca="false">MAX(J21:J31)</f>
        <v>21</v>
      </c>
      <c r="K32" s="11" t="n">
        <f aca="false">SUM(K21:K31)</f>
        <v>28</v>
      </c>
      <c r="L32" s="10"/>
    </row>
    <row r="34" customFormat="false" ht="14.25" hidden="false" customHeight="false" outlineLevel="0" collapsed="false">
      <c r="B34" s="5"/>
      <c r="C34" s="6" t="s">
        <v>82</v>
      </c>
      <c r="D34" s="5"/>
      <c r="E34" s="5"/>
      <c r="F34" s="5"/>
      <c r="G34" s="5"/>
      <c r="H34" s="5"/>
      <c r="I34" s="5"/>
      <c r="J34" s="5"/>
      <c r="K34" s="5"/>
      <c r="L34" s="5"/>
    </row>
    <row r="35" customFormat="false" ht="16.4" hidden="false" customHeight="false" outlineLevel="0" collapsed="false">
      <c r="B35" s="0" t="s">
        <v>83</v>
      </c>
      <c r="C35" s="7" t="s">
        <v>84</v>
      </c>
      <c r="D35" s="0" t="s">
        <v>17</v>
      </c>
      <c r="E35" s="0" t="n">
        <v>1</v>
      </c>
      <c r="F35" s="8" t="n">
        <v>4000</v>
      </c>
      <c r="G35" s="8" t="n">
        <f aca="false">E35*F35</f>
        <v>4000</v>
      </c>
      <c r="H35" s="8" t="n">
        <f aca="false">G35*1.3</f>
        <v>5200</v>
      </c>
      <c r="I35" s="8" t="n">
        <f aca="false">H35-G35</f>
        <v>1200</v>
      </c>
      <c r="J35" s="0" t="n">
        <v>21</v>
      </c>
      <c r="L35" s="9" t="s">
        <v>85</v>
      </c>
    </row>
    <row r="36" customFormat="false" ht="16.4" hidden="false" customHeight="false" outlineLevel="0" collapsed="false">
      <c r="B36" s="0" t="s">
        <v>86</v>
      </c>
      <c r="C36" s="7" t="s">
        <v>87</v>
      </c>
      <c r="D36" s="0" t="s">
        <v>17</v>
      </c>
      <c r="E36" s="0" t="n">
        <v>1</v>
      </c>
      <c r="F36" s="8" t="n">
        <v>1500</v>
      </c>
      <c r="G36" s="8" t="n">
        <f aca="false">E36*F36</f>
        <v>1500</v>
      </c>
      <c r="H36" s="8" t="n">
        <f aca="false">G36*1.3</f>
        <v>1950</v>
      </c>
      <c r="I36" s="8" t="n">
        <f aca="false">H36-G36</f>
        <v>450</v>
      </c>
      <c r="J36" s="0" t="n">
        <v>14</v>
      </c>
      <c r="L36" s="9" t="s">
        <v>85</v>
      </c>
    </row>
    <row r="37" customFormat="false" ht="16.4" hidden="false" customHeight="false" outlineLevel="0" collapsed="false">
      <c r="B37" s="0" t="s">
        <v>88</v>
      </c>
      <c r="C37" s="7" t="s">
        <v>89</v>
      </c>
      <c r="D37" s="0" t="s">
        <v>17</v>
      </c>
      <c r="E37" s="0" t="n">
        <v>1</v>
      </c>
      <c r="F37" s="8" t="n">
        <v>300</v>
      </c>
      <c r="G37" s="8" t="n">
        <f aca="false">E37*F37</f>
        <v>300</v>
      </c>
      <c r="H37" s="8" t="n">
        <f aca="false">G37*1.3</f>
        <v>390</v>
      </c>
      <c r="I37" s="8" t="n">
        <f aca="false">H37-G37</f>
        <v>90</v>
      </c>
      <c r="J37" s="0" t="n">
        <v>10</v>
      </c>
      <c r="L37" s="9" t="s">
        <v>90</v>
      </c>
    </row>
    <row r="38" customFormat="false" ht="16.4" hidden="false" customHeight="false" outlineLevel="0" collapsed="false">
      <c r="B38" s="0" t="s">
        <v>91</v>
      </c>
      <c r="C38" s="7" t="s">
        <v>92</v>
      </c>
      <c r="D38" s="0" t="s">
        <v>17</v>
      </c>
      <c r="E38" s="0" t="n">
        <v>1</v>
      </c>
      <c r="F38" s="8" t="n">
        <v>2500</v>
      </c>
      <c r="G38" s="8" t="n">
        <f aca="false">E38*F38</f>
        <v>2500</v>
      </c>
      <c r="H38" s="8" t="n">
        <f aca="false">G38*1.3</f>
        <v>3250</v>
      </c>
      <c r="I38" s="8" t="n">
        <f aca="false">H38-G38</f>
        <v>750</v>
      </c>
      <c r="J38" s="0" t="n">
        <v>21</v>
      </c>
      <c r="L38" s="9" t="s">
        <v>93</v>
      </c>
    </row>
    <row r="39" customFormat="false" ht="31.3" hidden="false" customHeight="false" outlineLevel="0" collapsed="false">
      <c r="B39" s="0" t="s">
        <v>94</v>
      </c>
      <c r="C39" s="7" t="s">
        <v>95</v>
      </c>
      <c r="D39" s="0" t="s">
        <v>17</v>
      </c>
      <c r="E39" s="0" t="n">
        <v>1</v>
      </c>
      <c r="F39" s="8" t="n">
        <v>150</v>
      </c>
      <c r="G39" s="8" t="n">
        <f aca="false">E39*F39</f>
        <v>150</v>
      </c>
      <c r="H39" s="8" t="n">
        <f aca="false">G39*1.3</f>
        <v>195</v>
      </c>
      <c r="I39" s="8" t="n">
        <f aca="false">H39-G39</f>
        <v>45</v>
      </c>
      <c r="J39" s="0" t="n">
        <v>10</v>
      </c>
      <c r="L39" s="9" t="s">
        <v>96</v>
      </c>
    </row>
    <row r="40" customFormat="false" ht="16.4" hidden="false" customHeight="false" outlineLevel="0" collapsed="false">
      <c r="B40" s="0" t="s">
        <v>97</v>
      </c>
      <c r="C40" s="7" t="s">
        <v>98</v>
      </c>
      <c r="D40" s="0" t="s">
        <v>17</v>
      </c>
      <c r="E40" s="0" t="n">
        <v>1</v>
      </c>
      <c r="F40" s="8" t="n">
        <v>2000</v>
      </c>
      <c r="G40" s="8" t="n">
        <f aca="false">E40*F40</f>
        <v>2000</v>
      </c>
      <c r="H40" s="8" t="n">
        <f aca="false">G40*1.3</f>
        <v>2600</v>
      </c>
      <c r="I40" s="8" t="n">
        <f aca="false">H40-G40</f>
        <v>600</v>
      </c>
      <c r="J40" s="0" t="n">
        <v>3</v>
      </c>
      <c r="K40" s="0" t="n">
        <v>24</v>
      </c>
      <c r="L40" s="9" t="s">
        <v>99</v>
      </c>
    </row>
    <row r="41" customFormat="false" ht="16.4" hidden="false" customHeight="false" outlineLevel="0" collapsed="false">
      <c r="B41" s="0" t="s">
        <v>100</v>
      </c>
      <c r="C41" s="7" t="s">
        <v>101</v>
      </c>
      <c r="D41" s="0" t="s">
        <v>17</v>
      </c>
      <c r="E41" s="0" t="n">
        <v>1</v>
      </c>
      <c r="F41" s="8" t="n">
        <v>800</v>
      </c>
      <c r="G41" s="8" t="n">
        <f aca="false">E41*F41</f>
        <v>800</v>
      </c>
      <c r="H41" s="8" t="n">
        <f aca="false">G41*1.3</f>
        <v>1040</v>
      </c>
      <c r="I41" s="8" t="n">
        <f aca="false">H41-G41</f>
        <v>240</v>
      </c>
      <c r="J41" s="0" t="n">
        <v>2</v>
      </c>
      <c r="K41" s="0" t="n">
        <v>16</v>
      </c>
      <c r="L41" s="9" t="s">
        <v>102</v>
      </c>
    </row>
    <row r="42" customFormat="false" ht="14.25" hidden="false" customHeight="false" outlineLevel="0" collapsed="false">
      <c r="B42" s="10"/>
      <c r="C42" s="11" t="s">
        <v>103</v>
      </c>
      <c r="D42" s="10"/>
      <c r="E42" s="10"/>
      <c r="F42" s="10"/>
      <c r="G42" s="12" t="n">
        <f aca="false">SUM(G35:G41)</f>
        <v>11250</v>
      </c>
      <c r="H42" s="12" t="n">
        <f aca="false">SUM(H35:H41)</f>
        <v>14625</v>
      </c>
      <c r="I42" s="12" t="n">
        <f aca="false">SUM(I35:I41)</f>
        <v>3375</v>
      </c>
      <c r="J42" s="11" t="n">
        <f aca="false">MAX(J35:J41)</f>
        <v>21</v>
      </c>
      <c r="K42" s="11" t="n">
        <f aca="false">SUM(K35:K41)</f>
        <v>40</v>
      </c>
      <c r="L42" s="10"/>
    </row>
    <row r="44" customFormat="false" ht="14.25" hidden="false" customHeight="false" outlineLevel="0" collapsed="false">
      <c r="B44" s="5"/>
      <c r="C44" s="6" t="s">
        <v>104</v>
      </c>
      <c r="D44" s="5"/>
      <c r="E44" s="5"/>
      <c r="F44" s="5"/>
      <c r="G44" s="5"/>
      <c r="H44" s="5"/>
      <c r="I44" s="5"/>
      <c r="J44" s="5"/>
      <c r="K44" s="5"/>
      <c r="L44" s="5"/>
    </row>
    <row r="45" customFormat="false" ht="16.4" hidden="false" customHeight="false" outlineLevel="0" collapsed="false">
      <c r="B45" s="0" t="s">
        <v>105</v>
      </c>
      <c r="C45" s="7" t="s">
        <v>106</v>
      </c>
      <c r="D45" s="0" t="s">
        <v>17</v>
      </c>
      <c r="E45" s="0" t="n">
        <v>50</v>
      </c>
      <c r="F45" s="8" t="n">
        <v>175</v>
      </c>
      <c r="G45" s="8" t="n">
        <f aca="false">E45*F45</f>
        <v>8750</v>
      </c>
      <c r="H45" s="8" t="n">
        <f aca="false">G45*1.3</f>
        <v>11375</v>
      </c>
      <c r="I45" s="8" t="n">
        <f aca="false">H45-G45</f>
        <v>2625</v>
      </c>
      <c r="J45" s="0" t="n">
        <v>14</v>
      </c>
      <c r="L45" s="9" t="s">
        <v>107</v>
      </c>
    </row>
    <row r="46" customFormat="false" ht="16.4" hidden="false" customHeight="false" outlineLevel="0" collapsed="false">
      <c r="B46" s="0" t="s">
        <v>108</v>
      </c>
      <c r="C46" s="7" t="s">
        <v>109</v>
      </c>
      <c r="D46" s="0" t="s">
        <v>17</v>
      </c>
      <c r="E46" s="0" t="n">
        <v>50</v>
      </c>
      <c r="F46" s="8" t="n">
        <v>25</v>
      </c>
      <c r="G46" s="8" t="n">
        <f aca="false">E46*F46</f>
        <v>1250</v>
      </c>
      <c r="H46" s="8" t="n">
        <f aca="false">G46*1.3</f>
        <v>1625</v>
      </c>
      <c r="I46" s="8" t="n">
        <f aca="false">H46-G46</f>
        <v>375</v>
      </c>
      <c r="J46" s="0" t="n">
        <v>14</v>
      </c>
      <c r="L46" s="9" t="s">
        <v>110</v>
      </c>
    </row>
    <row r="47" customFormat="false" ht="16.4" hidden="false" customHeight="false" outlineLevel="0" collapsed="false">
      <c r="B47" s="0" t="s">
        <v>111</v>
      </c>
      <c r="C47" s="7" t="s">
        <v>112</v>
      </c>
      <c r="D47" s="0" t="s">
        <v>17</v>
      </c>
      <c r="E47" s="0" t="n">
        <v>50</v>
      </c>
      <c r="F47" s="8" t="n">
        <v>8</v>
      </c>
      <c r="G47" s="8" t="n">
        <f aca="false">E47*F47</f>
        <v>400</v>
      </c>
      <c r="H47" s="8" t="n">
        <f aca="false">G47*1.3</f>
        <v>520</v>
      </c>
      <c r="I47" s="8" t="n">
        <f aca="false">H47-G47</f>
        <v>120</v>
      </c>
      <c r="J47" s="0" t="n">
        <v>7</v>
      </c>
      <c r="L47" s="9" t="s">
        <v>113</v>
      </c>
    </row>
    <row r="48" customFormat="false" ht="16.4" hidden="false" customHeight="false" outlineLevel="0" collapsed="false">
      <c r="B48" s="0" t="s">
        <v>114</v>
      </c>
      <c r="C48" s="7" t="s">
        <v>115</v>
      </c>
      <c r="D48" s="0" t="s">
        <v>17</v>
      </c>
      <c r="E48" s="0" t="n">
        <v>50</v>
      </c>
      <c r="F48" s="8" t="n">
        <v>15</v>
      </c>
      <c r="G48" s="8" t="n">
        <f aca="false">E48*F48</f>
        <v>750</v>
      </c>
      <c r="H48" s="8" t="n">
        <f aca="false">G48*1.3</f>
        <v>975</v>
      </c>
      <c r="I48" s="8" t="n">
        <f aca="false">H48-G48</f>
        <v>225</v>
      </c>
      <c r="J48" s="0" t="n">
        <v>7</v>
      </c>
      <c r="L48" s="9" t="s">
        <v>116</v>
      </c>
    </row>
    <row r="49" customFormat="false" ht="31.3" hidden="false" customHeight="false" outlineLevel="0" collapsed="false">
      <c r="B49" s="0" t="s">
        <v>117</v>
      </c>
      <c r="C49" s="7" t="s">
        <v>118</v>
      </c>
      <c r="D49" s="0" t="s">
        <v>17</v>
      </c>
      <c r="E49" s="0" t="n">
        <v>50</v>
      </c>
      <c r="F49" s="8" t="n">
        <v>6</v>
      </c>
      <c r="G49" s="8" t="n">
        <f aca="false">E49*F49</f>
        <v>300</v>
      </c>
      <c r="H49" s="8" t="n">
        <f aca="false">G49*1.3</f>
        <v>390</v>
      </c>
      <c r="I49" s="8" t="n">
        <f aca="false">H49-G49</f>
        <v>90</v>
      </c>
      <c r="J49" s="0" t="n">
        <v>7</v>
      </c>
      <c r="L49" s="9" t="s">
        <v>119</v>
      </c>
    </row>
    <row r="50" customFormat="false" ht="61.15" hidden="false" customHeight="false" outlineLevel="0" collapsed="false">
      <c r="B50" s="0" t="s">
        <v>120</v>
      </c>
      <c r="C50" s="7" t="s">
        <v>121</v>
      </c>
      <c r="D50" s="0" t="s">
        <v>17</v>
      </c>
      <c r="E50" s="0" t="n">
        <v>50</v>
      </c>
      <c r="F50" s="8" t="n">
        <v>300</v>
      </c>
      <c r="G50" s="8" t="n">
        <f aca="false">E50*F50</f>
        <v>15000</v>
      </c>
      <c r="H50" s="8" t="n">
        <f aca="false">G50*1.3</f>
        <v>19500</v>
      </c>
      <c r="I50" s="8" t="n">
        <f aca="false">H50-G50</f>
        <v>4500</v>
      </c>
      <c r="J50" s="0" t="n">
        <v>10</v>
      </c>
      <c r="K50" s="0" t="n">
        <v>300</v>
      </c>
      <c r="L50" s="9" t="s">
        <v>122</v>
      </c>
    </row>
    <row r="51" customFormat="false" ht="31.3" hidden="false" customHeight="false" outlineLevel="0" collapsed="false">
      <c r="B51" s="0" t="s">
        <v>123</v>
      </c>
      <c r="C51" s="7" t="s">
        <v>124</v>
      </c>
      <c r="D51" s="0" t="s">
        <v>17</v>
      </c>
      <c r="E51" s="0" t="n">
        <v>1</v>
      </c>
      <c r="F51" s="8" t="n">
        <v>1200</v>
      </c>
      <c r="G51" s="8" t="n">
        <f aca="false">E51*F51</f>
        <v>1200</v>
      </c>
      <c r="H51" s="8" t="n">
        <f aca="false">G51*1.3</f>
        <v>1560</v>
      </c>
      <c r="I51" s="8" t="n">
        <f aca="false">H51-G51</f>
        <v>360</v>
      </c>
      <c r="J51" s="0" t="n">
        <v>3</v>
      </c>
      <c r="K51" s="0" t="n">
        <v>24</v>
      </c>
      <c r="L51" s="9" t="s">
        <v>125</v>
      </c>
    </row>
    <row r="52" customFormat="false" ht="14.25" hidden="false" customHeight="false" outlineLevel="0" collapsed="false">
      <c r="B52" s="10"/>
      <c r="C52" s="11" t="s">
        <v>126</v>
      </c>
      <c r="D52" s="10"/>
      <c r="E52" s="10"/>
      <c r="F52" s="10"/>
      <c r="G52" s="12" t="n">
        <f aca="false">SUM(G45:G51)</f>
        <v>27650</v>
      </c>
      <c r="H52" s="12" t="n">
        <f aca="false">SUM(H45:H51)</f>
        <v>35945</v>
      </c>
      <c r="I52" s="12" t="n">
        <f aca="false">SUM(I45:I51)</f>
        <v>8295</v>
      </c>
      <c r="J52" s="11" t="n">
        <f aca="false">MAX(J45:J51)</f>
        <v>14</v>
      </c>
      <c r="K52" s="11" t="n">
        <f aca="false">SUM(K45:K51)</f>
        <v>324</v>
      </c>
      <c r="L52" s="10"/>
    </row>
    <row r="54" customFormat="false" ht="14.25" hidden="false" customHeight="false" outlineLevel="0" collapsed="false">
      <c r="B54" s="5"/>
      <c r="C54" s="6" t="s">
        <v>127</v>
      </c>
      <c r="D54" s="5"/>
      <c r="E54" s="5"/>
      <c r="F54" s="5"/>
      <c r="G54" s="5"/>
      <c r="H54" s="5"/>
      <c r="I54" s="5"/>
      <c r="J54" s="5"/>
      <c r="K54" s="5"/>
      <c r="L54" s="5"/>
    </row>
    <row r="55" customFormat="false" ht="31.3" hidden="false" customHeight="false" outlineLevel="0" collapsed="false">
      <c r="B55" s="0" t="s">
        <v>128</v>
      </c>
      <c r="C55" s="7" t="s">
        <v>129</v>
      </c>
      <c r="D55" s="0" t="s">
        <v>17</v>
      </c>
      <c r="E55" s="0" t="n">
        <v>1</v>
      </c>
      <c r="F55" s="8" t="n">
        <v>250</v>
      </c>
      <c r="G55" s="8" t="n">
        <f aca="false">E55*F55</f>
        <v>250</v>
      </c>
      <c r="H55" s="8" t="n">
        <f aca="false">G55*1.3</f>
        <v>325</v>
      </c>
      <c r="I55" s="8" t="n">
        <f aca="false">H55-G55</f>
        <v>75</v>
      </c>
      <c r="J55" s="0" t="n">
        <v>2</v>
      </c>
      <c r="L55" s="9" t="s">
        <v>130</v>
      </c>
    </row>
    <row r="56" customFormat="false" ht="31.3" hidden="false" customHeight="false" outlineLevel="0" collapsed="false">
      <c r="B56" s="0" t="s">
        <v>131</v>
      </c>
      <c r="C56" s="7" t="s">
        <v>132</v>
      </c>
      <c r="D56" s="0" t="s">
        <v>17</v>
      </c>
      <c r="E56" s="0" t="n">
        <v>1</v>
      </c>
      <c r="F56" s="8" t="n">
        <v>150</v>
      </c>
      <c r="G56" s="8" t="n">
        <f aca="false">E56*F56</f>
        <v>150</v>
      </c>
      <c r="H56" s="8" t="n">
        <f aca="false">G56*1.3</f>
        <v>195</v>
      </c>
      <c r="I56" s="8" t="n">
        <f aca="false">H56-G56</f>
        <v>45</v>
      </c>
      <c r="J56" s="0" t="n">
        <v>2</v>
      </c>
      <c r="L56" s="9" t="s">
        <v>133</v>
      </c>
    </row>
    <row r="57" customFormat="false" ht="14.25" hidden="false" customHeight="false" outlineLevel="0" collapsed="false">
      <c r="B57" s="10"/>
      <c r="C57" s="11" t="s">
        <v>134</v>
      </c>
      <c r="D57" s="10"/>
      <c r="E57" s="10"/>
      <c r="F57" s="10"/>
      <c r="G57" s="12" t="n">
        <f aca="false">SUM(G55:G56)</f>
        <v>400</v>
      </c>
      <c r="H57" s="12" t="n">
        <f aca="false">SUM(H55:H56)</f>
        <v>520</v>
      </c>
      <c r="I57" s="12" t="n">
        <f aca="false">SUM(I55:I56)</f>
        <v>120</v>
      </c>
      <c r="J57" s="11" t="n">
        <f aca="false">MAX(J55:J56)</f>
        <v>2</v>
      </c>
      <c r="K57" s="11" t="n">
        <f aca="false">SUM(K55:K56)</f>
        <v>0</v>
      </c>
      <c r="L57" s="10"/>
    </row>
    <row r="59" customFormat="false" ht="14.25" hidden="false" customHeight="false" outlineLevel="0" collapsed="false">
      <c r="C59" s="13" t="s">
        <v>135</v>
      </c>
    </row>
    <row r="60" customFormat="false" ht="14.25" hidden="false" customHeight="false" outlineLevel="0" collapsed="false">
      <c r="B60" s="5"/>
      <c r="C60" s="6" t="s">
        <v>136</v>
      </c>
      <c r="D60" s="5"/>
      <c r="E60" s="5"/>
      <c r="F60" s="5"/>
      <c r="G60" s="5"/>
      <c r="H60" s="5"/>
      <c r="I60" s="5"/>
      <c r="J60" s="5"/>
      <c r="K60" s="5"/>
      <c r="L60" s="5"/>
    </row>
    <row r="61" customFormat="false" ht="46.25" hidden="false" customHeight="false" outlineLevel="0" collapsed="false">
      <c r="B61" s="0" t="s">
        <v>137</v>
      </c>
      <c r="C61" s="7" t="s">
        <v>138</v>
      </c>
      <c r="D61" s="0" t="s">
        <v>17</v>
      </c>
      <c r="E61" s="0" t="n">
        <v>1</v>
      </c>
      <c r="F61" s="8" t="n">
        <v>200</v>
      </c>
      <c r="G61" s="8" t="n">
        <f aca="false">E61*F61</f>
        <v>200</v>
      </c>
      <c r="H61" s="8" t="n">
        <f aca="false">G61*1.3</f>
        <v>260</v>
      </c>
      <c r="I61" s="8" t="n">
        <f aca="false">H61-G61</f>
        <v>60</v>
      </c>
      <c r="J61" s="0" t="n">
        <v>1</v>
      </c>
      <c r="K61" s="0" t="n">
        <v>4</v>
      </c>
      <c r="L61" s="9" t="s">
        <v>139</v>
      </c>
    </row>
    <row r="62" customFormat="false" ht="14.25" hidden="false" customHeight="false" outlineLevel="0" collapsed="false">
      <c r="B62" s="10"/>
      <c r="C62" s="11" t="s">
        <v>140</v>
      </c>
      <c r="D62" s="10"/>
      <c r="E62" s="10"/>
      <c r="F62" s="10"/>
      <c r="G62" s="12" t="n">
        <f aca="false">SUM(G61)</f>
        <v>200</v>
      </c>
      <c r="H62" s="12" t="n">
        <f aca="false">SUM(H61)</f>
        <v>260</v>
      </c>
      <c r="I62" s="12" t="n">
        <f aca="false">SUM(I61)</f>
        <v>60</v>
      </c>
      <c r="J62" s="11" t="n">
        <f aca="false">MAX(J61)</f>
        <v>1</v>
      </c>
      <c r="K62" s="11" t="n">
        <f aca="false">SUM(K61)</f>
        <v>4</v>
      </c>
      <c r="L62" s="10"/>
    </row>
    <row r="64" customFormat="false" ht="14.25" hidden="false" customHeight="false" outlineLevel="0" collapsed="false">
      <c r="B64" s="5"/>
      <c r="C64" s="6" t="s">
        <v>141</v>
      </c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6.4" hidden="false" customHeight="false" outlineLevel="0" collapsed="false">
      <c r="B65" s="0" t="s">
        <v>142</v>
      </c>
      <c r="C65" s="7" t="s">
        <v>143</v>
      </c>
      <c r="D65" s="0" t="s">
        <v>17</v>
      </c>
      <c r="E65" s="0" t="n">
        <v>1</v>
      </c>
      <c r="F65" s="8" t="n">
        <v>200</v>
      </c>
      <c r="G65" s="8" t="n">
        <f aca="false">E65*F65</f>
        <v>200</v>
      </c>
      <c r="H65" s="8" t="n">
        <f aca="false">G65*1.3</f>
        <v>260</v>
      </c>
      <c r="I65" s="8" t="n">
        <f aca="false">H65-G65</f>
        <v>60</v>
      </c>
      <c r="J65" s="0" t="n">
        <v>1</v>
      </c>
      <c r="K65" s="0" t="n">
        <v>4</v>
      </c>
      <c r="L65" s="9" t="s">
        <v>144</v>
      </c>
    </row>
    <row r="66" customFormat="false" ht="16.4" hidden="false" customHeight="false" outlineLevel="0" collapsed="false">
      <c r="B66" s="0" t="s">
        <v>145</v>
      </c>
      <c r="C66" s="7" t="s">
        <v>146</v>
      </c>
      <c r="D66" s="0" t="s">
        <v>17</v>
      </c>
      <c r="E66" s="0" t="n">
        <v>1</v>
      </c>
      <c r="F66" s="8" t="n">
        <v>200</v>
      </c>
      <c r="G66" s="8" t="n">
        <f aca="false">E66*F66</f>
        <v>200</v>
      </c>
      <c r="H66" s="8" t="n">
        <f aca="false">G66*1.3</f>
        <v>260</v>
      </c>
      <c r="I66" s="8" t="n">
        <f aca="false">H66-G66</f>
        <v>60</v>
      </c>
      <c r="J66" s="0" t="n">
        <v>1</v>
      </c>
      <c r="K66" s="0" t="n">
        <v>4</v>
      </c>
      <c r="L66" s="9" t="s">
        <v>144</v>
      </c>
    </row>
    <row r="67" customFormat="false" ht="16.4" hidden="false" customHeight="false" outlineLevel="0" collapsed="false">
      <c r="B67" s="0" t="s">
        <v>147</v>
      </c>
      <c r="C67" s="7" t="s">
        <v>148</v>
      </c>
      <c r="D67" s="0" t="s">
        <v>17</v>
      </c>
      <c r="E67" s="0" t="n">
        <v>1</v>
      </c>
      <c r="F67" s="8" t="n">
        <v>200</v>
      </c>
      <c r="G67" s="8" t="n">
        <f aca="false">E67*F67</f>
        <v>200</v>
      </c>
      <c r="H67" s="8" t="n">
        <f aca="false">G67*1.3</f>
        <v>260</v>
      </c>
      <c r="I67" s="8" t="n">
        <f aca="false">H67-G67</f>
        <v>60</v>
      </c>
      <c r="J67" s="0" t="n">
        <v>1</v>
      </c>
      <c r="K67" s="0" t="n">
        <v>4</v>
      </c>
      <c r="L67" s="9" t="s">
        <v>144</v>
      </c>
    </row>
    <row r="68" customFormat="false" ht="16.4" hidden="false" customHeight="false" outlineLevel="0" collapsed="false">
      <c r="B68" s="0" t="s">
        <v>149</v>
      </c>
      <c r="C68" s="7" t="s">
        <v>150</v>
      </c>
      <c r="D68" s="0" t="s">
        <v>17</v>
      </c>
      <c r="E68" s="0" t="n">
        <v>1</v>
      </c>
      <c r="F68" s="8" t="n">
        <v>200</v>
      </c>
      <c r="G68" s="8" t="n">
        <f aca="false">E68*F68</f>
        <v>200</v>
      </c>
      <c r="H68" s="8" t="n">
        <f aca="false">G68*1.3</f>
        <v>260</v>
      </c>
      <c r="I68" s="8" t="n">
        <f aca="false">H68-G68</f>
        <v>60</v>
      </c>
      <c r="J68" s="0" t="n">
        <v>1</v>
      </c>
      <c r="K68" s="0" t="n">
        <v>4</v>
      </c>
      <c r="L68" s="9" t="s">
        <v>144</v>
      </c>
    </row>
    <row r="69" customFormat="false" ht="16.4" hidden="false" customHeight="false" outlineLevel="0" collapsed="false">
      <c r="B69" s="0" t="s">
        <v>151</v>
      </c>
      <c r="C69" s="7" t="s">
        <v>152</v>
      </c>
      <c r="D69" s="0" t="s">
        <v>17</v>
      </c>
      <c r="E69" s="0" t="n">
        <v>1</v>
      </c>
      <c r="F69" s="8" t="n">
        <v>100</v>
      </c>
      <c r="G69" s="8" t="n">
        <f aca="false">E69*F69</f>
        <v>100</v>
      </c>
      <c r="H69" s="8" t="n">
        <f aca="false">G69*1.3</f>
        <v>130</v>
      </c>
      <c r="I69" s="8" t="n">
        <f aca="false">H69-G69</f>
        <v>30</v>
      </c>
      <c r="J69" s="0" t="n">
        <v>1</v>
      </c>
      <c r="K69" s="0" t="n">
        <v>2</v>
      </c>
      <c r="L69" s="9" t="s">
        <v>144</v>
      </c>
    </row>
    <row r="70" customFormat="false" ht="31.3" hidden="false" customHeight="false" outlineLevel="0" collapsed="false">
      <c r="B70" s="0" t="s">
        <v>153</v>
      </c>
      <c r="C70" s="7" t="s">
        <v>154</v>
      </c>
      <c r="D70" s="0" t="s">
        <v>17</v>
      </c>
      <c r="E70" s="0" t="n">
        <v>1</v>
      </c>
      <c r="F70" s="8" t="n">
        <v>400</v>
      </c>
      <c r="G70" s="8" t="n">
        <f aca="false">E70*F70</f>
        <v>400</v>
      </c>
      <c r="H70" s="8" t="n">
        <f aca="false">G70*1.3</f>
        <v>520</v>
      </c>
      <c r="I70" s="8" t="n">
        <f aca="false">H70-G70</f>
        <v>120</v>
      </c>
      <c r="J70" s="0" t="n">
        <v>1</v>
      </c>
      <c r="K70" s="0" t="n">
        <v>8</v>
      </c>
      <c r="L70" s="9" t="s">
        <v>155</v>
      </c>
    </row>
    <row r="71" customFormat="false" ht="14.25" hidden="false" customHeight="false" outlineLevel="0" collapsed="false">
      <c r="B71" s="10"/>
      <c r="C71" s="11" t="s">
        <v>156</v>
      </c>
      <c r="D71" s="10"/>
      <c r="E71" s="10"/>
      <c r="F71" s="10"/>
      <c r="G71" s="12" t="n">
        <f aca="false">SUM(G65:G70)</f>
        <v>1300</v>
      </c>
      <c r="H71" s="12" t="n">
        <f aca="false">SUM(H65:H70)</f>
        <v>1690</v>
      </c>
      <c r="I71" s="12" t="n">
        <f aca="false">SUM(I65:I70)</f>
        <v>390</v>
      </c>
      <c r="J71" s="11" t="n">
        <f aca="false">MAX(J65:J70)</f>
        <v>1</v>
      </c>
      <c r="K71" s="11" t="n">
        <f aca="false">SUM(K65:K70)</f>
        <v>26</v>
      </c>
      <c r="L71" s="10"/>
    </row>
    <row r="73" customFormat="false" ht="19.5" hidden="false" customHeight="true" outlineLevel="0" collapsed="false">
      <c r="B73" s="14"/>
      <c r="C73" s="15" t="s">
        <v>157</v>
      </c>
      <c r="D73" s="14"/>
      <c r="E73" s="14"/>
      <c r="F73" s="14"/>
      <c r="G73" s="16" t="n">
        <f aca="false">G18+G32+G42+G52+G57+G62+G71</f>
        <v>65430</v>
      </c>
      <c r="H73" s="16" t="n">
        <f aca="false">H18+H32+H42+H52+H57+H62+H71</f>
        <v>85059</v>
      </c>
      <c r="I73" s="16" t="n">
        <f aca="false">I18+I32+I42+I52+I57+I62+I71</f>
        <v>19629</v>
      </c>
      <c r="J73" s="14"/>
      <c r="K73" s="17" t="n">
        <f aca="false">K18+K32+K42+K52+K57+K62+K71</f>
        <v>670</v>
      </c>
      <c r="L73" s="14"/>
    </row>
    <row r="75" customFormat="false" ht="14.25" hidden="false" customHeight="false" outlineLevel="0" collapsed="false">
      <c r="C75" s="18" t="s">
        <v>158</v>
      </c>
    </row>
    <row r="76" customFormat="false" ht="27.75" hidden="false" customHeight="true" outlineLevel="0" collapsed="false">
      <c r="C76" s="19" t="s">
        <v>159</v>
      </c>
      <c r="D76" s="19"/>
      <c r="E76" s="19"/>
      <c r="F76" s="19"/>
      <c r="G76" s="19"/>
      <c r="H76" s="19"/>
      <c r="I76" s="19"/>
      <c r="J76" s="19"/>
      <c r="K76" s="19"/>
      <c r="L76" s="19"/>
    </row>
    <row r="77" customFormat="false" ht="27.75" hidden="false" customHeight="true" outlineLevel="0" collapsed="false">
      <c r="C77" s="19" t="s">
        <v>160</v>
      </c>
      <c r="D77" s="19"/>
      <c r="E77" s="19"/>
      <c r="F77" s="19"/>
      <c r="G77" s="19"/>
      <c r="H77" s="19"/>
      <c r="I77" s="19"/>
      <c r="J77" s="19"/>
      <c r="K77" s="19"/>
      <c r="L77" s="19"/>
    </row>
    <row r="78" customFormat="false" ht="27.75" hidden="false" customHeight="true" outlineLevel="0" collapsed="false">
      <c r="C78" s="19" t="s">
        <v>161</v>
      </c>
      <c r="D78" s="19"/>
      <c r="E78" s="19"/>
      <c r="F78" s="19"/>
      <c r="G78" s="19"/>
      <c r="H78" s="19"/>
      <c r="I78" s="19"/>
      <c r="J78" s="19"/>
      <c r="K78" s="19"/>
      <c r="L78" s="19"/>
    </row>
    <row r="79" customFormat="false" ht="27.75" hidden="false" customHeight="true" outlineLevel="0" collapsed="false">
      <c r="C79" s="19" t="s">
        <v>162</v>
      </c>
      <c r="D79" s="19"/>
      <c r="E79" s="19"/>
      <c r="F79" s="19"/>
      <c r="G79" s="19"/>
      <c r="H79" s="19"/>
      <c r="I79" s="19"/>
      <c r="J79" s="19"/>
      <c r="K79" s="19"/>
      <c r="L79" s="19"/>
    </row>
    <row r="80" customFormat="false" ht="27.75" hidden="false" customHeight="true" outlineLevel="0" collapsed="false">
      <c r="C80" s="19" t="s">
        <v>163</v>
      </c>
      <c r="D80" s="19"/>
      <c r="E80" s="19"/>
      <c r="F80" s="19"/>
      <c r="G80" s="19"/>
      <c r="H80" s="19"/>
      <c r="I80" s="19"/>
      <c r="J80" s="19"/>
      <c r="K80" s="19"/>
      <c r="L80" s="19"/>
    </row>
    <row r="81" customFormat="false" ht="27.75" hidden="false" customHeight="true" outlineLevel="0" collapsed="false">
      <c r="C81" s="19" t="s">
        <v>164</v>
      </c>
      <c r="D81" s="19"/>
      <c r="E81" s="19"/>
      <c r="F81" s="19"/>
      <c r="G81" s="19"/>
      <c r="H81" s="19"/>
      <c r="I81" s="19"/>
      <c r="J81" s="19"/>
      <c r="K81" s="19"/>
      <c r="L81" s="19"/>
    </row>
    <row r="82" customFormat="false" ht="27.75" hidden="false" customHeight="true" outlineLevel="0" collapsed="false">
      <c r="C82" s="19" t="s">
        <v>165</v>
      </c>
      <c r="D82" s="19"/>
      <c r="E82" s="19"/>
      <c r="F82" s="19"/>
      <c r="G82" s="19"/>
      <c r="H82" s="19"/>
      <c r="I82" s="19"/>
      <c r="J82" s="19"/>
      <c r="K82" s="19"/>
      <c r="L82" s="19"/>
    </row>
    <row r="83" customFormat="false" ht="27.75" hidden="false" customHeight="true" outlineLevel="0" collapsed="false">
      <c r="C83" s="19" t="s">
        <v>166</v>
      </c>
      <c r="D83" s="19"/>
      <c r="E83" s="19"/>
      <c r="F83" s="19"/>
      <c r="G83" s="19"/>
      <c r="H83" s="19"/>
      <c r="I83" s="19"/>
      <c r="J83" s="19"/>
      <c r="K83" s="19"/>
      <c r="L83" s="19"/>
    </row>
  </sheetData>
  <mergeCells count="8">
    <mergeCell ref="C76:L76"/>
    <mergeCell ref="C77:L77"/>
    <mergeCell ref="C78:L78"/>
    <mergeCell ref="C79:L79"/>
    <mergeCell ref="C80:L80"/>
    <mergeCell ref="C81:L81"/>
    <mergeCell ref="C82:L82"/>
    <mergeCell ref="C83:L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0" width="14.38"/>
    <col collapsed="false" customWidth="true" hidden="false" outlineLevel="0" max="3" min="3" style="0" width="23.53"/>
    <col collapsed="false" customWidth="true" hidden="false" outlineLevel="0" max="4" min="4" style="0" width="31.53"/>
    <col collapsed="false" customWidth="true" hidden="false" outlineLevel="0" max="5" min="5" style="0" width="43.07"/>
    <col collapsed="false" customWidth="true" hidden="false" outlineLevel="0" max="6" min="6" style="0" width="14.38"/>
    <col collapsed="false" customWidth="true" hidden="false" outlineLevel="0" max="7" min="7" style="0" width="10.07"/>
    <col collapsed="false" customWidth="true" hidden="false" outlineLevel="0" max="8" min="8" style="0" width="12.53"/>
    <col collapsed="false" customWidth="true" hidden="false" outlineLevel="0" max="9" min="9" style="0" width="57.46"/>
  </cols>
  <sheetData>
    <row r="1" customFormat="false" ht="14.25" hidden="false" customHeight="false" outlineLevel="0" collapsed="false">
      <c r="A1" s="0" t="s">
        <v>167</v>
      </c>
      <c r="B1" s="20" t="s">
        <v>168</v>
      </c>
      <c r="C1" s="20" t="s">
        <v>169</v>
      </c>
      <c r="D1" s="20" t="s">
        <v>170</v>
      </c>
      <c r="E1" s="20" t="s">
        <v>171</v>
      </c>
      <c r="F1" s="20" t="s">
        <v>172</v>
      </c>
      <c r="G1" s="20" t="s">
        <v>173</v>
      </c>
      <c r="H1" s="20" t="s">
        <v>174</v>
      </c>
      <c r="I1" s="20" t="s">
        <v>175</v>
      </c>
    </row>
    <row r="2" customFormat="false" ht="14.25" hidden="false" customHeight="false" outlineLevel="0" collapsed="false">
      <c r="A2" s="0" t="n">
        <v>100</v>
      </c>
      <c r="B2" s="0" t="s">
        <v>88</v>
      </c>
      <c r="C2" s="0" t="s">
        <v>176</v>
      </c>
      <c r="D2" s="0" t="str">
        <f aca="false">_xlfn.XLOOKUP(LEFT(B2,5),WBSNew!$D:$D,WBSNew!$E:$E,"Not found")</f>
        <v>Bandwidth Control System</v>
      </c>
      <c r="E2" s="0" t="s">
        <v>89</v>
      </c>
      <c r="F2" s="21" t="n">
        <v>300</v>
      </c>
      <c r="G2" s="0" t="n">
        <v>10</v>
      </c>
      <c r="H2" s="0" t="n">
        <v>0</v>
      </c>
      <c r="I2" s="0" t="s">
        <v>90</v>
      </c>
    </row>
    <row r="3" customFormat="false" ht="14.25" hidden="false" customHeight="false" outlineLevel="0" collapsed="false">
      <c r="A3" s="0" t="n">
        <v>101</v>
      </c>
      <c r="B3" s="0" t="s">
        <v>83</v>
      </c>
      <c r="C3" s="0" t="s">
        <v>176</v>
      </c>
      <c r="D3" s="0" t="str">
        <f aca="false">_xlfn.XLOOKUP(LEFT(B3,5),WBSNew!$D:$D,WBSNew!$E:$E,"Not found")</f>
        <v>Bandwidth Control System</v>
      </c>
      <c r="E3" s="0" t="s">
        <v>84</v>
      </c>
      <c r="F3" s="21" t="n">
        <v>4000</v>
      </c>
      <c r="G3" s="0" t="n">
        <v>21</v>
      </c>
      <c r="H3" s="0" t="n">
        <v>0</v>
      </c>
      <c r="I3" s="0" t="s">
        <v>85</v>
      </c>
    </row>
    <row r="4" customFormat="false" ht="14.25" hidden="false" customHeight="false" outlineLevel="0" collapsed="false">
      <c r="A4" s="0" t="n">
        <v>102</v>
      </c>
      <c r="B4" s="0" t="s">
        <v>86</v>
      </c>
      <c r="C4" s="0" t="s">
        <v>176</v>
      </c>
      <c r="D4" s="0" t="str">
        <f aca="false">_xlfn.XLOOKUP(LEFT(B4,5),WBSNew!$D:$D,WBSNew!$E:$E,"Not found")</f>
        <v>Bandwidth Control System</v>
      </c>
      <c r="E4" s="0" t="s">
        <v>87</v>
      </c>
      <c r="F4" s="21" t="n">
        <v>1500</v>
      </c>
      <c r="G4" s="0" t="n">
        <v>14</v>
      </c>
      <c r="H4" s="0" t="n">
        <v>0</v>
      </c>
      <c r="I4" s="0" t="s">
        <v>85</v>
      </c>
    </row>
    <row r="5" customFormat="false" ht="14.25" hidden="false" customHeight="false" outlineLevel="0" collapsed="false">
      <c r="A5" s="0" t="n">
        <v>103</v>
      </c>
      <c r="B5" s="0" t="s">
        <v>94</v>
      </c>
      <c r="C5" s="0" t="s">
        <v>176</v>
      </c>
      <c r="D5" s="0" t="str">
        <f aca="false">_xlfn.XLOOKUP(LEFT(B5,5),WBSNew!$D:$D,WBSNew!$E:$E,"Not found")</f>
        <v>Bandwidth Control System</v>
      </c>
      <c r="E5" s="0" t="s">
        <v>95</v>
      </c>
      <c r="F5" s="21" t="n">
        <v>150</v>
      </c>
      <c r="G5" s="0" t="n">
        <v>10</v>
      </c>
      <c r="H5" s="0" t="n">
        <v>0</v>
      </c>
      <c r="I5" s="0" t="s">
        <v>96</v>
      </c>
    </row>
    <row r="6" customFormat="false" ht="14.25" hidden="false" customHeight="false" outlineLevel="0" collapsed="false">
      <c r="A6" s="0" t="n">
        <v>104</v>
      </c>
      <c r="B6" s="0" t="s">
        <v>58</v>
      </c>
      <c r="C6" s="0" t="s">
        <v>176</v>
      </c>
      <c r="D6" s="0" t="str">
        <f aca="false">_xlfn.XLOOKUP(LEFT(B6,5),WBSNew!$D:$D,WBSNew!$E:$E,"Not found")</f>
        <v>Bandwidth Distrubution System</v>
      </c>
      <c r="E6" s="0" t="s">
        <v>59</v>
      </c>
      <c r="F6" s="21" t="n">
        <v>1600</v>
      </c>
      <c r="G6" s="0" t="n">
        <v>14</v>
      </c>
      <c r="H6" s="0" t="n">
        <v>0</v>
      </c>
      <c r="I6" s="0" t="s">
        <v>60</v>
      </c>
    </row>
    <row r="7" customFormat="false" ht="14.25" hidden="false" customHeight="false" outlineLevel="0" collapsed="false">
      <c r="A7" s="0" t="n">
        <v>105</v>
      </c>
      <c r="B7" s="0" t="s">
        <v>55</v>
      </c>
      <c r="C7" s="0" t="s">
        <v>176</v>
      </c>
      <c r="D7" s="0" t="str">
        <f aca="false">_xlfn.XLOOKUP(LEFT(B7,5),WBSNew!$D:$D,WBSNew!$E:$E,"Not found")</f>
        <v>Bandwidth Distrubution System</v>
      </c>
      <c r="E7" s="0" t="s">
        <v>56</v>
      </c>
      <c r="F7" s="21" t="n">
        <v>1200</v>
      </c>
      <c r="G7" s="0" t="n">
        <v>14</v>
      </c>
      <c r="H7" s="0" t="n">
        <v>0</v>
      </c>
      <c r="I7" s="0" t="s">
        <v>57</v>
      </c>
    </row>
    <row r="8" customFormat="false" ht="14.25" hidden="false" customHeight="false" outlineLevel="0" collapsed="false">
      <c r="A8" s="0" t="n">
        <v>106</v>
      </c>
      <c r="B8" s="0" t="s">
        <v>49</v>
      </c>
      <c r="C8" s="0" t="s">
        <v>176</v>
      </c>
      <c r="D8" s="0" t="str">
        <f aca="false">_xlfn.XLOOKUP(LEFT(B8,5),WBSNew!$D:$D,WBSNew!$E:$E,"Not found")</f>
        <v>Bandwidth Distrubution System</v>
      </c>
      <c r="E8" s="0" t="s">
        <v>50</v>
      </c>
      <c r="F8" s="21" t="n">
        <v>2200</v>
      </c>
      <c r="G8" s="0" t="n">
        <v>21</v>
      </c>
      <c r="H8" s="0" t="n">
        <v>0</v>
      </c>
      <c r="I8" s="0" t="s">
        <v>51</v>
      </c>
    </row>
    <row r="9" customFormat="false" ht="14.25" hidden="false" customHeight="false" outlineLevel="0" collapsed="false">
      <c r="A9" s="0" t="n">
        <v>107</v>
      </c>
      <c r="B9" s="0" t="s">
        <v>61</v>
      </c>
      <c r="C9" s="0" t="s">
        <v>176</v>
      </c>
      <c r="D9" s="0" t="str">
        <f aca="false">_xlfn.XLOOKUP(LEFT(B9,5),WBSNew!$D:$D,WBSNew!$E:$E,"Not found")</f>
        <v>Bandwidth Distrubution System</v>
      </c>
      <c r="E9" s="0" t="s">
        <v>62</v>
      </c>
      <c r="F9" s="21" t="n">
        <v>300</v>
      </c>
      <c r="G9" s="0" t="n">
        <v>7</v>
      </c>
      <c r="H9" s="0" t="n">
        <v>0</v>
      </c>
      <c r="I9" s="0" t="s">
        <v>63</v>
      </c>
    </row>
    <row r="10" customFormat="false" ht="14.25" hidden="false" customHeight="false" outlineLevel="0" collapsed="false">
      <c r="A10" s="0" t="n">
        <v>108</v>
      </c>
      <c r="B10" s="0" t="s">
        <v>64</v>
      </c>
      <c r="C10" s="0" t="s">
        <v>176</v>
      </c>
      <c r="D10" s="0" t="str">
        <f aca="false">_xlfn.XLOOKUP(LEFT(B10,5),WBSNew!$D:$D,WBSNew!$E:$E,"Not found")</f>
        <v>Bandwidth Distrubution System</v>
      </c>
      <c r="E10" s="0" t="s">
        <v>65</v>
      </c>
      <c r="F10" s="21" t="n">
        <v>200</v>
      </c>
      <c r="G10" s="0" t="n">
        <v>7</v>
      </c>
      <c r="H10" s="0" t="n">
        <v>0</v>
      </c>
      <c r="I10" s="0" t="s">
        <v>66</v>
      </c>
    </row>
    <row r="11" customFormat="false" ht="14.25" hidden="false" customHeight="false" outlineLevel="0" collapsed="false">
      <c r="A11" s="0" t="n">
        <v>109</v>
      </c>
      <c r="B11" s="0" t="s">
        <v>67</v>
      </c>
      <c r="C11" s="0" t="s">
        <v>176</v>
      </c>
      <c r="D11" s="0" t="str">
        <f aca="false">_xlfn.XLOOKUP(LEFT(B11,5),WBSNew!$D:$D,WBSNew!$E:$E,"Not found")</f>
        <v>Bandwidth Distrubution System</v>
      </c>
      <c r="E11" s="0" t="s">
        <v>68</v>
      </c>
      <c r="F11" s="21" t="n">
        <v>150</v>
      </c>
      <c r="G11" s="0" t="n">
        <v>10</v>
      </c>
      <c r="H11" s="0" t="n">
        <v>0</v>
      </c>
      <c r="I11" s="0" t="s">
        <v>69</v>
      </c>
    </row>
    <row r="12" customFormat="false" ht="14.25" hidden="false" customHeight="false" outlineLevel="0" collapsed="false">
      <c r="A12" s="0" t="n">
        <v>110</v>
      </c>
      <c r="B12" s="0" t="s">
        <v>70</v>
      </c>
      <c r="C12" s="0" t="s">
        <v>176</v>
      </c>
      <c r="D12" s="0" t="str">
        <f aca="false">_xlfn.XLOOKUP(LEFT(B12,5),WBSNew!$D:$D,WBSNew!$E:$E,"Not found")</f>
        <v>Bandwidth Distrubution System</v>
      </c>
      <c r="E12" s="0" t="s">
        <v>71</v>
      </c>
      <c r="F12" s="21" t="n">
        <v>200</v>
      </c>
      <c r="G12" s="0" t="n">
        <v>10</v>
      </c>
      <c r="H12" s="0" t="n">
        <v>0</v>
      </c>
      <c r="I12" s="0" t="s">
        <v>69</v>
      </c>
    </row>
    <row r="13" customFormat="false" ht="14.25" hidden="false" customHeight="false" outlineLevel="0" collapsed="false">
      <c r="A13" s="0" t="n">
        <v>111</v>
      </c>
      <c r="B13" s="0" t="s">
        <v>52</v>
      </c>
      <c r="C13" s="0" t="s">
        <v>176</v>
      </c>
      <c r="D13" s="0" t="str">
        <f aca="false">_xlfn.XLOOKUP(LEFT(B13,5),WBSNew!$D:$D,WBSNew!$E:$E,"Not found")</f>
        <v>Bandwidth Distrubution System</v>
      </c>
      <c r="E13" s="0" t="s">
        <v>53</v>
      </c>
      <c r="F13" s="21" t="n">
        <v>4400</v>
      </c>
      <c r="G13" s="0" t="n">
        <v>21</v>
      </c>
      <c r="H13" s="0" t="n">
        <v>0</v>
      </c>
      <c r="I13" s="0" t="s">
        <v>54</v>
      </c>
    </row>
    <row r="14" customFormat="false" ht="14.25" hidden="false" customHeight="false" outlineLevel="0" collapsed="false">
      <c r="A14" s="0" t="n">
        <v>112</v>
      </c>
      <c r="B14" s="0" t="s">
        <v>91</v>
      </c>
      <c r="C14" s="0" t="s">
        <v>176</v>
      </c>
      <c r="D14" s="0" t="str">
        <f aca="false">_xlfn.XLOOKUP(LEFT(B14,5),WBSNew!$D:$D,WBSNew!$E:$E,"Not found")</f>
        <v>Bandwidth Supply system</v>
      </c>
      <c r="E14" s="0" t="s">
        <v>92</v>
      </c>
      <c r="F14" s="21" t="n">
        <v>2500</v>
      </c>
      <c r="G14" s="0" t="n">
        <v>21</v>
      </c>
      <c r="H14" s="0" t="n">
        <v>0</v>
      </c>
      <c r="I14" s="0" t="s">
        <v>93</v>
      </c>
    </row>
    <row r="15" customFormat="false" ht="14.25" hidden="false" customHeight="false" outlineLevel="0" collapsed="false">
      <c r="A15" s="0" t="n">
        <v>113</v>
      </c>
      <c r="B15" s="0" t="s">
        <v>108</v>
      </c>
      <c r="C15" s="0" t="s">
        <v>176</v>
      </c>
      <c r="D15" s="0" t="str">
        <f aca="false">_xlfn.XLOOKUP(LEFT(B15,5),WBSNew!$D:$D,WBSNew!$E:$E,"Not found")</f>
        <v>Customer Premise Equipment</v>
      </c>
      <c r="E15" s="0" t="s">
        <v>109</v>
      </c>
      <c r="F15" s="21" t="n">
        <v>1250</v>
      </c>
      <c r="G15" s="0" t="n">
        <v>14</v>
      </c>
      <c r="H15" s="0" t="n">
        <v>0</v>
      </c>
      <c r="I15" s="0" t="s">
        <v>110</v>
      </c>
    </row>
    <row r="16" customFormat="false" ht="14.25" hidden="false" customHeight="false" outlineLevel="0" collapsed="false">
      <c r="A16" s="0" t="n">
        <v>114</v>
      </c>
      <c r="B16" s="0" t="s">
        <v>114</v>
      </c>
      <c r="C16" s="0" t="s">
        <v>176</v>
      </c>
      <c r="D16" s="0" t="str">
        <f aca="false">_xlfn.XLOOKUP(LEFT(B16,5),WBSNew!$D:$D,WBSNew!$E:$E,"Not found")</f>
        <v>Customer Premise Equipment</v>
      </c>
      <c r="E16" s="0" t="s">
        <v>115</v>
      </c>
      <c r="F16" s="21" t="n">
        <v>750</v>
      </c>
      <c r="G16" s="0" t="n">
        <v>7</v>
      </c>
      <c r="H16" s="0" t="n">
        <v>0</v>
      </c>
      <c r="I16" s="0" t="s">
        <v>116</v>
      </c>
    </row>
    <row r="17" customFormat="false" ht="14.25" hidden="false" customHeight="false" outlineLevel="0" collapsed="false">
      <c r="A17" s="0" t="n">
        <v>115</v>
      </c>
      <c r="B17" s="0" t="s">
        <v>111</v>
      </c>
      <c r="C17" s="0" t="s">
        <v>176</v>
      </c>
      <c r="D17" s="0" t="str">
        <f aca="false">_xlfn.XLOOKUP(LEFT(B17,5),WBSNew!$D:$D,WBSNew!$E:$E,"Not found")</f>
        <v>Customer Premise Equipment</v>
      </c>
      <c r="E17" s="0" t="s">
        <v>112</v>
      </c>
      <c r="F17" s="21" t="n">
        <v>400</v>
      </c>
      <c r="G17" s="0" t="n">
        <v>7</v>
      </c>
      <c r="H17" s="0" t="n">
        <v>0</v>
      </c>
      <c r="I17" s="0" t="s">
        <v>113</v>
      </c>
    </row>
    <row r="18" customFormat="false" ht="14.25" hidden="false" customHeight="false" outlineLevel="0" collapsed="false">
      <c r="A18" s="0" t="n">
        <v>116</v>
      </c>
      <c r="B18" s="0" t="s">
        <v>105</v>
      </c>
      <c r="C18" s="0" t="s">
        <v>176</v>
      </c>
      <c r="D18" s="0" t="str">
        <f aca="false">_xlfn.XLOOKUP(LEFT(B18,5),WBSNew!$D:$D,WBSNew!$E:$E,"Not found")</f>
        <v>Customer Premise Equipment</v>
      </c>
      <c r="E18" s="0" t="s">
        <v>106</v>
      </c>
      <c r="F18" s="21" t="n">
        <v>8750</v>
      </c>
      <c r="G18" s="0" t="n">
        <v>14</v>
      </c>
      <c r="H18" s="0" t="n">
        <v>0</v>
      </c>
      <c r="I18" s="0" t="s">
        <v>107</v>
      </c>
    </row>
    <row r="19" customFormat="false" ht="14.25" hidden="false" customHeight="false" outlineLevel="0" collapsed="false">
      <c r="A19" s="0" t="n">
        <v>117</v>
      </c>
      <c r="B19" s="0" t="s">
        <v>35</v>
      </c>
      <c r="C19" s="0" t="s">
        <v>177</v>
      </c>
      <c r="D19" s="0" t="str">
        <f aca="false">_xlfn.XLOOKUP(LEFT(B19,5),WBSNew!$D:$D,WBSNew!$E:$E,"Not found")</f>
        <v>Engineering - Bandwidth Control System</v>
      </c>
      <c r="E19" s="0" t="s">
        <v>36</v>
      </c>
      <c r="F19" s="21" t="n">
        <v>1600</v>
      </c>
      <c r="G19" s="0" t="n">
        <v>4</v>
      </c>
      <c r="H19" s="0" t="n">
        <v>32</v>
      </c>
      <c r="I19" s="0" t="s">
        <v>37</v>
      </c>
    </row>
    <row r="20" customFormat="false" ht="14.25" hidden="false" customHeight="false" outlineLevel="0" collapsed="false">
      <c r="A20" s="0" t="n">
        <v>118</v>
      </c>
      <c r="B20" s="0" t="s">
        <v>32</v>
      </c>
      <c r="C20" s="0" t="s">
        <v>177</v>
      </c>
      <c r="D20" s="0" t="str">
        <f aca="false">_xlfn.XLOOKUP(LEFT(B20,5),WBSNew!$D:$D,WBSNew!$E:$E,"Not found")</f>
        <v>Engineering - Bandwidth Distrubution System</v>
      </c>
      <c r="E20" s="0" t="s">
        <v>33</v>
      </c>
      <c r="F20" s="21" t="n">
        <v>1200</v>
      </c>
      <c r="G20" s="0" t="n">
        <v>5</v>
      </c>
      <c r="H20" s="0" t="n">
        <v>24</v>
      </c>
      <c r="I20" s="0" t="s">
        <v>34</v>
      </c>
    </row>
    <row r="21" customFormat="false" ht="14.25" hidden="false" customHeight="false" outlineLevel="0" collapsed="false">
      <c r="A21" s="0" t="n">
        <v>119</v>
      </c>
      <c r="B21" s="0" t="s">
        <v>38</v>
      </c>
      <c r="C21" s="0" t="s">
        <v>177</v>
      </c>
      <c r="D21" s="0" t="str">
        <f aca="false">_xlfn.XLOOKUP(LEFT(B21,5),WBSNew!$D:$D,WBSNew!$E:$E,"Not found")</f>
        <v>Engineering - Customer Premise Equipment</v>
      </c>
      <c r="E21" s="0" t="s">
        <v>39</v>
      </c>
      <c r="F21" s="21" t="n">
        <v>400</v>
      </c>
      <c r="G21" s="0" t="n">
        <v>5</v>
      </c>
      <c r="H21" s="0" t="n">
        <v>8</v>
      </c>
      <c r="I21" s="0" t="s">
        <v>40</v>
      </c>
    </row>
    <row r="22" customFormat="false" ht="14.25" hidden="false" customHeight="false" outlineLevel="0" collapsed="false">
      <c r="A22" s="0" t="n">
        <v>121</v>
      </c>
      <c r="B22" s="0" t="s">
        <v>97</v>
      </c>
      <c r="C22" s="0" t="s">
        <v>178</v>
      </c>
      <c r="D22" s="0" t="str">
        <f aca="false">_xlfn.XLOOKUP(LEFT(B22,5),WBSNew!$D:$D,WBSNew!$E:$E,"Not found")</f>
        <v>Install - Bandwidth Control System</v>
      </c>
      <c r="E22" s="0" t="s">
        <v>98</v>
      </c>
      <c r="F22" s="21" t="n">
        <v>2000</v>
      </c>
      <c r="G22" s="0" t="n">
        <v>6</v>
      </c>
      <c r="H22" s="0" t="n">
        <v>24</v>
      </c>
      <c r="I22" s="0" t="s">
        <v>99</v>
      </c>
    </row>
    <row r="23" customFormat="false" ht="14.25" hidden="false" customHeight="false" outlineLevel="0" collapsed="false">
      <c r="A23" s="0" t="n">
        <v>122</v>
      </c>
      <c r="B23" s="0" t="s">
        <v>75</v>
      </c>
      <c r="C23" s="0" t="s">
        <v>178</v>
      </c>
      <c r="D23" s="0" t="str">
        <f aca="false">_xlfn.XLOOKUP(LEFT(B23,5),WBSNew!$D:$D,WBSNew!$E:$E,"Not found")</f>
        <v>Install - Bandwidth Distrubution System</v>
      </c>
      <c r="E23" s="0" t="s">
        <v>76</v>
      </c>
      <c r="F23" s="21" t="n">
        <v>800</v>
      </c>
      <c r="G23" s="0" t="n">
        <v>5</v>
      </c>
      <c r="H23" s="0" t="n">
        <v>16</v>
      </c>
      <c r="I23" s="0" t="s">
        <v>77</v>
      </c>
    </row>
    <row r="24" customFormat="false" ht="14.25" hidden="false" customHeight="false" outlineLevel="0" collapsed="false">
      <c r="A24" s="0" t="n">
        <v>123</v>
      </c>
      <c r="B24" s="0" t="s">
        <v>120</v>
      </c>
      <c r="C24" s="0" t="s">
        <v>178</v>
      </c>
      <c r="D24" s="0" t="str">
        <f aca="false">_xlfn.XLOOKUP(LEFT(B24,5),WBSNew!$D:$D,WBSNew!$E:$E,"Not found")</f>
        <v>Install - Customer Premise Equipment</v>
      </c>
      <c r="E24" s="0" t="s">
        <v>121</v>
      </c>
      <c r="F24" s="21" t="n">
        <v>15000</v>
      </c>
      <c r="G24" s="0" t="n">
        <v>10</v>
      </c>
      <c r="H24" s="0" t="n">
        <v>300</v>
      </c>
      <c r="I24" s="0" t="s">
        <v>122</v>
      </c>
    </row>
    <row r="25" customFormat="false" ht="14.25" hidden="false" customHeight="false" outlineLevel="0" collapsed="false">
      <c r="A25" s="0" t="n">
        <v>124</v>
      </c>
      <c r="B25" s="0" t="s">
        <v>26</v>
      </c>
      <c r="C25" s="0" t="s">
        <v>177</v>
      </c>
      <c r="D25" s="0" t="str">
        <f aca="false">_xlfn.XLOOKUP(LEFT(B25,5),WBSNew!$D:$D,WBSNew!$E:$E,"Not found")</f>
        <v>Network design and drawing</v>
      </c>
      <c r="E25" s="0" t="s">
        <v>27</v>
      </c>
      <c r="F25" s="21" t="n">
        <v>1200</v>
      </c>
      <c r="G25" s="0" t="n">
        <v>3</v>
      </c>
      <c r="H25" s="0" t="n">
        <v>24</v>
      </c>
      <c r="I25" s="0" t="s">
        <v>28</v>
      </c>
    </row>
    <row r="26" customFormat="false" ht="14.25" hidden="false" customHeight="false" outlineLevel="0" collapsed="false">
      <c r="A26" s="0" t="n">
        <v>125</v>
      </c>
      <c r="B26" s="0" t="s">
        <v>23</v>
      </c>
      <c r="C26" s="0" t="s">
        <v>177</v>
      </c>
      <c r="D26" s="0" t="str">
        <f aca="false">_xlfn.XLOOKUP(LEFT(B26,5),WBSNew!$D:$D,WBSNew!$E:$E,"Not found")</f>
        <v>Site layout drawing</v>
      </c>
      <c r="E26" s="0" t="s">
        <v>24</v>
      </c>
      <c r="F26" s="21" t="n">
        <v>800</v>
      </c>
      <c r="G26" s="0" t="n">
        <v>7</v>
      </c>
      <c r="H26" s="0" t="n">
        <v>16</v>
      </c>
      <c r="I26" s="0" t="s">
        <v>25</v>
      </c>
    </row>
    <row r="27" customFormat="false" ht="14.25" hidden="false" customHeight="false" outlineLevel="0" collapsed="false">
      <c r="A27" s="0" t="n">
        <v>126</v>
      </c>
      <c r="B27" s="0" t="s">
        <v>19</v>
      </c>
      <c r="C27" s="0" t="s">
        <v>177</v>
      </c>
      <c r="D27" s="0" t="str">
        <f aca="false">_xlfn.XLOOKUP(LEFT(B27,5),WBSNew!$D:$D,WBSNew!$E:$E,"Not found")</f>
        <v>Site study</v>
      </c>
      <c r="E27" s="0" t="s">
        <v>20</v>
      </c>
      <c r="F27" s="21" t="n">
        <v>2000</v>
      </c>
      <c r="G27" s="0" t="n">
        <v>5</v>
      </c>
      <c r="H27" s="0" t="n">
        <v>40</v>
      </c>
      <c r="I27" s="0" t="s">
        <v>22</v>
      </c>
    </row>
    <row r="28" customFormat="false" ht="14.25" hidden="false" customHeight="false" outlineLevel="0" collapsed="false">
      <c r="A28" s="0" t="n">
        <v>127</v>
      </c>
      <c r="B28" s="0" t="s">
        <v>15</v>
      </c>
      <c r="C28" s="0" t="s">
        <v>177</v>
      </c>
      <c r="D28" s="0" t="str">
        <f aca="false">_xlfn.XLOOKUP(LEFT(B28,5),WBSNew!$D:$D,WBSNew!$E:$E,"Not found")</f>
        <v>Site visit 2 days</v>
      </c>
      <c r="E28" s="0" t="s">
        <v>16</v>
      </c>
      <c r="F28" s="21" t="n">
        <v>1400</v>
      </c>
      <c r="G28" s="0" t="n">
        <v>2</v>
      </c>
      <c r="H28" s="0" t="n">
        <v>16</v>
      </c>
      <c r="I28" s="0" t="s">
        <v>18</v>
      </c>
    </row>
    <row r="29" customFormat="false" ht="14.25" hidden="false" customHeight="false" outlineLevel="0" collapsed="false">
      <c r="A29" s="0" t="n">
        <v>128</v>
      </c>
      <c r="B29" s="0" t="s">
        <v>100</v>
      </c>
      <c r="C29" s="0" t="s">
        <v>179</v>
      </c>
      <c r="D29" s="0" t="str">
        <f aca="false">_xlfn.XLOOKUP(LEFT(B29,5),WBSNew!$D:$D,WBSNew!$E:$E,"Not found")</f>
        <v>Startup - Bandwidth Control System</v>
      </c>
      <c r="E29" s="0" t="s">
        <v>101</v>
      </c>
      <c r="F29" s="21" t="n">
        <v>800</v>
      </c>
      <c r="G29" s="0" t="n">
        <v>4</v>
      </c>
      <c r="H29" s="0" t="n">
        <v>16</v>
      </c>
      <c r="I29" s="0" t="s">
        <v>102</v>
      </c>
    </row>
    <row r="30" customFormat="false" ht="14.25" hidden="false" customHeight="false" outlineLevel="0" collapsed="false">
      <c r="A30" s="0" t="n">
        <v>129</v>
      </c>
      <c r="B30" s="0" t="s">
        <v>78</v>
      </c>
      <c r="C30" s="0" t="s">
        <v>179</v>
      </c>
      <c r="D30" s="0" t="str">
        <f aca="false">_xlfn.XLOOKUP(LEFT(B30,5),WBSNew!$D:$D,WBSNew!$E:$E,"Not found")</f>
        <v>Startup - Bandwidth Distrubution System</v>
      </c>
      <c r="E30" s="0" t="s">
        <v>79</v>
      </c>
      <c r="F30" s="21" t="n">
        <v>400</v>
      </c>
      <c r="G30" s="0" t="n">
        <v>10</v>
      </c>
      <c r="H30" s="0" t="n">
        <v>8</v>
      </c>
      <c r="I30" s="0" t="s">
        <v>80</v>
      </c>
    </row>
    <row r="31" customFormat="false" ht="14.25" hidden="false" customHeight="false" outlineLevel="0" collapsed="false">
      <c r="A31" s="0" t="n">
        <v>130</v>
      </c>
      <c r="B31" s="0" t="s">
        <v>123</v>
      </c>
      <c r="C31" s="0" t="s">
        <v>179</v>
      </c>
      <c r="D31" s="0" t="str">
        <f aca="false">_xlfn.XLOOKUP(LEFT(B31,5),WBSNew!$D:$D,WBSNew!$E:$E,"Not found")</f>
        <v>Startup - Customer Premise Equipment</v>
      </c>
      <c r="E31" s="0" t="s">
        <v>124</v>
      </c>
      <c r="F31" s="21" t="n">
        <v>1200</v>
      </c>
      <c r="G31" s="0" t="n">
        <v>20</v>
      </c>
      <c r="H31" s="0" t="n">
        <v>24</v>
      </c>
      <c r="I31" s="0" t="s">
        <v>125</v>
      </c>
    </row>
    <row r="32" customFormat="false" ht="14.25" hidden="false" customHeight="false" outlineLevel="0" collapsed="false">
      <c r="A32" s="0" t="n">
        <v>131</v>
      </c>
      <c r="B32" s="0" t="s">
        <v>145</v>
      </c>
      <c r="C32" s="0" t="s">
        <v>180</v>
      </c>
      <c r="D32" s="0" t="str">
        <f aca="false">_xlfn.XLOOKUP(LEFT(B32,5),WBSNew!$D:$D,WBSNew!$E:$E,"Not found")</f>
        <v>Support - Bandwidth Control Unit</v>
      </c>
      <c r="E32" s="0" t="s">
        <v>146</v>
      </c>
      <c r="F32" s="21" t="n">
        <v>200</v>
      </c>
      <c r="G32" s="0" t="n">
        <v>20</v>
      </c>
      <c r="H32" s="0" t="n">
        <v>4</v>
      </c>
      <c r="I32" s="0" t="s">
        <v>144</v>
      </c>
    </row>
    <row r="33" customFormat="false" ht="14.25" hidden="false" customHeight="false" outlineLevel="0" collapsed="false">
      <c r="A33" s="0" t="n">
        <v>132</v>
      </c>
      <c r="B33" s="0" t="s">
        <v>147</v>
      </c>
      <c r="C33" s="0" t="s">
        <v>180</v>
      </c>
      <c r="D33" s="0" t="str">
        <f aca="false">_xlfn.XLOOKUP(LEFT(B33,5),WBSNew!$D:$D,WBSNew!$E:$E,"Not found")</f>
        <v>Support - Computer Software</v>
      </c>
      <c r="E33" s="0" t="s">
        <v>148</v>
      </c>
      <c r="F33" s="21" t="n">
        <v>200</v>
      </c>
      <c r="G33" s="0" t="n">
        <v>20</v>
      </c>
      <c r="H33" s="0" t="n">
        <v>4</v>
      </c>
      <c r="I33" s="0" t="s">
        <v>144</v>
      </c>
    </row>
    <row r="34" customFormat="false" ht="14.25" hidden="false" customHeight="false" outlineLevel="0" collapsed="false">
      <c r="A34" s="0" t="n">
        <v>133</v>
      </c>
      <c r="B34" s="0" t="s">
        <v>151</v>
      </c>
      <c r="C34" s="0" t="s">
        <v>180</v>
      </c>
      <c r="D34" s="0" t="str">
        <f aca="false">_xlfn.XLOOKUP(LEFT(B34,5),WBSNew!$D:$D,WBSNew!$E:$E,"Not found")</f>
        <v>Support - Customer Wireless Device</v>
      </c>
      <c r="E34" s="0" t="s">
        <v>152</v>
      </c>
      <c r="F34" s="21" t="n">
        <v>100</v>
      </c>
      <c r="G34" s="0" t="n">
        <v>20</v>
      </c>
      <c r="H34" s="0" t="n">
        <v>2</v>
      </c>
      <c r="I34" s="0" t="s">
        <v>144</v>
      </c>
    </row>
    <row r="35" customFormat="false" ht="14.25" hidden="false" customHeight="false" outlineLevel="0" collapsed="false">
      <c r="A35" s="0" t="n">
        <v>134</v>
      </c>
      <c r="B35" s="0" t="s">
        <v>153</v>
      </c>
      <c r="C35" s="0" t="s">
        <v>180</v>
      </c>
      <c r="D35" s="0" t="str">
        <f aca="false">_xlfn.XLOOKUP(LEFT(B35,5),WBSNew!$D:$D,WBSNew!$E:$E,"Not found")</f>
        <v>Support - General Support</v>
      </c>
      <c r="E35" s="0" t="s">
        <v>154</v>
      </c>
      <c r="F35" s="21" t="n">
        <v>400</v>
      </c>
      <c r="G35" s="0" t="n">
        <v>20</v>
      </c>
      <c r="H35" s="0" t="n">
        <v>8</v>
      </c>
      <c r="I35" s="0" t="s">
        <v>155</v>
      </c>
    </row>
    <row r="36" customFormat="false" ht="14.25" hidden="false" customHeight="false" outlineLevel="0" collapsed="false">
      <c r="A36" s="0" t="n">
        <v>135</v>
      </c>
      <c r="B36" s="0" t="s">
        <v>149</v>
      </c>
      <c r="C36" s="0" t="s">
        <v>180</v>
      </c>
      <c r="D36" s="0" t="str">
        <f aca="false">_xlfn.XLOOKUP(LEFT(B36,5),WBSNew!$D:$D,WBSNew!$E:$E,"Not found")</f>
        <v>Support - Router</v>
      </c>
      <c r="E36" s="0" t="s">
        <v>150</v>
      </c>
      <c r="F36" s="21" t="n">
        <v>200</v>
      </c>
      <c r="G36" s="0" t="n">
        <v>20</v>
      </c>
      <c r="H36" s="0" t="n">
        <v>4</v>
      </c>
      <c r="I36" s="0" t="s">
        <v>144</v>
      </c>
    </row>
    <row r="37" customFormat="false" ht="14.25" hidden="false" customHeight="false" outlineLevel="0" collapsed="false">
      <c r="A37" s="0" t="n">
        <v>136</v>
      </c>
      <c r="B37" s="0" t="s">
        <v>142</v>
      </c>
      <c r="C37" s="0" t="s">
        <v>180</v>
      </c>
      <c r="D37" s="0" t="str">
        <f aca="false">_xlfn.XLOOKUP(LEFT(B37,5),WBSNew!$D:$D,WBSNew!$E:$E,"Not found")</f>
        <v>Support - Wireless Access Point</v>
      </c>
      <c r="E37" s="0" t="s">
        <v>143</v>
      </c>
      <c r="F37" s="21" t="n">
        <v>200</v>
      </c>
      <c r="G37" s="0" t="n">
        <v>20</v>
      </c>
      <c r="H37" s="0" t="n">
        <v>4</v>
      </c>
      <c r="I37" s="0" t="s">
        <v>144</v>
      </c>
    </row>
    <row r="38" customFormat="false" ht="14.25" hidden="false" customHeight="false" outlineLevel="0" collapsed="false">
      <c r="A38" s="0" t="n">
        <v>137</v>
      </c>
      <c r="B38" s="0" t="s">
        <v>29</v>
      </c>
      <c r="C38" s="0" t="s">
        <v>177</v>
      </c>
      <c r="D38" s="0" t="str">
        <f aca="false">_xlfn.XLOOKUP(LEFT(B38,5),WBSNew!$D:$D,WBSNew!$E:$E,"Not found")</f>
        <v>Technical Manual</v>
      </c>
      <c r="E38" s="0" t="s">
        <v>30</v>
      </c>
      <c r="F38" s="21" t="n">
        <v>2000</v>
      </c>
      <c r="G38" s="0" t="n">
        <v>5</v>
      </c>
      <c r="H38" s="0" t="n">
        <v>40</v>
      </c>
      <c r="I38" s="0" t="s">
        <v>31</v>
      </c>
    </row>
    <row r="39" customFormat="false" ht="14.25" hidden="false" customHeight="false" outlineLevel="0" collapsed="false">
      <c r="G39" s="0" t="n">
        <v>20</v>
      </c>
    </row>
  </sheetData>
  <autoFilter ref="B1:I39">
    <sortState ref="B2:I39">
      <sortCondition ref="D2:D39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9140625" defaultRowHeight="14.25" customHeight="false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4.25" hidden="false" customHeight="false" outlineLevel="0" collapsed="false">
      <c r="A1" s="22" t="s">
        <v>181</v>
      </c>
      <c r="B1" s="22" t="s">
        <v>182</v>
      </c>
      <c r="C1" s="22" t="s">
        <v>183</v>
      </c>
      <c r="D1" s="22" t="s">
        <v>3</v>
      </c>
      <c r="E1" s="22" t="s">
        <v>184</v>
      </c>
      <c r="F1" s="22" t="s">
        <v>185</v>
      </c>
      <c r="G1" s="22" t="s">
        <v>186</v>
      </c>
      <c r="H1" s="22" t="s">
        <v>187</v>
      </c>
    </row>
    <row r="2" s="23" customFormat="true" ht="14.25" hidden="false" customHeight="false" outlineLevel="0" collapsed="false">
      <c r="A2" s="23" t="s">
        <v>188</v>
      </c>
      <c r="E2" s="23" t="s">
        <v>189</v>
      </c>
    </row>
    <row r="3" customFormat="false" ht="14.25" hidden="false" customHeight="false" outlineLevel="0" collapsed="false">
      <c r="A3" s="0" t="s">
        <v>188</v>
      </c>
      <c r="B3" s="0" t="s">
        <v>190</v>
      </c>
      <c r="D3" s="0" t="s">
        <v>191</v>
      </c>
      <c r="E3" s="0" t="s">
        <v>192</v>
      </c>
      <c r="F3" s="24" t="n">
        <f aca="false">SUM(F4,F5,F6)</f>
        <v>4300</v>
      </c>
      <c r="G3" s="25" t="n">
        <f aca="false">MAX(G4,G5,G6)</f>
        <v>21</v>
      </c>
    </row>
    <row r="4" customFormat="false" ht="14.25" hidden="false" customHeight="false" outlineLevel="0" collapsed="false">
      <c r="A4" s="0" t="s">
        <v>188</v>
      </c>
      <c r="B4" s="0" t="s">
        <v>190</v>
      </c>
      <c r="C4" s="0" t="s">
        <v>193</v>
      </c>
      <c r="D4" s="0" t="s">
        <v>194</v>
      </c>
      <c r="E4" s="0" t="s">
        <v>195</v>
      </c>
      <c r="F4" s="26" t="n">
        <v>4000</v>
      </c>
      <c r="G4" s="27" t="n">
        <v>21</v>
      </c>
    </row>
    <row r="5" customFormat="false" ht="14.25" hidden="false" customHeight="false" outlineLevel="0" collapsed="false">
      <c r="A5" s="0" t="s">
        <v>188</v>
      </c>
      <c r="B5" s="0" t="s">
        <v>190</v>
      </c>
      <c r="C5" s="0" t="s">
        <v>196</v>
      </c>
      <c r="D5" s="0" t="s">
        <v>197</v>
      </c>
      <c r="E5" s="0" t="s">
        <v>198</v>
      </c>
      <c r="F5" s="26" t="n">
        <v>200</v>
      </c>
      <c r="G5" s="27" t="n">
        <v>10</v>
      </c>
    </row>
    <row r="6" customFormat="false" ht="14.25" hidden="false" customHeight="false" outlineLevel="0" collapsed="false">
      <c r="A6" s="0" t="s">
        <v>188</v>
      </c>
      <c r="B6" s="0" t="s">
        <v>190</v>
      </c>
      <c r="C6" s="0" t="s">
        <v>199</v>
      </c>
      <c r="D6" s="0" t="s">
        <v>200</v>
      </c>
      <c r="E6" s="0" t="s">
        <v>201</v>
      </c>
      <c r="F6" s="26" t="n">
        <v>100</v>
      </c>
      <c r="G6" s="27" t="n">
        <v>7</v>
      </c>
    </row>
    <row r="7" customFormat="false" ht="14.25" hidden="false" customHeight="false" outlineLevel="0" collapsed="false">
      <c r="A7" s="0" t="s">
        <v>188</v>
      </c>
      <c r="B7" s="0" t="s">
        <v>202</v>
      </c>
      <c r="D7" s="0" t="s">
        <v>203</v>
      </c>
      <c r="E7" s="0" t="s">
        <v>204</v>
      </c>
      <c r="F7" s="24" t="n">
        <f aca="false">SUM(F8,F9,F10)</f>
        <v>5800</v>
      </c>
      <c r="G7" s="25" t="n">
        <f aca="false">MAX(G8,G9,G10)</f>
        <v>21</v>
      </c>
    </row>
    <row r="8" customFormat="false" ht="14.25" hidden="false" customHeight="false" outlineLevel="0" collapsed="false">
      <c r="A8" s="0" t="s">
        <v>188</v>
      </c>
      <c r="B8" s="0" t="s">
        <v>202</v>
      </c>
      <c r="C8" s="0" t="s">
        <v>196</v>
      </c>
      <c r="D8" s="0" t="s">
        <v>88</v>
      </c>
      <c r="E8" s="0" t="s">
        <v>205</v>
      </c>
      <c r="F8" s="26" t="n">
        <v>300</v>
      </c>
      <c r="G8" s="27" t="n">
        <v>10</v>
      </c>
    </row>
    <row r="9" customFormat="false" ht="14.25" hidden="false" customHeight="false" outlineLevel="0" collapsed="false">
      <c r="A9" s="0" t="s">
        <v>188</v>
      </c>
      <c r="B9" s="0" t="s">
        <v>202</v>
      </c>
      <c r="C9" s="0" t="s">
        <v>206</v>
      </c>
      <c r="D9" s="0" t="s">
        <v>83</v>
      </c>
      <c r="E9" s="0" t="s">
        <v>207</v>
      </c>
      <c r="F9" s="26" t="n">
        <v>4000</v>
      </c>
      <c r="G9" s="27" t="n">
        <v>21</v>
      </c>
    </row>
    <row r="10" customFormat="false" ht="14.25" hidden="false" customHeight="false" outlineLevel="0" collapsed="false">
      <c r="A10" s="0" t="s">
        <v>188</v>
      </c>
      <c r="B10" s="0" t="s">
        <v>202</v>
      </c>
      <c r="C10" s="0" t="s">
        <v>208</v>
      </c>
      <c r="D10" s="0" t="s">
        <v>86</v>
      </c>
      <c r="E10" s="0" t="s">
        <v>209</v>
      </c>
      <c r="F10" s="26" t="n">
        <v>1500</v>
      </c>
      <c r="G10" s="27" t="n">
        <v>14</v>
      </c>
    </row>
    <row r="11" customFormat="false" ht="14.25" hidden="false" customHeight="false" outlineLevel="0" collapsed="false">
      <c r="A11" s="0" t="s">
        <v>188</v>
      </c>
      <c r="B11" s="0" t="s">
        <v>210</v>
      </c>
      <c r="D11" s="0" t="s">
        <v>211</v>
      </c>
      <c r="E11" s="0" t="s">
        <v>212</v>
      </c>
      <c r="F11" s="24" t="n">
        <f aca="false">SUM(F12,F13,F14,F15,F16,F17,F18,F19)</f>
        <v>6400</v>
      </c>
      <c r="G11" s="25" t="n">
        <f aca="false">MAX(G12,G13,G14,G15,G16,G17,G18,G19)</f>
        <v>21</v>
      </c>
    </row>
    <row r="12" customFormat="false" ht="14.25" hidden="false" customHeight="false" outlineLevel="0" collapsed="false">
      <c r="A12" s="0" t="s">
        <v>188</v>
      </c>
      <c r="B12" s="0" t="s">
        <v>210</v>
      </c>
      <c r="C12" s="0" t="s">
        <v>213</v>
      </c>
      <c r="D12" s="0" t="s">
        <v>58</v>
      </c>
      <c r="E12" s="0" t="s">
        <v>214</v>
      </c>
      <c r="F12" s="26" t="n">
        <v>800</v>
      </c>
      <c r="G12" s="27" t="n">
        <v>14</v>
      </c>
    </row>
    <row r="13" customFormat="false" ht="14.25" hidden="false" customHeight="false" outlineLevel="0" collapsed="false">
      <c r="A13" s="0" t="s">
        <v>188</v>
      </c>
      <c r="B13" s="0" t="s">
        <v>210</v>
      </c>
      <c r="C13" s="0" t="s">
        <v>193</v>
      </c>
      <c r="D13" s="0" t="s">
        <v>55</v>
      </c>
      <c r="E13" s="0" t="s">
        <v>215</v>
      </c>
      <c r="F13" s="26" t="n">
        <v>600</v>
      </c>
      <c r="G13" s="27" t="n">
        <v>14</v>
      </c>
    </row>
    <row r="14" customFormat="false" ht="14.25" hidden="false" customHeight="false" outlineLevel="0" collapsed="false">
      <c r="A14" s="0" t="s">
        <v>188</v>
      </c>
      <c r="B14" s="0" t="s">
        <v>210</v>
      </c>
      <c r="C14" s="0" t="s">
        <v>216</v>
      </c>
      <c r="D14" s="0" t="s">
        <v>49</v>
      </c>
      <c r="E14" s="0" t="s">
        <v>217</v>
      </c>
      <c r="F14" s="26" t="n">
        <v>2200</v>
      </c>
      <c r="G14" s="27" t="n">
        <v>21</v>
      </c>
    </row>
    <row r="15" customFormat="false" ht="14.25" hidden="false" customHeight="false" outlineLevel="0" collapsed="false">
      <c r="A15" s="0" t="s">
        <v>188</v>
      </c>
      <c r="B15" s="0" t="s">
        <v>210</v>
      </c>
      <c r="C15" s="0" t="s">
        <v>196</v>
      </c>
      <c r="D15" s="0" t="s">
        <v>61</v>
      </c>
      <c r="E15" s="0" t="s">
        <v>218</v>
      </c>
      <c r="F15" s="26" t="n">
        <v>150</v>
      </c>
      <c r="G15" s="27" t="n">
        <v>7</v>
      </c>
    </row>
    <row r="16" customFormat="false" ht="14.25" hidden="false" customHeight="false" outlineLevel="0" collapsed="false">
      <c r="A16" s="0" t="s">
        <v>188</v>
      </c>
      <c r="B16" s="0" t="s">
        <v>210</v>
      </c>
      <c r="C16" s="0" t="s">
        <v>199</v>
      </c>
      <c r="D16" s="0" t="s">
        <v>64</v>
      </c>
      <c r="E16" s="0" t="s">
        <v>219</v>
      </c>
      <c r="F16" s="26" t="n">
        <v>100</v>
      </c>
      <c r="G16" s="27" t="n">
        <v>7</v>
      </c>
    </row>
    <row r="17" customFormat="false" ht="14.25" hidden="false" customHeight="false" outlineLevel="0" collapsed="false">
      <c r="A17" s="0" t="s">
        <v>188</v>
      </c>
      <c r="B17" s="0" t="s">
        <v>210</v>
      </c>
      <c r="C17" s="0" t="s">
        <v>220</v>
      </c>
      <c r="D17" s="0" t="s">
        <v>67</v>
      </c>
      <c r="E17" s="0" t="s">
        <v>221</v>
      </c>
      <c r="F17" s="26" t="n">
        <v>150</v>
      </c>
      <c r="G17" s="27" t="n">
        <v>10</v>
      </c>
    </row>
    <row r="18" customFormat="false" ht="14.25" hidden="false" customHeight="false" outlineLevel="0" collapsed="false">
      <c r="A18" s="0" t="s">
        <v>188</v>
      </c>
      <c r="B18" s="0" t="s">
        <v>210</v>
      </c>
      <c r="C18" s="0" t="s">
        <v>222</v>
      </c>
      <c r="D18" s="0" t="s">
        <v>70</v>
      </c>
      <c r="E18" s="0" t="s">
        <v>223</v>
      </c>
      <c r="F18" s="26" t="n">
        <v>200</v>
      </c>
      <c r="G18" s="27" t="n">
        <v>10</v>
      </c>
    </row>
    <row r="19" customFormat="false" ht="14.25" hidden="false" customHeight="false" outlineLevel="0" collapsed="false">
      <c r="A19" s="0" t="s">
        <v>188</v>
      </c>
      <c r="B19" s="0" t="s">
        <v>210</v>
      </c>
      <c r="C19" s="0" t="s">
        <v>224</v>
      </c>
      <c r="D19" s="0" t="s">
        <v>52</v>
      </c>
      <c r="E19" s="0" t="s">
        <v>225</v>
      </c>
      <c r="F19" s="26" t="n">
        <v>2200</v>
      </c>
      <c r="G19" s="27" t="n">
        <v>21</v>
      </c>
    </row>
    <row r="20" customFormat="false" ht="14.25" hidden="false" customHeight="false" outlineLevel="0" collapsed="false">
      <c r="A20" s="0" t="s">
        <v>188</v>
      </c>
      <c r="B20" s="0" t="s">
        <v>226</v>
      </c>
      <c r="D20" s="0" t="s">
        <v>227</v>
      </c>
      <c r="E20" s="0" t="s">
        <v>228</v>
      </c>
      <c r="F20" s="24" t="n">
        <f aca="false">SUM(F21,F22,F23)</f>
        <v>10800</v>
      </c>
      <c r="G20" s="25" t="n">
        <f aca="false">MAX(G21,G22,G23)</f>
        <v>30</v>
      </c>
    </row>
    <row r="21" customFormat="false" ht="14.25" hidden="false" customHeight="false" outlineLevel="0" collapsed="false">
      <c r="A21" s="0" t="s">
        <v>188</v>
      </c>
      <c r="B21" s="0" t="s">
        <v>226</v>
      </c>
      <c r="C21" s="0" t="s">
        <v>196</v>
      </c>
      <c r="D21" s="0" t="s">
        <v>229</v>
      </c>
      <c r="E21" s="0" t="s">
        <v>230</v>
      </c>
      <c r="F21" s="26" t="n">
        <v>300</v>
      </c>
      <c r="G21" s="27" t="n">
        <v>10</v>
      </c>
    </row>
    <row r="22" customFormat="false" ht="14.25" hidden="false" customHeight="false" outlineLevel="0" collapsed="false">
      <c r="A22" s="0" t="s">
        <v>188</v>
      </c>
      <c r="B22" s="0" t="s">
        <v>226</v>
      </c>
      <c r="C22" s="0" t="s">
        <v>231</v>
      </c>
      <c r="D22" s="0" t="s">
        <v>232</v>
      </c>
      <c r="E22" s="0" t="s">
        <v>233</v>
      </c>
      <c r="F22" s="26" t="n">
        <v>8000</v>
      </c>
      <c r="G22" s="27" t="n">
        <v>30</v>
      </c>
    </row>
    <row r="23" customFormat="false" ht="14.25" hidden="false" customHeight="false" outlineLevel="0" collapsed="false">
      <c r="A23" s="0" t="s">
        <v>188</v>
      </c>
      <c r="B23" s="0" t="s">
        <v>226</v>
      </c>
      <c r="C23" s="0" t="s">
        <v>234</v>
      </c>
      <c r="D23" s="0" t="s">
        <v>91</v>
      </c>
      <c r="E23" s="0" t="s">
        <v>235</v>
      </c>
      <c r="F23" s="26" t="n">
        <v>2500</v>
      </c>
      <c r="G23" s="27" t="n">
        <v>21</v>
      </c>
    </row>
    <row r="24" customFormat="false" ht="14.25" hidden="false" customHeight="false" outlineLevel="0" collapsed="false">
      <c r="A24" s="0" t="s">
        <v>188</v>
      </c>
      <c r="B24" s="0" t="s">
        <v>236</v>
      </c>
      <c r="D24" s="0" t="s">
        <v>237</v>
      </c>
      <c r="E24" s="0" t="s">
        <v>238</v>
      </c>
      <c r="F24" s="24" t="n">
        <f aca="false">SUM(F25,F26,F27,F28)</f>
        <v>223</v>
      </c>
      <c r="G24" s="25" t="n">
        <f aca="false">MAX(G25,G26,G27,G28)</f>
        <v>14</v>
      </c>
    </row>
    <row r="25" customFormat="false" ht="14.25" hidden="false" customHeight="false" outlineLevel="0" collapsed="false">
      <c r="A25" s="0" t="s">
        <v>188</v>
      </c>
      <c r="B25" s="0" t="s">
        <v>236</v>
      </c>
      <c r="C25" s="0" t="s">
        <v>193</v>
      </c>
      <c r="D25" s="0" t="s">
        <v>108</v>
      </c>
      <c r="E25" s="0" t="s">
        <v>239</v>
      </c>
      <c r="F25" s="26" t="n">
        <v>25</v>
      </c>
      <c r="G25" s="27" t="n">
        <v>14</v>
      </c>
    </row>
    <row r="26" customFormat="false" ht="14.25" hidden="false" customHeight="false" outlineLevel="0" collapsed="false">
      <c r="A26" s="0" t="s">
        <v>188</v>
      </c>
      <c r="B26" s="0" t="s">
        <v>236</v>
      </c>
      <c r="C26" s="0" t="s">
        <v>240</v>
      </c>
      <c r="D26" s="0" t="s">
        <v>114</v>
      </c>
      <c r="E26" s="0" t="s">
        <v>241</v>
      </c>
      <c r="F26" s="26" t="n">
        <v>15</v>
      </c>
      <c r="G26" s="27" t="n">
        <v>7</v>
      </c>
    </row>
    <row r="27" customFormat="false" ht="14.25" hidden="false" customHeight="false" outlineLevel="0" collapsed="false">
      <c r="A27" s="0" t="s">
        <v>188</v>
      </c>
      <c r="B27" s="0" t="s">
        <v>236</v>
      </c>
      <c r="C27" s="0" t="s">
        <v>196</v>
      </c>
      <c r="D27" s="0" t="s">
        <v>111</v>
      </c>
      <c r="E27" s="0" t="s">
        <v>242</v>
      </c>
      <c r="F27" s="26" t="n">
        <v>8</v>
      </c>
      <c r="G27" s="27" t="n">
        <v>7</v>
      </c>
    </row>
    <row r="28" customFormat="false" ht="14.25" hidden="false" customHeight="false" outlineLevel="0" collapsed="false">
      <c r="A28" s="0" t="s">
        <v>188</v>
      </c>
      <c r="B28" s="0" t="s">
        <v>236</v>
      </c>
      <c r="C28" s="0" t="s">
        <v>243</v>
      </c>
      <c r="D28" s="0" t="s">
        <v>105</v>
      </c>
      <c r="E28" s="0" t="s">
        <v>244</v>
      </c>
      <c r="F28" s="26" t="n">
        <v>175</v>
      </c>
      <c r="G28" s="27" t="n">
        <v>14</v>
      </c>
    </row>
    <row r="29" customFormat="false" ht="14.25" hidden="false" customHeight="false" outlineLevel="0" collapsed="false">
      <c r="A29" s="0" t="s">
        <v>188</v>
      </c>
      <c r="B29" s="0" t="s">
        <v>245</v>
      </c>
      <c r="D29" s="0" t="s">
        <v>246</v>
      </c>
      <c r="E29" s="0" t="s">
        <v>247</v>
      </c>
      <c r="F29" s="24" t="n">
        <f aca="false">SUM(F30,F31)</f>
        <v>5500</v>
      </c>
      <c r="G29" s="25" t="n">
        <f aca="false">MAX(G30,G31)</f>
        <v>21</v>
      </c>
    </row>
    <row r="30" customFormat="false" ht="14.25" hidden="false" customHeight="false" outlineLevel="0" collapsed="false">
      <c r="A30" s="0" t="s">
        <v>188</v>
      </c>
      <c r="B30" s="0" t="s">
        <v>245</v>
      </c>
      <c r="C30" s="0" t="s">
        <v>206</v>
      </c>
      <c r="D30" s="0" t="s">
        <v>248</v>
      </c>
      <c r="E30" s="0" t="s">
        <v>249</v>
      </c>
      <c r="F30" s="26" t="n">
        <v>4000</v>
      </c>
      <c r="G30" s="27" t="n">
        <v>21</v>
      </c>
    </row>
    <row r="31" customFormat="false" ht="14.25" hidden="false" customHeight="false" outlineLevel="0" collapsed="false">
      <c r="A31" s="0" t="s">
        <v>188</v>
      </c>
      <c r="B31" s="0" t="s">
        <v>245</v>
      </c>
      <c r="C31" s="0" t="s">
        <v>208</v>
      </c>
      <c r="D31" s="0" t="s">
        <v>250</v>
      </c>
      <c r="E31" s="0" t="s">
        <v>251</v>
      </c>
      <c r="F31" s="26" t="n">
        <v>1500</v>
      </c>
      <c r="G31" s="27" t="n">
        <v>14</v>
      </c>
    </row>
    <row r="32" customFormat="false" ht="14.25" hidden="false" customHeight="false" outlineLevel="0" collapsed="false">
      <c r="A32" s="0" t="s">
        <v>188</v>
      </c>
      <c r="B32" s="0" t="s">
        <v>252</v>
      </c>
      <c r="D32" s="0" t="s">
        <v>253</v>
      </c>
      <c r="E32" s="0" t="s">
        <v>254</v>
      </c>
      <c r="F32" s="24" t="n">
        <f aca="false">SUM(F33,F34,F35,F36,F37)</f>
        <v>14700</v>
      </c>
      <c r="G32" s="25" t="n">
        <f aca="false">MAX(G33,G34,G35,G36,G37)</f>
        <v>30</v>
      </c>
    </row>
    <row r="33" customFormat="false" ht="14.25" hidden="false" customHeight="false" outlineLevel="0" collapsed="false">
      <c r="A33" s="0" t="s">
        <v>188</v>
      </c>
      <c r="B33" s="0" t="s">
        <v>252</v>
      </c>
      <c r="C33" s="0" t="s">
        <v>255</v>
      </c>
      <c r="D33" s="0" t="s">
        <v>256</v>
      </c>
      <c r="E33" s="0" t="s">
        <v>257</v>
      </c>
      <c r="F33" s="26" t="n">
        <v>6000</v>
      </c>
      <c r="G33" s="27" t="n">
        <v>30</v>
      </c>
    </row>
    <row r="34" customFormat="false" ht="14.25" hidden="false" customHeight="false" outlineLevel="0" collapsed="false">
      <c r="A34" s="0" t="s">
        <v>188</v>
      </c>
      <c r="B34" s="0" t="s">
        <v>252</v>
      </c>
      <c r="C34" s="0" t="s">
        <v>258</v>
      </c>
      <c r="D34" s="0" t="s">
        <v>259</v>
      </c>
      <c r="E34" s="0" t="s">
        <v>260</v>
      </c>
      <c r="F34" s="26" t="n">
        <v>4000</v>
      </c>
      <c r="G34" s="27" t="n">
        <v>30</v>
      </c>
    </row>
    <row r="35" customFormat="false" ht="14.25" hidden="false" customHeight="false" outlineLevel="0" collapsed="false">
      <c r="A35" s="0" t="s">
        <v>188</v>
      </c>
      <c r="B35" s="0" t="s">
        <v>252</v>
      </c>
      <c r="C35" s="0" t="s">
        <v>240</v>
      </c>
      <c r="D35" s="0" t="s">
        <v>261</v>
      </c>
      <c r="E35" s="0" t="s">
        <v>262</v>
      </c>
      <c r="F35" s="26" t="n">
        <v>200</v>
      </c>
      <c r="G35" s="27" t="n">
        <v>10</v>
      </c>
    </row>
    <row r="36" customFormat="false" ht="14.25" hidden="false" customHeight="false" outlineLevel="0" collapsed="false">
      <c r="A36" s="0" t="s">
        <v>188</v>
      </c>
      <c r="B36" s="0" t="s">
        <v>252</v>
      </c>
      <c r="C36" s="0" t="s">
        <v>263</v>
      </c>
      <c r="D36" s="0" t="s">
        <v>264</v>
      </c>
      <c r="E36" s="0" t="s">
        <v>265</v>
      </c>
      <c r="F36" s="26" t="n">
        <v>3000</v>
      </c>
      <c r="G36" s="27" t="n">
        <v>21</v>
      </c>
    </row>
    <row r="37" customFormat="false" ht="14.25" hidden="false" customHeight="false" outlineLevel="0" collapsed="false">
      <c r="A37" s="0" t="s">
        <v>188</v>
      </c>
      <c r="B37" s="0" t="s">
        <v>252</v>
      </c>
      <c r="C37" s="0" t="s">
        <v>266</v>
      </c>
      <c r="D37" s="0" t="s">
        <v>267</v>
      </c>
      <c r="E37" s="0" t="s">
        <v>268</v>
      </c>
      <c r="F37" s="26" t="n">
        <v>1500</v>
      </c>
      <c r="G37" s="27" t="n">
        <v>14</v>
      </c>
    </row>
    <row r="38" customFormat="false" ht="14.25" hidden="false" customHeight="false" outlineLevel="0" collapsed="false">
      <c r="A38" s="0" t="s">
        <v>188</v>
      </c>
      <c r="B38" s="0" t="s">
        <v>269</v>
      </c>
      <c r="D38" s="0" t="s">
        <v>270</v>
      </c>
      <c r="E38" s="0" t="s">
        <v>271</v>
      </c>
      <c r="F38" s="24" t="n">
        <f aca="false">SUM(F39,F40,F41,F42,F43,F44,F45)</f>
        <v>12850</v>
      </c>
      <c r="G38" s="25" t="n">
        <f aca="false">MAX(G39,G40,G41,G42,G43,G44,G45)</f>
        <v>21</v>
      </c>
    </row>
    <row r="39" customFormat="false" ht="14.25" hidden="false" customHeight="false" outlineLevel="0" collapsed="false">
      <c r="A39" s="0" t="s">
        <v>188</v>
      </c>
      <c r="B39" s="0" t="s">
        <v>269</v>
      </c>
      <c r="C39" s="0" t="s">
        <v>196</v>
      </c>
      <c r="D39" s="0" t="s">
        <v>272</v>
      </c>
      <c r="E39" s="0" t="s">
        <v>273</v>
      </c>
      <c r="F39" s="26" t="n">
        <v>200</v>
      </c>
      <c r="G39" s="27" t="n">
        <v>10</v>
      </c>
    </row>
    <row r="40" customFormat="false" ht="14.25" hidden="false" customHeight="false" outlineLevel="0" collapsed="false">
      <c r="A40" s="0" t="s">
        <v>188</v>
      </c>
      <c r="B40" s="0" t="s">
        <v>269</v>
      </c>
      <c r="C40" s="0" t="s">
        <v>206</v>
      </c>
      <c r="D40" s="0" t="s">
        <v>274</v>
      </c>
      <c r="E40" s="0" t="s">
        <v>275</v>
      </c>
      <c r="F40" s="26" t="n">
        <v>2500</v>
      </c>
      <c r="G40" s="27" t="n">
        <v>21</v>
      </c>
    </row>
    <row r="41" customFormat="false" ht="14.25" hidden="false" customHeight="false" outlineLevel="0" collapsed="false">
      <c r="A41" s="0" t="s">
        <v>188</v>
      </c>
      <c r="B41" s="0" t="s">
        <v>269</v>
      </c>
      <c r="C41" s="0" t="s">
        <v>208</v>
      </c>
      <c r="D41" s="0" t="s">
        <v>276</v>
      </c>
      <c r="E41" s="0" t="s">
        <v>277</v>
      </c>
      <c r="F41" s="26" t="n">
        <v>3000</v>
      </c>
      <c r="G41" s="27" t="n">
        <v>14</v>
      </c>
    </row>
    <row r="42" customFormat="false" ht="14.25" hidden="false" customHeight="false" outlineLevel="0" collapsed="false">
      <c r="A42" s="0" t="s">
        <v>188</v>
      </c>
      <c r="B42" s="0" t="s">
        <v>269</v>
      </c>
      <c r="C42" s="0" t="s">
        <v>278</v>
      </c>
      <c r="D42" s="0" t="s">
        <v>279</v>
      </c>
      <c r="E42" s="0" t="s">
        <v>280</v>
      </c>
      <c r="F42" s="26" t="n">
        <v>5000</v>
      </c>
      <c r="G42" s="27" t="n">
        <v>21</v>
      </c>
    </row>
    <row r="43" customFormat="false" ht="14.25" hidden="false" customHeight="false" outlineLevel="0" collapsed="false">
      <c r="A43" s="0" t="s">
        <v>188</v>
      </c>
      <c r="B43" s="0" t="s">
        <v>269</v>
      </c>
      <c r="C43" s="0" t="s">
        <v>234</v>
      </c>
      <c r="D43" s="0" t="s">
        <v>281</v>
      </c>
      <c r="E43" s="0" t="s">
        <v>282</v>
      </c>
      <c r="F43" s="26" t="n">
        <v>1200</v>
      </c>
      <c r="G43" s="27" t="n">
        <v>14</v>
      </c>
    </row>
    <row r="44" customFormat="false" ht="14.25" hidden="false" customHeight="false" outlineLevel="0" collapsed="false">
      <c r="A44" s="0" t="s">
        <v>188</v>
      </c>
      <c r="B44" s="0" t="s">
        <v>269</v>
      </c>
      <c r="C44" s="0" t="s">
        <v>283</v>
      </c>
      <c r="D44" s="0" t="s">
        <v>284</v>
      </c>
      <c r="E44" s="0" t="s">
        <v>285</v>
      </c>
      <c r="F44" s="26" t="n">
        <v>800</v>
      </c>
      <c r="G44" s="27" t="n">
        <v>7</v>
      </c>
    </row>
    <row r="45" customFormat="false" ht="14.25" hidden="false" customHeight="false" outlineLevel="0" collapsed="false">
      <c r="A45" s="0" t="s">
        <v>188</v>
      </c>
      <c r="B45" s="0" t="s">
        <v>269</v>
      </c>
      <c r="C45" s="0" t="s">
        <v>286</v>
      </c>
      <c r="D45" s="0" t="s">
        <v>287</v>
      </c>
      <c r="E45" s="0" t="s">
        <v>288</v>
      </c>
      <c r="F45" s="26" t="n">
        <v>150</v>
      </c>
      <c r="G45" s="27" t="n">
        <v>7</v>
      </c>
    </row>
    <row r="46" customFormat="false" ht="14.25" hidden="false" customHeight="false" outlineLevel="0" collapsed="false">
      <c r="A46" s="0" t="s">
        <v>188</v>
      </c>
      <c r="B46" s="0" t="s">
        <v>240</v>
      </c>
      <c r="C46" s="0" t="s">
        <v>289</v>
      </c>
      <c r="D46" s="0" t="s">
        <v>72</v>
      </c>
      <c r="E46" s="0" t="s">
        <v>290</v>
      </c>
      <c r="F46" s="26" t="n">
        <v>180</v>
      </c>
      <c r="G46" s="27" t="n">
        <v>3</v>
      </c>
      <c r="H46" s="27" t="n">
        <v>4</v>
      </c>
    </row>
    <row r="47" customFormat="false" ht="14.25" hidden="false" customHeight="false" outlineLevel="0" collapsed="false">
      <c r="A47" s="0" t="s">
        <v>188</v>
      </c>
      <c r="B47" s="0" t="s">
        <v>291</v>
      </c>
      <c r="C47" s="0" t="s">
        <v>289</v>
      </c>
      <c r="D47" s="0" t="s">
        <v>292</v>
      </c>
      <c r="E47" s="0" t="s">
        <v>293</v>
      </c>
      <c r="F47" s="26" t="n">
        <v>420</v>
      </c>
      <c r="G47" s="27" t="n">
        <v>3</v>
      </c>
      <c r="H47" s="27" t="n">
        <v>8</v>
      </c>
    </row>
    <row r="48" customFormat="false" ht="14.25" hidden="false" customHeight="false" outlineLevel="0" collapsed="false">
      <c r="A48" s="0" t="s">
        <v>188</v>
      </c>
      <c r="B48" s="0" t="s">
        <v>196</v>
      </c>
      <c r="C48" s="0" t="s">
        <v>289</v>
      </c>
      <c r="D48" s="0" t="s">
        <v>294</v>
      </c>
      <c r="E48" s="0" t="s">
        <v>295</v>
      </c>
      <c r="F48" s="26" t="n">
        <v>240</v>
      </c>
      <c r="G48" s="27" t="n">
        <v>2</v>
      </c>
      <c r="H48" s="27" t="n">
        <v>5</v>
      </c>
    </row>
    <row r="49" s="23" customFormat="true" ht="14.25" hidden="false" customHeight="false" outlineLevel="0" collapsed="false">
      <c r="A49" s="23" t="s">
        <v>296</v>
      </c>
      <c r="D49" s="23" t="s">
        <v>296</v>
      </c>
      <c r="E49" s="23" t="s">
        <v>297</v>
      </c>
    </row>
    <row r="50" customFormat="false" ht="14.25" hidden="false" customHeight="false" outlineLevel="0" collapsed="false">
      <c r="A50" s="0" t="s">
        <v>296</v>
      </c>
      <c r="B50" s="0" t="s">
        <v>298</v>
      </c>
      <c r="D50" s="0" t="s">
        <v>299</v>
      </c>
      <c r="E50" s="0" t="s">
        <v>300</v>
      </c>
      <c r="F50" s="26" t="n">
        <v>1200</v>
      </c>
      <c r="G50" s="27" t="n">
        <v>3</v>
      </c>
      <c r="H50" s="27" t="n">
        <v>24</v>
      </c>
    </row>
    <row r="51" customFormat="false" ht="14.25" hidden="false" customHeight="false" outlineLevel="0" collapsed="false">
      <c r="A51" s="0" t="s">
        <v>296</v>
      </c>
      <c r="B51" s="0" t="s">
        <v>298</v>
      </c>
      <c r="D51" s="0" t="s">
        <v>35</v>
      </c>
      <c r="E51" s="0" t="s">
        <v>301</v>
      </c>
      <c r="F51" s="26" t="n">
        <v>1600</v>
      </c>
      <c r="G51" s="27" t="n">
        <v>4</v>
      </c>
      <c r="H51" s="27" t="n">
        <v>32</v>
      </c>
    </row>
    <row r="52" customFormat="false" ht="14.25" hidden="false" customHeight="false" outlineLevel="0" collapsed="false">
      <c r="A52" s="0" t="s">
        <v>296</v>
      </c>
      <c r="B52" s="0" t="s">
        <v>298</v>
      </c>
      <c r="D52" s="0" t="s">
        <v>32</v>
      </c>
      <c r="E52" s="0" t="s">
        <v>302</v>
      </c>
      <c r="F52" s="26" t="n">
        <v>1200</v>
      </c>
      <c r="G52" s="27" t="n">
        <v>3</v>
      </c>
      <c r="H52" s="27" t="n">
        <v>24</v>
      </c>
    </row>
    <row r="53" customFormat="false" ht="14.25" hidden="false" customHeight="false" outlineLevel="0" collapsed="false">
      <c r="A53" s="0" t="s">
        <v>296</v>
      </c>
      <c r="B53" s="0" t="s">
        <v>298</v>
      </c>
      <c r="D53" s="0" t="s">
        <v>303</v>
      </c>
      <c r="E53" s="0" t="s">
        <v>304</v>
      </c>
      <c r="F53" s="26" t="n">
        <v>800</v>
      </c>
      <c r="G53" s="27" t="n">
        <v>2</v>
      </c>
      <c r="H53" s="27" t="n">
        <v>16</v>
      </c>
    </row>
    <row r="54" customFormat="false" ht="14.25" hidden="false" customHeight="false" outlineLevel="0" collapsed="false">
      <c r="A54" s="0" t="s">
        <v>296</v>
      </c>
      <c r="B54" s="0" t="s">
        <v>298</v>
      </c>
      <c r="D54" s="0" t="s">
        <v>38</v>
      </c>
      <c r="E54" s="0" t="s">
        <v>305</v>
      </c>
      <c r="F54" s="26" t="n">
        <v>400</v>
      </c>
      <c r="G54" s="27" t="n">
        <v>1</v>
      </c>
      <c r="H54" s="27" t="n">
        <v>8</v>
      </c>
    </row>
    <row r="55" customFormat="false" ht="14.25" hidden="false" customHeight="false" outlineLevel="0" collapsed="false">
      <c r="A55" s="0" t="s">
        <v>296</v>
      </c>
      <c r="B55" s="0" t="s">
        <v>298</v>
      </c>
      <c r="D55" s="0" t="s">
        <v>306</v>
      </c>
      <c r="E55" s="0" t="s">
        <v>307</v>
      </c>
      <c r="F55" s="26" t="n">
        <v>1200</v>
      </c>
      <c r="G55" s="27" t="n">
        <v>3</v>
      </c>
      <c r="H55" s="27" t="n">
        <v>24</v>
      </c>
    </row>
    <row r="56" customFormat="false" ht="14.25" hidden="false" customHeight="false" outlineLevel="0" collapsed="false">
      <c r="A56" s="0" t="s">
        <v>296</v>
      </c>
      <c r="B56" s="0" t="s">
        <v>298</v>
      </c>
      <c r="D56" s="0" t="s">
        <v>308</v>
      </c>
      <c r="E56" s="0" t="s">
        <v>309</v>
      </c>
      <c r="F56" s="26" t="n">
        <v>800</v>
      </c>
      <c r="G56" s="27" t="n">
        <v>2</v>
      </c>
      <c r="H56" s="27" t="n">
        <v>16</v>
      </c>
    </row>
    <row r="57" customFormat="false" ht="14.25" hidden="false" customHeight="false" outlineLevel="0" collapsed="false">
      <c r="A57" s="0" t="s">
        <v>296</v>
      </c>
      <c r="B57" s="0" t="s">
        <v>298</v>
      </c>
      <c r="D57" s="0" t="s">
        <v>310</v>
      </c>
      <c r="E57" s="0" t="s">
        <v>311</v>
      </c>
      <c r="F57" s="26" t="n">
        <v>1200</v>
      </c>
      <c r="G57" s="27" t="n">
        <v>3</v>
      </c>
      <c r="H57" s="27" t="n">
        <v>24</v>
      </c>
    </row>
    <row r="58" customFormat="false" ht="14.25" hidden="false" customHeight="false" outlineLevel="0" collapsed="false">
      <c r="A58" s="0" t="s">
        <v>296</v>
      </c>
      <c r="B58" s="0" t="s">
        <v>298</v>
      </c>
      <c r="D58" s="0" t="s">
        <v>15</v>
      </c>
      <c r="E58" s="0" t="s">
        <v>312</v>
      </c>
      <c r="F58" s="26" t="n">
        <v>1400</v>
      </c>
      <c r="G58" s="27" t="n">
        <v>2</v>
      </c>
      <c r="H58" s="27" t="n">
        <v>16</v>
      </c>
    </row>
    <row r="59" customFormat="false" ht="14.25" hidden="false" customHeight="false" outlineLevel="0" collapsed="false">
      <c r="A59" s="0" t="s">
        <v>296</v>
      </c>
      <c r="B59" s="0" t="s">
        <v>298</v>
      </c>
      <c r="D59" s="0" t="s">
        <v>19</v>
      </c>
      <c r="E59" s="0" t="s">
        <v>20</v>
      </c>
      <c r="F59" s="26" t="n">
        <v>2000</v>
      </c>
      <c r="G59" s="27" t="n">
        <v>5</v>
      </c>
      <c r="H59" s="27" t="n">
        <v>40</v>
      </c>
    </row>
    <row r="60" customFormat="false" ht="14.25" hidden="false" customHeight="false" outlineLevel="0" collapsed="false">
      <c r="A60" s="0" t="s">
        <v>296</v>
      </c>
      <c r="B60" s="0" t="s">
        <v>298</v>
      </c>
      <c r="D60" s="0" t="s">
        <v>23</v>
      </c>
      <c r="E60" s="0" t="s">
        <v>24</v>
      </c>
      <c r="F60" s="26" t="n">
        <v>800</v>
      </c>
      <c r="G60" s="27" t="n">
        <v>2</v>
      </c>
      <c r="H60" s="27" t="n">
        <v>16</v>
      </c>
    </row>
    <row r="61" customFormat="false" ht="14.25" hidden="false" customHeight="false" outlineLevel="0" collapsed="false">
      <c r="A61" s="0" t="s">
        <v>296</v>
      </c>
      <c r="B61" s="0" t="s">
        <v>298</v>
      </c>
      <c r="D61" s="0" t="s">
        <v>26</v>
      </c>
      <c r="E61" s="0" t="s">
        <v>27</v>
      </c>
      <c r="F61" s="26" t="n">
        <v>1200</v>
      </c>
      <c r="G61" s="27" t="n">
        <v>3</v>
      </c>
      <c r="H61" s="27" t="n">
        <v>24</v>
      </c>
    </row>
    <row r="62" customFormat="false" ht="14.25" hidden="false" customHeight="false" outlineLevel="0" collapsed="false">
      <c r="A62" s="0" t="s">
        <v>296</v>
      </c>
      <c r="B62" s="0" t="s">
        <v>298</v>
      </c>
      <c r="D62" s="0" t="s">
        <v>29</v>
      </c>
      <c r="E62" s="0" t="s">
        <v>313</v>
      </c>
      <c r="F62" s="26" t="n">
        <v>2000</v>
      </c>
      <c r="G62" s="27" t="n">
        <v>5</v>
      </c>
      <c r="H62" s="27" t="n">
        <v>40</v>
      </c>
    </row>
    <row r="63" s="23" customFormat="true" ht="14.25" hidden="false" customHeight="false" outlineLevel="0" collapsed="false">
      <c r="A63" s="23" t="s">
        <v>314</v>
      </c>
      <c r="E63" s="23" t="s">
        <v>178</v>
      </c>
    </row>
    <row r="64" customFormat="false" ht="14.25" hidden="false" customHeight="false" outlineLevel="0" collapsed="false">
      <c r="A64" s="0" t="s">
        <v>314</v>
      </c>
      <c r="B64" s="0" t="s">
        <v>315</v>
      </c>
      <c r="D64" s="0" t="s">
        <v>316</v>
      </c>
      <c r="E64" s="0" t="s">
        <v>317</v>
      </c>
      <c r="F64" s="26" t="n">
        <v>400</v>
      </c>
      <c r="G64" s="27" t="n">
        <v>1</v>
      </c>
      <c r="H64" s="27" t="n">
        <v>8</v>
      </c>
    </row>
    <row r="65" customFormat="false" ht="14.25" hidden="false" customHeight="false" outlineLevel="0" collapsed="false">
      <c r="A65" s="0" t="s">
        <v>314</v>
      </c>
      <c r="B65" s="0" t="s">
        <v>315</v>
      </c>
      <c r="D65" s="0" t="s">
        <v>97</v>
      </c>
      <c r="E65" s="0" t="s">
        <v>318</v>
      </c>
      <c r="F65" s="26" t="n">
        <v>2000</v>
      </c>
      <c r="G65" s="27" t="n">
        <v>3</v>
      </c>
      <c r="H65" s="27" t="n">
        <v>24</v>
      </c>
    </row>
    <row r="66" customFormat="false" ht="14.25" hidden="false" customHeight="false" outlineLevel="0" collapsed="false">
      <c r="A66" s="0" t="s">
        <v>314</v>
      </c>
      <c r="B66" s="0" t="s">
        <v>315</v>
      </c>
      <c r="D66" s="0" t="s">
        <v>75</v>
      </c>
      <c r="E66" s="0" t="s">
        <v>319</v>
      </c>
      <c r="F66" s="26" t="n">
        <v>800</v>
      </c>
      <c r="G66" s="27" t="n">
        <v>2</v>
      </c>
      <c r="H66" s="27" t="n">
        <v>16</v>
      </c>
    </row>
    <row r="67" customFormat="false" ht="14.25" hidden="false" customHeight="false" outlineLevel="0" collapsed="false">
      <c r="A67" s="0" t="s">
        <v>314</v>
      </c>
      <c r="B67" s="0" t="s">
        <v>315</v>
      </c>
      <c r="D67" s="0" t="s">
        <v>320</v>
      </c>
      <c r="E67" s="0" t="s">
        <v>321</v>
      </c>
      <c r="F67" s="26" t="n">
        <v>2000</v>
      </c>
      <c r="G67" s="27" t="n">
        <v>3</v>
      </c>
      <c r="H67" s="27" t="n">
        <v>24</v>
      </c>
    </row>
    <row r="68" customFormat="false" ht="14.25" hidden="false" customHeight="false" outlineLevel="0" collapsed="false">
      <c r="A68" s="0" t="s">
        <v>314</v>
      </c>
      <c r="B68" s="0" t="s">
        <v>315</v>
      </c>
      <c r="D68" s="0" t="s">
        <v>120</v>
      </c>
      <c r="E68" s="0" t="s">
        <v>322</v>
      </c>
      <c r="F68" s="26" t="n">
        <v>300</v>
      </c>
      <c r="G68" s="27" t="n">
        <v>1</v>
      </c>
      <c r="H68" s="27" t="n">
        <v>6</v>
      </c>
    </row>
    <row r="69" customFormat="false" ht="14.25" hidden="false" customHeight="false" outlineLevel="0" collapsed="false">
      <c r="A69" s="0" t="s">
        <v>314</v>
      </c>
      <c r="B69" s="0" t="s">
        <v>315</v>
      </c>
      <c r="D69" s="0" t="s">
        <v>323</v>
      </c>
      <c r="E69" s="0" t="s">
        <v>324</v>
      </c>
      <c r="F69" s="26" t="n">
        <v>2000</v>
      </c>
      <c r="G69" s="27" t="n">
        <v>2</v>
      </c>
      <c r="H69" s="27" t="n">
        <v>16</v>
      </c>
    </row>
    <row r="70" customFormat="false" ht="14.25" hidden="false" customHeight="false" outlineLevel="0" collapsed="false">
      <c r="A70" s="0" t="s">
        <v>314</v>
      </c>
      <c r="B70" s="0" t="s">
        <v>315</v>
      </c>
      <c r="D70" s="0" t="s">
        <v>325</v>
      </c>
      <c r="E70" s="0" t="s">
        <v>326</v>
      </c>
      <c r="F70" s="26" t="n">
        <v>2000</v>
      </c>
      <c r="G70" s="27" t="n">
        <v>1</v>
      </c>
      <c r="H70" s="27" t="n">
        <v>8</v>
      </c>
    </row>
    <row r="71" customFormat="false" ht="14.25" hidden="false" customHeight="false" outlineLevel="0" collapsed="false">
      <c r="A71" s="0" t="s">
        <v>314</v>
      </c>
      <c r="B71" s="0" t="s">
        <v>315</v>
      </c>
      <c r="D71" s="0" t="s">
        <v>327</v>
      </c>
      <c r="E71" s="0" t="s">
        <v>328</v>
      </c>
      <c r="F71" s="26" t="n">
        <v>1000</v>
      </c>
      <c r="G71" s="27" t="n">
        <v>2</v>
      </c>
      <c r="H71" s="27" t="n">
        <v>16</v>
      </c>
    </row>
    <row r="72" s="23" customFormat="true" ht="14.25" hidden="false" customHeight="false" outlineLevel="0" collapsed="false">
      <c r="A72" s="23" t="s">
        <v>329</v>
      </c>
      <c r="E72" s="23" t="s">
        <v>330</v>
      </c>
    </row>
    <row r="73" customFormat="false" ht="14.25" hidden="false" customHeight="false" outlineLevel="0" collapsed="false">
      <c r="A73" s="0" t="s">
        <v>329</v>
      </c>
      <c r="B73" s="0" t="s">
        <v>331</v>
      </c>
      <c r="D73" s="0" t="s">
        <v>332</v>
      </c>
      <c r="E73" s="0" t="s">
        <v>333</v>
      </c>
      <c r="F73" s="26" t="n">
        <v>400</v>
      </c>
      <c r="G73" s="27" t="n">
        <v>1</v>
      </c>
      <c r="H73" s="27" t="n">
        <v>8</v>
      </c>
    </row>
    <row r="74" customFormat="false" ht="14.25" hidden="false" customHeight="false" outlineLevel="0" collapsed="false">
      <c r="A74" s="0" t="s">
        <v>329</v>
      </c>
      <c r="B74" s="0" t="s">
        <v>331</v>
      </c>
      <c r="D74" s="0" t="s">
        <v>100</v>
      </c>
      <c r="E74" s="0" t="s">
        <v>334</v>
      </c>
      <c r="F74" s="26" t="n">
        <v>800</v>
      </c>
      <c r="G74" s="27" t="n">
        <v>2</v>
      </c>
      <c r="H74" s="27" t="n">
        <v>16</v>
      </c>
    </row>
    <row r="75" customFormat="false" ht="14.25" hidden="false" customHeight="false" outlineLevel="0" collapsed="false">
      <c r="A75" s="0" t="s">
        <v>329</v>
      </c>
      <c r="B75" s="0" t="s">
        <v>331</v>
      </c>
      <c r="D75" s="0" t="s">
        <v>78</v>
      </c>
      <c r="E75" s="0" t="s">
        <v>335</v>
      </c>
      <c r="F75" s="26" t="n">
        <v>400</v>
      </c>
      <c r="G75" s="27" t="n">
        <v>1</v>
      </c>
      <c r="H75" s="27" t="n">
        <v>8</v>
      </c>
    </row>
    <row r="76" customFormat="false" ht="14.25" hidden="false" customHeight="false" outlineLevel="0" collapsed="false">
      <c r="A76" s="0" t="s">
        <v>329</v>
      </c>
      <c r="B76" s="0" t="s">
        <v>331</v>
      </c>
      <c r="D76" s="0" t="s">
        <v>336</v>
      </c>
      <c r="E76" s="0" t="s">
        <v>337</v>
      </c>
      <c r="F76" s="26" t="n">
        <v>400</v>
      </c>
      <c r="G76" s="27" t="n">
        <v>1</v>
      </c>
      <c r="H76" s="27" t="n">
        <v>8</v>
      </c>
    </row>
    <row r="77" customFormat="false" ht="14.25" hidden="false" customHeight="false" outlineLevel="0" collapsed="false">
      <c r="A77" s="0" t="s">
        <v>329</v>
      </c>
      <c r="B77" s="0" t="s">
        <v>331</v>
      </c>
      <c r="D77" s="0" t="s">
        <v>123</v>
      </c>
      <c r="E77" s="0" t="s">
        <v>338</v>
      </c>
      <c r="F77" s="26" t="n">
        <v>1200</v>
      </c>
      <c r="G77" s="27" t="n">
        <v>3</v>
      </c>
      <c r="H77" s="27" t="n">
        <v>24</v>
      </c>
    </row>
    <row r="78" customFormat="false" ht="14.25" hidden="false" customHeight="false" outlineLevel="0" collapsed="false">
      <c r="A78" s="0" t="s">
        <v>329</v>
      </c>
      <c r="B78" s="0" t="s">
        <v>331</v>
      </c>
      <c r="D78" s="0" t="s">
        <v>339</v>
      </c>
      <c r="E78" s="0" t="s">
        <v>340</v>
      </c>
      <c r="F78" s="26" t="n">
        <v>800</v>
      </c>
      <c r="G78" s="27" t="n">
        <v>2</v>
      </c>
      <c r="H78" s="27" t="n">
        <v>16</v>
      </c>
    </row>
    <row r="79" customFormat="false" ht="14.25" hidden="false" customHeight="false" outlineLevel="0" collapsed="false">
      <c r="A79" s="0" t="s">
        <v>329</v>
      </c>
      <c r="B79" s="0" t="s">
        <v>331</v>
      </c>
      <c r="D79" s="0" t="s">
        <v>341</v>
      </c>
      <c r="E79" s="0" t="s">
        <v>342</v>
      </c>
      <c r="F79" s="26" t="n">
        <v>400</v>
      </c>
      <c r="G79" s="27" t="n">
        <v>1</v>
      </c>
      <c r="H79" s="27" t="n">
        <v>8</v>
      </c>
    </row>
    <row r="80" customFormat="false" ht="14.25" hidden="false" customHeight="false" outlineLevel="0" collapsed="false">
      <c r="A80" s="0" t="s">
        <v>329</v>
      </c>
      <c r="B80" s="0" t="s">
        <v>331</v>
      </c>
      <c r="D80" s="0" t="s">
        <v>343</v>
      </c>
      <c r="E80" s="0" t="s">
        <v>344</v>
      </c>
      <c r="F80" s="26" t="n">
        <v>800</v>
      </c>
      <c r="G80" s="27" t="n">
        <v>2</v>
      </c>
      <c r="H80" s="27" t="n">
        <v>16</v>
      </c>
    </row>
    <row r="81" s="23" customFormat="true" ht="14.25" hidden="false" customHeight="false" outlineLevel="0" collapsed="false">
      <c r="A81" s="23" t="s">
        <v>345</v>
      </c>
      <c r="E81" s="23" t="s">
        <v>346</v>
      </c>
    </row>
    <row r="82" customFormat="false" ht="14.25" hidden="false" customHeight="false" outlineLevel="0" collapsed="false">
      <c r="A82" s="0" t="s">
        <v>345</v>
      </c>
      <c r="B82" s="0" t="s">
        <v>347</v>
      </c>
      <c r="E82" s="0" t="s">
        <v>348</v>
      </c>
    </row>
    <row r="83" customFormat="false" ht="14.25" hidden="false" customHeight="false" outlineLevel="0" collapsed="false">
      <c r="A83" s="0" t="s">
        <v>345</v>
      </c>
      <c r="B83" s="0" t="s">
        <v>349</v>
      </c>
      <c r="D83" s="0" t="s">
        <v>145</v>
      </c>
      <c r="E83" s="0" t="s">
        <v>350</v>
      </c>
      <c r="F83" s="26" t="n">
        <v>200</v>
      </c>
      <c r="G83" s="27" t="n">
        <v>1</v>
      </c>
      <c r="H83" s="27" t="n">
        <v>4</v>
      </c>
    </row>
    <row r="84" customFormat="false" ht="14.25" hidden="false" customHeight="false" outlineLevel="0" collapsed="false">
      <c r="A84" s="0" t="s">
        <v>345</v>
      </c>
      <c r="B84" s="0" t="s">
        <v>208</v>
      </c>
      <c r="E84" s="0" t="s">
        <v>351</v>
      </c>
    </row>
    <row r="85" customFormat="false" ht="14.25" hidden="false" customHeight="false" outlineLevel="0" collapsed="false">
      <c r="A85" s="0" t="s">
        <v>345</v>
      </c>
      <c r="B85" s="0" t="s">
        <v>349</v>
      </c>
      <c r="D85" s="0" t="s">
        <v>147</v>
      </c>
      <c r="E85" s="0" t="s">
        <v>352</v>
      </c>
      <c r="F85" s="26" t="n">
        <v>200</v>
      </c>
      <c r="G85" s="27" t="n">
        <v>1</v>
      </c>
      <c r="H85" s="27" t="n">
        <v>4</v>
      </c>
    </row>
    <row r="86" customFormat="false" ht="14.25" hidden="false" customHeight="false" outlineLevel="0" collapsed="false">
      <c r="A86" s="0" t="s">
        <v>345</v>
      </c>
      <c r="B86" s="0" t="s">
        <v>243</v>
      </c>
      <c r="E86" s="0" t="s">
        <v>353</v>
      </c>
    </row>
    <row r="87" customFormat="false" ht="14.25" hidden="false" customHeight="false" outlineLevel="0" collapsed="false">
      <c r="A87" s="0" t="s">
        <v>345</v>
      </c>
      <c r="B87" s="0" t="s">
        <v>349</v>
      </c>
      <c r="D87" s="0" t="s">
        <v>151</v>
      </c>
      <c r="E87" s="0" t="s">
        <v>354</v>
      </c>
      <c r="F87" s="26" t="n">
        <v>100</v>
      </c>
      <c r="G87" s="27" t="n">
        <v>1</v>
      </c>
      <c r="H87" s="27" t="n">
        <v>2</v>
      </c>
    </row>
    <row r="88" customFormat="false" ht="14.25" hidden="false" customHeight="false" outlineLevel="0" collapsed="false">
      <c r="A88" s="0" t="s">
        <v>345</v>
      </c>
      <c r="B88" s="0" t="s">
        <v>234</v>
      </c>
      <c r="E88" s="0" t="s">
        <v>355</v>
      </c>
    </row>
    <row r="89" customFormat="false" ht="14.25" hidden="false" customHeight="false" outlineLevel="0" collapsed="false">
      <c r="A89" s="0" t="s">
        <v>345</v>
      </c>
      <c r="B89" s="0" t="s">
        <v>349</v>
      </c>
      <c r="D89" s="0" t="s">
        <v>149</v>
      </c>
      <c r="E89" s="0" t="s">
        <v>356</v>
      </c>
      <c r="F89" s="26" t="n">
        <v>200</v>
      </c>
      <c r="G89" s="27" t="n">
        <v>1</v>
      </c>
      <c r="H89" s="27" t="n">
        <v>4</v>
      </c>
    </row>
    <row r="90" customFormat="false" ht="14.25" hidden="false" customHeight="false" outlineLevel="0" collapsed="false">
      <c r="A90" s="0" t="s">
        <v>345</v>
      </c>
      <c r="B90" s="0" t="s">
        <v>349</v>
      </c>
      <c r="E90" s="0" t="s">
        <v>357</v>
      </c>
    </row>
    <row r="91" customFormat="false" ht="14.25" hidden="false" customHeight="false" outlineLevel="0" collapsed="false">
      <c r="A91" s="0" t="s">
        <v>345</v>
      </c>
      <c r="B91" s="0" t="s">
        <v>349</v>
      </c>
      <c r="D91" s="0" t="s">
        <v>153</v>
      </c>
      <c r="E91" s="0" t="s">
        <v>358</v>
      </c>
      <c r="F91" s="26" t="n">
        <v>400</v>
      </c>
      <c r="G91" s="27" t="n">
        <v>1</v>
      </c>
      <c r="H91" s="27" t="n">
        <v>8</v>
      </c>
    </row>
    <row r="92" customFormat="false" ht="14.25" hidden="false" customHeight="false" outlineLevel="0" collapsed="false">
      <c r="A92" s="0" t="s">
        <v>345</v>
      </c>
      <c r="B92" s="0" t="s">
        <v>224</v>
      </c>
      <c r="E92" s="0" t="s">
        <v>359</v>
      </c>
    </row>
    <row r="93" customFormat="false" ht="14.25" hidden="false" customHeight="false" outlineLevel="0" collapsed="false">
      <c r="A93" s="0" t="s">
        <v>345</v>
      </c>
      <c r="B93" s="0" t="s">
        <v>349</v>
      </c>
      <c r="D93" s="0" t="s">
        <v>142</v>
      </c>
      <c r="E93" s="0" t="s">
        <v>360</v>
      </c>
      <c r="F93" s="26" t="n">
        <v>200</v>
      </c>
      <c r="G93" s="27" t="n">
        <v>1</v>
      </c>
      <c r="H93" s="27" t="n">
        <v>4</v>
      </c>
    </row>
  </sheetData>
  <autoFilter ref="A1:H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2026-07-15T20:12:02Z</dcterms:created>
  <dc:creator>openpyxl</dc:creator>
  <dc:description/>
  <dc:language>en-US</dc:language>
  <cp:lastModifiedBy/>
  <dcterms:modified xsi:type="dcterms:W3CDTF">2026-07-16T15:20:57Z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