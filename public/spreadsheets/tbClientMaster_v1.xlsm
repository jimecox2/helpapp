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omments3.xml" ContentType="application/vnd.openxmlformats-officedocument.spreadsheetml.comments+xml"/>
  <Override PartName="/xl/threadedComments/threadedComment2.xml" ContentType="application/vnd.ms-excel.threadedcomments+xml"/>
  <Override PartName="/xl/drawings/drawing12.xml" ContentType="application/vnd.openxmlformats-officedocument.drawing+xml"/>
  <Override PartName="/xl/comments4.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comments5.xml" ContentType="application/vnd.openxmlformats-officedocument.spreadsheetml.comments+xml"/>
  <Override PartName="/xl/threadedComments/threadedComment4.xml" ContentType="application/vnd.ms-excel.threaded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jcox\Documents\sitesGithub\tbrunp-ghub\data\ssMasters\"/>
    </mc:Choice>
  </mc:AlternateContent>
  <xr:revisionPtr revIDLastSave="0" documentId="13_ncr:1_{A73BD1A2-6B88-4F37-814C-A63EB53BF907}" xr6:coauthVersionLast="47" xr6:coauthVersionMax="47" xr10:uidLastSave="{00000000-0000-0000-0000-000000000000}"/>
  <bookViews>
    <workbookView xWindow="1118" yWindow="803" windowWidth="26459" windowHeight="14482" tabRatio="811" activeTab="2" xr2:uid="{00000000-000D-0000-FFFF-FFFF00000000}"/>
  </bookViews>
  <sheets>
    <sheet name="Portfolio" sheetId="1" r:id="rId1"/>
    <sheet name="BulkOperations" sheetId="24" r:id="rId2"/>
    <sheet name="AdminPanel" sheetId="11" r:id="rId3"/>
    <sheet name="Timebars" sheetId="9" r:id="rId4"/>
    <sheet name="MetaData" sheetId="20" r:id="rId5"/>
    <sheet name="Documents" sheetId="12" state="hidden" r:id="rId6"/>
    <sheet name="Baseline" sheetId="19" r:id="rId7"/>
    <sheet name="TBMDJoined" sheetId="44" r:id="rId8"/>
    <sheet name="Charts" sheetId="18" r:id="rId9"/>
    <sheet name="Resources" sheetId="29" r:id="rId10"/>
    <sheet name="Schema" sheetId="46" r:id="rId11"/>
    <sheet name="Tags" sheetId="45" r:id="rId12"/>
    <sheet name="CoreReport" sheetId="25" r:id="rId13"/>
    <sheet name="Fields" sheetId="43" r:id="rId14"/>
    <sheet name="ResCalcs" sheetId="17" r:id="rId15"/>
    <sheet name="ResCalcs2" sheetId="22" r:id="rId16"/>
    <sheet name="ResCalcsUsage" sheetId="23" r:id="rId17"/>
    <sheet name="Bar Creator Sheet" sheetId="26" r:id="rId18"/>
    <sheet name="Log" sheetId="7" r:id="rId19"/>
    <sheet name="TEMP" sheetId="8" r:id="rId20"/>
  </sheets>
  <functionGroups builtInGroupCount="19"/>
  <definedNames>
    <definedName name="_xlnm._FilterDatabase" localSheetId="2" hidden="1">AdminPanel!$A$3:$BE$3</definedName>
    <definedName name="_xlnm._FilterDatabase" localSheetId="17" hidden="1">'Bar Creator Sheet'!$A$3:$BI$40</definedName>
    <definedName name="_xlnm._FilterDatabase" localSheetId="6" hidden="1">Baseline!$A$3:$BJ$3</definedName>
    <definedName name="_xlnm._FilterDatabase" localSheetId="1" hidden="1">BulkOperations!#REF!</definedName>
    <definedName name="_xlnm._FilterDatabase" localSheetId="8" hidden="1">Charts!$A$3:$L$3</definedName>
    <definedName name="_xlnm._FilterDatabase" localSheetId="12" hidden="1">CoreReport!$A$3:$L$214</definedName>
    <definedName name="_xlnm._FilterDatabase" localSheetId="13" hidden="1">Fields!$A$3:$P$149</definedName>
    <definedName name="_xlnm._FilterDatabase" localSheetId="4" hidden="1">MetaData!$A$3:$HA$3</definedName>
    <definedName name="_xlnm._FilterDatabase" localSheetId="9" hidden="1">Resources!$A$3:$CK$3</definedName>
    <definedName name="_xlnm._FilterDatabase" localSheetId="10" hidden="1">Schema!$A$3:$U$3</definedName>
    <definedName name="_xlnm._FilterDatabase" localSheetId="11" hidden="1">Tags!$A$3:$S$584</definedName>
    <definedName name="_xlnm._FilterDatabase" localSheetId="7" hidden="1">TBMDJoined!$A$3:$KX$3</definedName>
    <definedName name="_xlnm._FilterDatabase" localSheetId="3" hidden="1">Timebars!$A$3:$BL$3</definedName>
    <definedName name="CIQWBGuid" localSheetId="5">"""09725699-4946-4e36-8a9b-02eec7c319db"""</definedName>
    <definedName name="ExRng">BulkOperations!$B$39:$E$53</definedName>
    <definedName name="ImRng">BulkOperations!$B$23:$E$36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 i="29" l="1"/>
  <c r="R3" i="29" s="1"/>
  <c r="S3" i="29" s="1"/>
  <c r="T3" i="29" s="1"/>
  <c r="U3" i="29" s="1"/>
  <c r="V3" i="29" s="1"/>
  <c r="W3" i="29" s="1"/>
  <c r="X3" i="29" s="1"/>
  <c r="Y3" i="29" s="1"/>
  <c r="Z3" i="29" s="1"/>
  <c r="AA3" i="29" s="1"/>
  <c r="AB3" i="29" s="1"/>
  <c r="AC3" i="29" s="1"/>
  <c r="AD3" i="29" s="1"/>
  <c r="AE3" i="29" s="1"/>
  <c r="AF3" i="29" s="1"/>
  <c r="AG3" i="29" s="1"/>
  <c r="AH3" i="29" s="1"/>
  <c r="AI3" i="29" s="1"/>
  <c r="AJ3" i="29" s="1"/>
  <c r="AK3" i="29" s="1"/>
  <c r="AL3" i="29" s="1"/>
  <c r="AM3" i="29" s="1"/>
  <c r="AN3"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I2" authorId="0" shapeId="0" xr:uid="{2876D786-0262-48AB-8226-D0FFE0CEDA5B}">
      <text>
        <r>
          <rPr>
            <sz val="11"/>
            <color rgb="FF000000"/>
            <rFont val="Calibri"/>
            <family val="2"/>
          </rPr>
          <t>If left null it will show unlicensed till logged in.
You can enter TBDemo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tc={3B6FE760-43EA-4711-B512-4A32C4E9F940}</author>
    <author>tc={1FCEAA6F-7903-4A2D-A70B-3A5CCCA0CD3D}</author>
    <author>tc={3CF7B3BE-A679-4D62-9C8A-4A1E27C945EC}</author>
  </authors>
  <commentList>
    <comment ref="D3" authorId="0" shapeId="0" xr:uid="{F3929530-0C6C-4B43-92C3-C55751B5CFFA}">
      <text>
        <r>
          <rPr>
            <sz val="10"/>
            <color theme="1"/>
            <rFont val="Liberation Sans"/>
          </rPr>
          <t>Resource pool is filtered to only show resources where tbResQuantity is greater than 0</t>
        </r>
      </text>
    </comment>
    <comment ref="N3" authorId="1" shapeId="0" xr:uid="{3B6FE760-43EA-4711-B512-4A32C4E9F940}">
      <text>
        <t>[Threaded comment]
Your version of Excel allows you to read this threaded comment; however, any edits to it will get removed if the file is opened in a newer version of Excel. Learn more: https://go.microsoft.com/fwlink/?linkid=870924
Comment:
    Must be in this format: Jan25-2, Feb25-2</t>
      </text>
    </comment>
    <comment ref="O3" authorId="2" shapeId="0" xr:uid="{1FCEAA6F-7903-4A2D-A70B-3A5CCCA0CD3D}">
      <text>
        <t>[Threaded comment]
Your version of Excel allows you to read this threaded comment; however, any edits to it will get removed if the file is opened in a newer version of Excel. Learn more: https://go.microsoft.com/fwlink/?linkid=870924
Comment:
    Use for hiring plan</t>
      </text>
    </comment>
    <comment ref="P3" authorId="3" shapeId="0" xr:uid="{3CF7B3BE-A679-4D62-9C8A-4A1E27C945EC}">
      <text>
        <t>[Threaded comment]
Your version of Excel allows you to read this threaded comment; however, any edits to it will get removed if the file is opened in a newer version of Excel. Learn more: https://go.microsoft.com/fwlink/?linkid=870924
Comment:
    For resources leaving the organisation or other scenarios that may affect resource supply.</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tc={86B5BCF9-89F9-48B2-9C57-7332EC64ED55}</author>
  </authors>
  <commentList>
    <comment ref="G3" authorId="0" shapeId="0" xr:uid="{86B5BCF9-89F9-48B2-9C57-7332EC64ED55}">
      <text>
        <t xml:space="preserve">[Threaded comment]
Your version of Excel allows you to read this threaded comment; however, any edits to it will get removed if the file is opened in a newer version of Excel. Learn more: https://go.microsoft.com/fwlink/?linkid=870924
Comment:
    List must be sorted by for picklists to work. tbTagTbInternalName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tc={5CE29FC1-3E01-4183-85BB-683BB7BB0DC5}</author>
    <author>tc={C540C8C8-A895-49A2-AAA7-5B19311ED53C}</author>
  </authors>
  <commentList>
    <comment ref="E3" authorId="0" shapeId="0" xr:uid="{5CE29FC1-3E01-4183-85BB-683BB7BB0DC5}">
      <text>
        <t xml:space="preserve">[Threaded comment]
Your version of Excel allows you to read this threaded comment; however, any edits to it will get removed if the file is opened in a newer version of Excel. Learn more: https://go.microsoft.com/fwlink/?linkid=870924
Comment:
    List must be sorted by for picklists to work. tbTagTbInternalName
</t>
      </text>
    </comment>
    <comment ref="J3" authorId="1" shapeId="0" xr:uid="{C540C8C8-A895-49A2-AAA7-5B19311ED53C}">
      <text>
        <t>[Threaded comment]
Your version of Excel allows you to read this threaded comment; however, any edits to it will get removed if the file is opened in a newer version of Excel. Learn more: https://go.microsoft.com/fwlink/?linkid=870924
Comment:
    System means the value is controlled and used by the system. Certain features in the app rely on the exact value of Tag Name and should not be changed unless you decide not to use the report that depends on it.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tc={899A8232-A184-4519-A863-E8513923E617}</author>
  </authors>
  <commentList>
    <comment ref="J3" authorId="0" shapeId="0" xr:uid="{899A8232-A184-4519-A863-E8513923E617}">
      <text>
        <t xml:space="preserve">[Threaded comment]
Your version of Excel allows you to read this threaded comment; however, any edits to it will get removed if the file is opened in a newer version of Excel. Learn more: https://go.microsoft.com/fwlink/?linkid=870924
Comment:
    The form is 4 columns wide, set to 1 to take up one column, 2 so the field is 2 columns wide etc. Change the order by adding a decimal point to the CRID to suit. Add the word “show” at the L1 to L5 levels to have the field appear in the report, blank or any other value will hide the filed in the form.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N2" authorId="0" shapeId="0" xr:uid="{14E95021-549F-4D3B-96DD-01D9117320C8}">
      <text>
        <r>
          <rPr>
            <sz val="11"/>
            <color rgb="FF000000"/>
            <rFont val="Calibri"/>
            <family val="2"/>
          </rPr>
          <t>Critical  Concerned  Managing</t>
        </r>
      </text>
    </comment>
    <comment ref="O2" authorId="0" shapeId="0" xr:uid="{9FD80622-B6ED-4AFB-9587-B548B047F231}">
      <text>
        <r>
          <rPr>
            <sz val="11"/>
            <color rgb="FF000000"/>
            <rFont val="Calibri"/>
            <family val="2"/>
          </rPr>
          <t>Active, Cancelled, Completed, Other</t>
        </r>
      </text>
    </comment>
  </commentList>
</comments>
</file>

<file path=xl/sharedStrings.xml><?xml version="1.0" encoding="utf-8"?>
<sst xmlns="http://schemas.openxmlformats.org/spreadsheetml/2006/main" count="20939" uniqueCount="3167">
  <si>
    <t>Audit</t>
  </si>
  <si>
    <t>UID</t>
  </si>
  <si>
    <t>Name</t>
  </si>
  <si>
    <t>Type</t>
  </si>
  <si>
    <t>Status</t>
  </si>
  <si>
    <t>State</t>
  </si>
  <si>
    <t>Licence</t>
  </si>
  <si>
    <t>Block</t>
  </si>
  <si>
    <t>Location</t>
  </si>
  <si>
    <t>Dev Status</t>
  </si>
  <si>
    <t>Species Component</t>
  </si>
  <si>
    <t>Start</t>
  </si>
  <si>
    <t>Finish</t>
  </si>
  <si>
    <t>Pine</t>
  </si>
  <si>
    <t>Balsam</t>
  </si>
  <si>
    <t>Fir</t>
  </si>
  <si>
    <t>Spruce</t>
  </si>
  <si>
    <t>Area</t>
  </si>
  <si>
    <t>Size</t>
  </si>
  <si>
    <t>%Pulp</t>
  </si>
  <si>
    <t>Customer ID</t>
  </si>
  <si>
    <t>Updated From Which Sheet</t>
  </si>
  <si>
    <t>When last updated</t>
  </si>
  <si>
    <t>tbID</t>
  </si>
  <si>
    <t>tbSelfKey2</t>
  </si>
  <si>
    <t>tbPredecessor</t>
  </si>
  <si>
    <t>tbTaskParent</t>
  </si>
  <si>
    <t>tbCoordTop</t>
  </si>
  <si>
    <t>tbHierarchyOrder</t>
  </si>
  <si>
    <t>tbName</t>
  </si>
  <si>
    <t>tbType</t>
  </si>
  <si>
    <t>tbL1</t>
  </si>
  <si>
    <t>tbL2</t>
  </si>
  <si>
    <t>tbL3</t>
  </si>
  <si>
    <t>tbL4</t>
  </si>
  <si>
    <t>tbL5</t>
  </si>
  <si>
    <t>tbStatus</t>
  </si>
  <si>
    <t>tbState</t>
  </si>
  <si>
    <t>tbStep</t>
  </si>
  <si>
    <t>tbStepStatus</t>
  </si>
  <si>
    <t>tbWfReasonNote</t>
  </si>
  <si>
    <t>tbStage</t>
  </si>
  <si>
    <t>tbPriority</t>
  </si>
  <si>
    <t>tbPhase</t>
  </si>
  <si>
    <t>tbOwner</t>
  </si>
  <si>
    <t>tbStart</t>
  </si>
  <si>
    <t>tbFinish</t>
  </si>
  <si>
    <t>tbDuration</t>
  </si>
  <si>
    <t>tbAStart</t>
  </si>
  <si>
    <t>tbAFinish</t>
  </si>
  <si>
    <t>tbRemainingDuration</t>
  </si>
  <si>
    <t>tbWork</t>
  </si>
  <si>
    <t>tbAWork</t>
  </si>
  <si>
    <t>tbWorkRemaining</t>
  </si>
  <si>
    <t>tbPercentComplete</t>
  </si>
  <si>
    <t>tbCost</t>
  </si>
  <si>
    <t>tbCostRemaining</t>
  </si>
  <si>
    <t>tbCalendar</t>
  </si>
  <si>
    <t>tbPercentTimeOn</t>
  </si>
  <si>
    <t>tbPayRate</t>
  </si>
  <si>
    <t>tbExpHoursPerWeek</t>
  </si>
  <si>
    <t>tbCostType</t>
  </si>
  <si>
    <t>tbCostID</t>
  </si>
  <si>
    <t>tbConstraintType</t>
  </si>
  <si>
    <t>tbConstraintDate</t>
  </si>
  <si>
    <t>tbFloat</t>
  </si>
  <si>
    <t>tbFreeFloat</t>
  </si>
  <si>
    <t>tbResID</t>
  </si>
  <si>
    <t>canvasNo</t>
  </si>
  <si>
    <t>tbCustomerID</t>
  </si>
  <si>
    <t>tbBLID</t>
  </si>
  <si>
    <t>tbBarColor</t>
  </si>
  <si>
    <t>tbTextColor</t>
  </si>
  <si>
    <t>kbCoordLeft</t>
  </si>
  <si>
    <t>kbCoordTop</t>
  </si>
  <si>
    <t>focdItemCoordLeft</t>
  </si>
  <si>
    <t>focdItemCoordTop</t>
  </si>
  <si>
    <t>tbT1</t>
  </si>
  <si>
    <t>tbT2</t>
  </si>
  <si>
    <t>Project</t>
  </si>
  <si>
    <t>Stage</t>
  </si>
  <si>
    <t>Priority</t>
  </si>
  <si>
    <t>Phase</t>
  </si>
  <si>
    <t>Sub-Project</t>
  </si>
  <si>
    <t>Task</t>
  </si>
  <si>
    <t>Allocation</t>
  </si>
  <si>
    <t>Portfolio</t>
  </si>
  <si>
    <t>tbMDID</t>
  </si>
  <si>
    <t>tbMDName</t>
  </si>
  <si>
    <t>tbMDProjectType</t>
  </si>
  <si>
    <t>tbMDPortfolio</t>
  </si>
  <si>
    <t>tbMDProgram</t>
  </si>
  <si>
    <t>tbMDGate</t>
  </si>
  <si>
    <t>tbMDDeliveryManager</t>
  </si>
  <si>
    <t>tbMDBusinessAdvisor</t>
  </si>
  <si>
    <t>tbMDBusinessOwner</t>
  </si>
  <si>
    <t>tbMDEstimationClass</t>
  </si>
  <si>
    <t>tbMDROMEstimate</t>
  </si>
  <si>
    <t>tbMDInvestmentCategory</t>
  </si>
  <si>
    <t>tbMDInvestmentInitiative</t>
  </si>
  <si>
    <t>tbMDInvestmentObjective</t>
  </si>
  <si>
    <t>tbMDInvestmentStrategy</t>
  </si>
  <si>
    <t>tbMDPriorityStrategic</t>
  </si>
  <si>
    <t>tbMDCustomerID</t>
  </si>
  <si>
    <t>tbMDAzureID</t>
  </si>
  <si>
    <t>tbMDNameShort</t>
  </si>
  <si>
    <t>tbMDProjectNumber</t>
  </si>
  <si>
    <t>tbMDExtLink1</t>
  </si>
  <si>
    <t>tbMDExtSystemID1</t>
  </si>
  <si>
    <t>tbMDSortOrder</t>
  </si>
  <si>
    <t>tbMDtbLastModified</t>
  </si>
  <si>
    <t>tbMDPriority</t>
  </si>
  <si>
    <t>tbMDStatus</t>
  </si>
  <si>
    <t>tbMDState</t>
  </si>
  <si>
    <t>tbMDSeverity</t>
  </si>
  <si>
    <t>tbMDStage</t>
  </si>
  <si>
    <t>tbMDPhase</t>
  </si>
  <si>
    <t>tbMDCategory</t>
  </si>
  <si>
    <t>tbMDHealth</t>
  </si>
  <si>
    <t>tbMDResponsibility</t>
  </si>
  <si>
    <t>tbMDDepartment</t>
  </si>
  <si>
    <t>tbMDExSponsor</t>
  </si>
  <si>
    <t>tbMDPM</t>
  </si>
  <si>
    <t>tbMDShowIn</t>
  </si>
  <si>
    <t>tbMDYesNoSelector</t>
  </si>
  <si>
    <t>tbMDProduct</t>
  </si>
  <si>
    <t>tbMDContact</t>
  </si>
  <si>
    <t>tbMDWBS</t>
  </si>
  <si>
    <t>tbMDWeighting</t>
  </si>
  <si>
    <t>tbMDLocation</t>
  </si>
  <si>
    <t>tbMDPrimarySkill</t>
  </si>
  <si>
    <t>tbMDPrimaryRole</t>
  </si>
  <si>
    <t>tbMDOther2</t>
  </si>
  <si>
    <t>tbMDOther3</t>
  </si>
  <si>
    <t>tbMDOther4</t>
  </si>
  <si>
    <t>tbMDProgActivityAlignment</t>
  </si>
  <si>
    <t>tbMDExecutiveSummary</t>
  </si>
  <si>
    <t>tbMDDescription</t>
  </si>
  <si>
    <t>tbMDNotes</t>
  </si>
  <si>
    <t>tbMDBackgroundInfo</t>
  </si>
  <si>
    <t>tbMDConsequence</t>
  </si>
  <si>
    <t>tbMDProblemOpportunity</t>
  </si>
  <si>
    <t>tbMDCapabilitiesNeeded</t>
  </si>
  <si>
    <t>tbMDCostBenefitAnalysis</t>
  </si>
  <si>
    <t>tbMDConstraintsAssumptions</t>
  </si>
  <si>
    <t>tbMDSprintName</t>
  </si>
  <si>
    <t>tbMDStakeholderDescription</t>
  </si>
  <si>
    <t>tbMDHealthCost</t>
  </si>
  <si>
    <t>tbMDHealthHours</t>
  </si>
  <si>
    <t>tbMDHealthIssues</t>
  </si>
  <si>
    <t>tbMDHealthOverall</t>
  </si>
  <si>
    <t>tbMDHealthRisk</t>
  </si>
  <si>
    <t>tbMDHealthSchedule</t>
  </si>
  <si>
    <t>tbMDHealthScope</t>
  </si>
  <si>
    <t>tbMDBenefitCostRatio</t>
  </si>
  <si>
    <t>tbMDContractNumber</t>
  </si>
  <si>
    <t>tbMDInternalRateOfReturn</t>
  </si>
  <si>
    <t>tbMDNetPresentValue</t>
  </si>
  <si>
    <t>tbMDOpportunityCost</t>
  </si>
  <si>
    <t>tbMDOrgManager</t>
  </si>
  <si>
    <t>tbMDPaybackPeriod</t>
  </si>
  <si>
    <t>tbMDRiskVsSizeAndComplexity</t>
  </si>
  <si>
    <t>tbMDSize</t>
  </si>
  <si>
    <t>tbMDStageApprover</t>
  </si>
  <si>
    <t>tbMDSunkCosts</t>
  </si>
  <si>
    <t>tbMDWrittenBy</t>
  </si>
  <si>
    <t>tbMDPrimaryLineOfBusiness</t>
  </si>
  <si>
    <t>tbMDNotesWorkflow</t>
  </si>
  <si>
    <t>tbMDSyncNotes</t>
  </si>
  <si>
    <t>tbMDSponsoringDepartment</t>
  </si>
  <si>
    <t>tbMDPrimaryContact</t>
  </si>
  <si>
    <t>tbMDContactNumber</t>
  </si>
  <si>
    <t>tbMDResponsibleTeam</t>
  </si>
  <si>
    <t>tbMDNotesProject</t>
  </si>
  <si>
    <t>tbMDOther5</t>
  </si>
  <si>
    <t>tbMDOther6</t>
  </si>
  <si>
    <t>tbMDOther7</t>
  </si>
  <si>
    <t>tbMDOther8</t>
  </si>
  <si>
    <t>tbMDOther9</t>
  </si>
  <si>
    <t>tbMDOther10</t>
  </si>
  <si>
    <t>tbMDOther11</t>
  </si>
  <si>
    <t>tbMDOther12</t>
  </si>
  <si>
    <t>tbMDRefID</t>
  </si>
  <si>
    <t>Portfolio Name</t>
  </si>
  <si>
    <t>Gate</t>
  </si>
  <si>
    <t>Estimation Class</t>
  </si>
  <si>
    <t>Investment Category</t>
  </si>
  <si>
    <t>Investment Initiative</t>
  </si>
  <si>
    <t>Investment Objective</t>
  </si>
  <si>
    <t>Investment Strategy</t>
  </si>
  <si>
    <t>Severity</t>
  </si>
  <si>
    <t>PM</t>
  </si>
  <si>
    <t>Product</t>
  </si>
  <si>
    <t>Primary Contact</t>
  </si>
  <si>
    <t>Executive Summary</t>
  </si>
  <si>
    <t>Brief Description</t>
  </si>
  <si>
    <t>Active</t>
  </si>
  <si>
    <t>Red</t>
  </si>
  <si>
    <t>Yellow</t>
  </si>
  <si>
    <t>Procurement</t>
  </si>
  <si>
    <t>Research and Development</t>
  </si>
  <si>
    <t>Early</t>
  </si>
  <si>
    <t>Green</t>
  </si>
  <si>
    <t>Slipping</t>
  </si>
  <si>
    <t>2 Approved to Develop</t>
  </si>
  <si>
    <t>Late</t>
  </si>
  <si>
    <t>Approved</t>
  </si>
  <si>
    <t>Blocked</t>
  </si>
  <si>
    <t>1 Approved to Design</t>
  </si>
  <si>
    <t>Business Development</t>
  </si>
  <si>
    <t>3 Approved to Implement</t>
  </si>
  <si>
    <t>ap_name</t>
  </si>
  <si>
    <t>apID</t>
  </si>
  <si>
    <t>apCustomerID</t>
  </si>
  <si>
    <t>apFilteredFrom</t>
  </si>
  <si>
    <t>apTS_WeeklyOrMonthly</t>
  </si>
  <si>
    <t>apTS_WeeklyPxFactor</t>
  </si>
  <si>
    <t>apTS_Start</t>
  </si>
  <si>
    <t>apTS_Finish</t>
  </si>
  <si>
    <t>apHelpCoordTop</t>
  </si>
  <si>
    <t>apHelpCoordLeft</t>
  </si>
  <si>
    <t>apTS_MonthlyPxFactor</t>
  </si>
  <si>
    <t>apStatusDate</t>
  </si>
  <si>
    <t>apFilteredFromTbID</t>
  </si>
  <si>
    <t>ap_HolidayDate</t>
  </si>
  <si>
    <t>ap_HolidayName</t>
  </si>
  <si>
    <t>apSchMethod</t>
  </si>
  <si>
    <t>apTbVisibleLevel</t>
  </si>
  <si>
    <t>totalNumberOfPeople</t>
  </si>
  <si>
    <t>numberOfPeoplePerLine</t>
  </si>
  <si>
    <t>pxPerPerson</t>
  </si>
  <si>
    <t>apHideCompletedBarsYN</t>
  </si>
  <si>
    <t>apT1</t>
  </si>
  <si>
    <t>apT2</t>
  </si>
  <si>
    <t>apT3</t>
  </si>
  <si>
    <t>apT4</t>
  </si>
  <si>
    <t>apT5</t>
  </si>
  <si>
    <t>apT6</t>
  </si>
  <si>
    <t>apT7</t>
  </si>
  <si>
    <t>apT8</t>
  </si>
  <si>
    <t>apT9</t>
  </si>
  <si>
    <t>apT10</t>
  </si>
  <si>
    <t>NA</t>
  </si>
  <si>
    <t>Yes</t>
  </si>
  <si>
    <t>Target Sheet</t>
  </si>
  <si>
    <t>File Name</t>
  </si>
  <si>
    <t>Import</t>
  </si>
  <si>
    <t>Timebars</t>
  </si>
  <si>
    <t>tbTimebars.csv</t>
  </si>
  <si>
    <t>No</t>
  </si>
  <si>
    <t>MetaData</t>
  </si>
  <si>
    <t>tbMetaData.csv</t>
  </si>
  <si>
    <t>Export</t>
  </si>
  <si>
    <t>NoPicklist</t>
  </si>
  <si>
    <t>WithPicklist</t>
  </si>
  <si>
    <t>ID</t>
  </si>
  <si>
    <t>id</t>
  </si>
  <si>
    <t>tbSubType</t>
  </si>
  <si>
    <t>tbACost</t>
  </si>
  <si>
    <t>tbBarHeight</t>
  </si>
  <si>
    <t>Parent</t>
  </si>
  <si>
    <t>SubType</t>
  </si>
  <si>
    <t>Lane</t>
  </si>
  <si>
    <t>Duration</t>
  </si>
  <si>
    <t>Rem Dur</t>
  </si>
  <si>
    <t>Owner</t>
  </si>
  <si>
    <t>Work Remaining</t>
  </si>
  <si>
    <t>Bar Height</t>
  </si>
  <si>
    <t>MDUID</t>
  </si>
  <si>
    <t>showGhostBarsYN</t>
  </si>
  <si>
    <t>showBaselineBarsYN</t>
  </si>
  <si>
    <t>apFilteredFromKbID</t>
  </si>
  <si>
    <t>apTbProduct</t>
  </si>
  <si>
    <t>apT11</t>
  </si>
  <si>
    <t>apT12</t>
  </si>
  <si>
    <t>apT14</t>
  </si>
  <si>
    <t>apT15</t>
  </si>
  <si>
    <t>auto filled</t>
  </si>
  <si>
    <t>Dark Mode Toggle</t>
  </si>
  <si>
    <t>Filtered From</t>
  </si>
  <si>
    <t>Azure ID</t>
  </si>
  <si>
    <t>TS Weekly Or Monthly</t>
  </si>
  <si>
    <t>TS Weekly Px Factor</t>
  </si>
  <si>
    <t>TS Start</t>
  </si>
  <si>
    <t>TSFinish</t>
  </si>
  <si>
    <t>Help Coord Top</t>
  </si>
  <si>
    <t>Help Coord Left</t>
  </si>
  <si>
    <t>TS Monthly Px Factor</t>
  </si>
  <si>
    <t>StatusDate</t>
  </si>
  <si>
    <t>Filtered From Tb ID</t>
  </si>
  <si>
    <t>Holiday Date</t>
  </si>
  <si>
    <t>Holiday Name</t>
  </si>
  <si>
    <t>Sch Method</t>
  </si>
  <si>
    <t>Tb Visible Level</t>
  </si>
  <si>
    <t>Total Number Of People</t>
  </si>
  <si>
    <t>Number Of People Per Line</t>
  </si>
  <si>
    <t>Px Per Person</t>
  </si>
  <si>
    <t>Hide Completed Bars YN</t>
  </si>
  <si>
    <t>Show Ghost Bars YN</t>
  </si>
  <si>
    <t>Show Baseline Bars YN</t>
  </si>
  <si>
    <t>tbDocID</t>
  </si>
  <si>
    <t>tbDocL1</t>
  </si>
  <si>
    <t>tbDocL2</t>
  </si>
  <si>
    <t>tbDocL3</t>
  </si>
  <si>
    <t>tbDocL4</t>
  </si>
  <si>
    <t>tbDocL5</t>
  </si>
  <si>
    <t>tbDocCardImage</t>
  </si>
  <si>
    <t>tbDocName</t>
  </si>
  <si>
    <t>tbDocNameShort</t>
  </si>
  <si>
    <t>tbDocHTMLContent</t>
  </si>
  <si>
    <t>tbDocStatus</t>
  </si>
  <si>
    <t>tbDocPurpose</t>
  </si>
  <si>
    <t>tbDocWrittenBy</t>
  </si>
  <si>
    <t>tbDocBriefDescription</t>
  </si>
  <si>
    <t>tbDocCustomerID</t>
  </si>
  <si>
    <t>tbDocType</t>
  </si>
  <si>
    <t>tbDocGroup</t>
  </si>
  <si>
    <t>tbDocOwner</t>
  </si>
  <si>
    <t>tbDocPopular</t>
  </si>
  <si>
    <t>tbDocSortOrder</t>
  </si>
  <si>
    <t>tbDocLastModified</t>
  </si>
  <si>
    <t>tbDocApprovedBy</t>
  </si>
  <si>
    <t>Documents</t>
  </si>
  <si>
    <t>Must be the tbID of the parent timebar.</t>
  </si>
  <si>
    <t>Used to generate Chips in Document Cards Page</t>
  </si>
  <si>
    <t>Mandatory and brief</t>
  </si>
  <si>
    <t>Main content for the doc, populated by editor or by hand here</t>
  </si>
  <si>
    <t>Uses picklist Document Status</t>
  </si>
  <si>
    <t>Business Case</t>
  </si>
  <si>
    <t>HTML</t>
  </si>
  <si>
    <t>First Draft</t>
  </si>
  <si>
    <t>Project Charter</t>
  </si>
  <si>
    <t>In Progress</t>
  </si>
  <si>
    <t>tbTagID</t>
  </si>
  <si>
    <t>tbTagGroup</t>
  </si>
  <si>
    <t>tbTagName</t>
  </si>
  <si>
    <t>tbTagEntity</t>
  </si>
  <si>
    <t>tbTagPopular</t>
  </si>
  <si>
    <t>tbTagNameShort</t>
  </si>
  <si>
    <t>tbTagPurpose</t>
  </si>
  <si>
    <t>tbTagDescription</t>
  </si>
  <si>
    <t>tbTagOwner</t>
  </si>
  <si>
    <t>tbTagSortOrder</t>
  </si>
  <si>
    <t>tbTagCustomerID</t>
  </si>
  <si>
    <t>tbTagLastModified</t>
  </si>
  <si>
    <t>Tags</t>
  </si>
  <si>
    <t>Do not change</t>
  </si>
  <si>
    <t>Picklist Name</t>
  </si>
  <si>
    <t>Tag Name</t>
  </si>
  <si>
    <t>ProjList</t>
  </si>
  <si>
    <t>Project Tagging</t>
  </si>
  <si>
    <t>PMO</t>
  </si>
  <si>
    <t>Category</t>
  </si>
  <si>
    <t>General</t>
  </si>
  <si>
    <t>Contact</t>
  </si>
  <si>
    <t>Cost Code</t>
  </si>
  <si>
    <t>Department</t>
  </si>
  <si>
    <t>Sales and Marketing</t>
  </si>
  <si>
    <t>Engineering</t>
  </si>
  <si>
    <t>System</t>
  </si>
  <si>
    <t>Canceled</t>
  </si>
  <si>
    <t>On schedule</t>
  </si>
  <si>
    <t>Completed</t>
  </si>
  <si>
    <t>system</t>
  </si>
  <si>
    <t>Calendar</t>
  </si>
  <si>
    <t>Responsibility</t>
  </si>
  <si>
    <t>Program</t>
  </si>
  <si>
    <t>Band</t>
  </si>
  <si>
    <t>PF1</t>
  </si>
  <si>
    <t>PJ1</t>
  </si>
  <si>
    <t>SPJ1</t>
  </si>
  <si>
    <t>ALLOC1</t>
  </si>
  <si>
    <t>dfID</t>
  </si>
  <si>
    <t>dfCoordTop</t>
  </si>
  <si>
    <t>dfCoordLeft</t>
  </si>
  <si>
    <t>dfWidth</t>
  </si>
  <si>
    <t>dfName</t>
  </si>
  <si>
    <t>dfType</t>
  </si>
  <si>
    <t>dfTitle</t>
  </si>
  <si>
    <t>dfFormName</t>
  </si>
  <si>
    <t>dfLabel</t>
  </si>
  <si>
    <t>dfPicklist</t>
  </si>
  <si>
    <t>dfShowYN</t>
  </si>
  <si>
    <t>dfOther1</t>
  </si>
  <si>
    <t>dfOther2</t>
  </si>
  <si>
    <t>dfOther3</t>
  </si>
  <si>
    <t>dfOther4</t>
  </si>
  <si>
    <t>dfOther5</t>
  </si>
  <si>
    <t>tbTimebars</t>
  </si>
  <si>
    <t>disabled</t>
  </si>
  <si>
    <t>pfBand</t>
  </si>
  <si>
    <t>Allocation Key Metadata</t>
  </si>
  <si>
    <t>tbMetaData</t>
  </si>
  <si>
    <t>Allocation Name</t>
  </si>
  <si>
    <t>Parent ID</t>
  </si>
  <si>
    <t>TextArea</t>
  </si>
  <si>
    <t>Description</t>
  </si>
  <si>
    <t>Portfolio Information</t>
  </si>
  <si>
    <t>Project Key Metadata</t>
  </si>
  <si>
    <t>Project Number</t>
  </si>
  <si>
    <t>TASK1</t>
  </si>
  <si>
    <t>Task Key Metadata</t>
  </si>
  <si>
    <t>Task Name</t>
  </si>
  <si>
    <t>AdminPanel</t>
  </si>
  <si>
    <t>tbAdminPanel.csv</t>
  </si>
  <si>
    <t>Fields</t>
  </si>
  <si>
    <t>tbFields.csv</t>
  </si>
  <si>
    <t>tbMdJoined.csv</t>
  </si>
  <si>
    <t>tbTags.csv</t>
  </si>
  <si>
    <t>Resources</t>
  </si>
  <si>
    <t>tbResources.csv</t>
  </si>
  <si>
    <t>ResCalcs</t>
  </si>
  <si>
    <t>tbResCalcs.csv</t>
  </si>
  <si>
    <t>ResCalcs2</t>
  </si>
  <si>
    <t>tbResCalcs2.csv</t>
  </si>
  <si>
    <t>Charts</t>
  </si>
  <si>
    <t>tbResCalcID</t>
  </si>
  <si>
    <t>tbResCalcTbResID</t>
  </si>
  <si>
    <t>tbResCalcName</t>
  </si>
  <si>
    <t>tbResCalcCustomerID</t>
  </si>
  <si>
    <t>tbResCalcWeek</t>
  </si>
  <si>
    <t>tbResCalcWdays</t>
  </si>
  <si>
    <t>tbResCalcStartWeekNo</t>
  </si>
  <si>
    <t>tbResCalcTbWeekNo</t>
  </si>
  <si>
    <t>tbResCalcWeekSumHours</t>
  </si>
  <si>
    <t>tbResCalcWeekSumCost</t>
  </si>
  <si>
    <t>tbResCalcLastModified</t>
  </si>
  <si>
    <t>tbResCalcTbID</t>
  </si>
  <si>
    <t>tbChartID</t>
  </si>
  <si>
    <t>tbChartTbId</t>
  </si>
  <si>
    <t>tbChartName</t>
  </si>
  <si>
    <t>tbChartType</t>
  </si>
  <si>
    <t>tbChartLabels</t>
  </si>
  <si>
    <t>tbChartDataset1</t>
  </si>
  <si>
    <t>tbChartDataset2</t>
  </si>
  <si>
    <t>tbChartDataset3</t>
  </si>
  <si>
    <t>tbChartDataset4</t>
  </si>
  <si>
    <t>tbChartConfig1</t>
  </si>
  <si>
    <t>tbChartConfig2</t>
  </si>
  <si>
    <t>tbChartCustomerID</t>
  </si>
  <si>
    <t>Predecessor</t>
  </si>
  <si>
    <t>Float</t>
  </si>
  <si>
    <t>Cost</t>
  </si>
  <si>
    <t>Pay Rate</t>
  </si>
  <si>
    <t>Cost Type</t>
  </si>
  <si>
    <t>Hierarchy Order</t>
  </si>
  <si>
    <t>ResID</t>
  </si>
  <si>
    <t>CustID</t>
  </si>
  <si>
    <t>Health Scope</t>
  </si>
  <si>
    <t>Health Cost</t>
  </si>
  <si>
    <t>Health Issues</t>
  </si>
  <si>
    <t>Health Risk</t>
  </si>
  <si>
    <t>Health Schedule</t>
  </si>
  <si>
    <t>Health Hours</t>
  </si>
  <si>
    <t>Name Short</t>
  </si>
  <si>
    <t>WBS</t>
  </si>
  <si>
    <t>Weighting</t>
  </si>
  <si>
    <t>tbFieldsX.csv</t>
  </si>
  <si>
    <t>Baseline</t>
  </si>
  <si>
    <t>tbBaseline.csv</t>
  </si>
  <si>
    <t>tbCharts.csv</t>
  </si>
  <si>
    <t>tbPortfolioX.csv</t>
  </si>
  <si>
    <t>tbTimebarsX.csv</t>
  </si>
  <si>
    <t>tbMetaDataX.csv</t>
  </si>
  <si>
    <t>tbAdminPanelX.csv</t>
  </si>
  <si>
    <t>tbTagsX.csv</t>
  </si>
  <si>
    <t>tbResourcesX.csv</t>
  </si>
  <si>
    <t>tbBaselineX.csv</t>
  </si>
  <si>
    <t>tbChartsX.csv</t>
  </si>
  <si>
    <t>ItemID</t>
  </si>
  <si>
    <t>Editor</t>
  </si>
  <si>
    <t>ParentID</t>
  </si>
  <si>
    <t>Sub Type is used to to change Task into Risk or Issue.</t>
  </si>
  <si>
    <t>RandIStatus</t>
  </si>
  <si>
    <t>RandIState</t>
  </si>
  <si>
    <t>RandIStage</t>
  </si>
  <si>
    <t>tbMDExpectedBenefits</t>
  </si>
  <si>
    <t>Expected Benefits</t>
  </si>
  <si>
    <t>ProjectName</t>
  </si>
  <si>
    <t>Project Notes</t>
  </si>
  <si>
    <t>Sub Project Key Metadata</t>
  </si>
  <si>
    <t>Sub Project Name</t>
  </si>
  <si>
    <t>A26</t>
  </si>
  <si>
    <t>R&amp;D</t>
  </si>
  <si>
    <t>Risk</t>
  </si>
  <si>
    <t>Issue</t>
  </si>
  <si>
    <t>Availability/Calendar</t>
  </si>
  <si>
    <t>% Allocated</t>
  </si>
  <si>
    <t>Standard Config Settings</t>
  </si>
  <si>
    <t>L5</t>
  </si>
  <si>
    <t>Standard Holidays</t>
  </si>
  <si>
    <t>Christmas</t>
  </si>
  <si>
    <t>Boxing Day</t>
  </si>
  <si>
    <t>Managing</t>
  </si>
  <si>
    <t>01.02.00.00.00</t>
  </si>
  <si>
    <t>01.03.00.00.00</t>
  </si>
  <si>
    <t>01.04.00.00.00</t>
  </si>
  <si>
    <t>01.05.00.00.00</t>
  </si>
  <si>
    <t>01.06.00.00.00</t>
  </si>
  <si>
    <t>01.07.00.00.00</t>
  </si>
  <si>
    <t>01.08.00.00.00</t>
  </si>
  <si>
    <t>01.09.00.00.00</t>
  </si>
  <si>
    <t>01.10.00.00.00</t>
  </si>
  <si>
    <t>01.11.00.00.00</t>
  </si>
  <si>
    <t>Business Case for ID 20</t>
  </si>
  <si>
    <t>This is my content</t>
  </si>
  <si>
    <t>Jim Cox</t>
  </si>
  <si>
    <t>my brief2</t>
  </si>
  <si>
    <t>JC</t>
  </si>
  <si>
    <t>Business Case for ID 40</t>
  </si>
  <si>
    <t>my brief3</t>
  </si>
  <si>
    <t>my brief4</t>
  </si>
  <si>
    <t>my brief5</t>
  </si>
  <si>
    <t>Business Case for ID 60</t>
  </si>
  <si>
    <t>my brief6</t>
  </si>
  <si>
    <t>my brief1</t>
  </si>
  <si>
    <t>Business Advisor</t>
  </si>
  <si>
    <t>tbResResourceCalendar</t>
  </si>
  <si>
    <t>tbResCostCode</t>
  </si>
  <si>
    <t>B44</t>
  </si>
  <si>
    <t>C99</t>
  </si>
  <si>
    <t>D11</t>
  </si>
  <si>
    <t>E11</t>
  </si>
  <si>
    <t>E112</t>
  </si>
  <si>
    <t>Equipment</t>
  </si>
  <si>
    <t>Hardware</t>
  </si>
  <si>
    <t>Software</t>
  </si>
  <si>
    <t>Delivery Manager</t>
  </si>
  <si>
    <t>Executive Sponsor</t>
  </si>
  <si>
    <t>tbResName</t>
  </si>
  <si>
    <t>tbResNameShort</t>
  </si>
  <si>
    <t>tbResPrimarySkill</t>
  </si>
  <si>
    <t>tbResPrimaryRole</t>
  </si>
  <si>
    <t>tbResDepartment</t>
  </si>
  <si>
    <t>tbResManager</t>
  </si>
  <si>
    <t>tbResPayRate</t>
  </si>
  <si>
    <t>tbResTeam</t>
  </si>
  <si>
    <t>tbResLocation</t>
  </si>
  <si>
    <t>tbResTeamLeader</t>
  </si>
  <si>
    <t>tbResSupervisor</t>
  </si>
  <si>
    <t>tbResPartTimeFullTime</t>
  </si>
  <si>
    <t>tbResResourceType</t>
  </si>
  <si>
    <t>tbResResourceClass</t>
  </si>
  <si>
    <t>tbResPercentGeneralAvailability</t>
  </si>
  <si>
    <t>tbResCustomerID</t>
  </si>
  <si>
    <t>tbResExtSystemResID</t>
  </si>
  <si>
    <t>tbResSortOrder</t>
  </si>
  <si>
    <t>tbResLastModified</t>
  </si>
  <si>
    <t>tbResLabourType</t>
  </si>
  <si>
    <t>tbResEmail</t>
  </si>
  <si>
    <t>tbResPasswordHash</t>
  </si>
  <si>
    <t>tbResPIN</t>
  </si>
  <si>
    <t>Form Name</t>
  </si>
  <si>
    <t>Not Applicable</t>
  </si>
  <si>
    <t>Not Assessed</t>
  </si>
  <si>
    <t>Health Overall</t>
  </si>
  <si>
    <t>YesNo</t>
  </si>
  <si>
    <t>Work</t>
  </si>
  <si>
    <t>Actual Work</t>
  </si>
  <si>
    <t>Innovation</t>
  </si>
  <si>
    <t>Improve product reliability</t>
  </si>
  <si>
    <t>Cross-sell our Network Device products</t>
  </si>
  <si>
    <t>Engineering Tool Innovation</t>
  </si>
  <si>
    <t>Faster response to new business opportunities</t>
  </si>
  <si>
    <t>Source Cloud services for our Core products</t>
  </si>
  <si>
    <t>Support moden digital workplace</t>
  </si>
  <si>
    <t>Improve Employee Skills</t>
  </si>
  <si>
    <t>Improve productivity with Agile Teams</t>
  </si>
  <si>
    <t>Run the Business</t>
  </si>
  <si>
    <t>Grow the Business</t>
  </si>
  <si>
    <t>Transform the Business</t>
  </si>
  <si>
    <t>Server more customers</t>
  </si>
  <si>
    <t>Best in market core products</t>
  </si>
  <si>
    <t>Increase revenue</t>
  </si>
  <si>
    <t>Increase share of market</t>
  </si>
  <si>
    <t>Ensure compliance</t>
  </si>
  <si>
    <t>Attract and retain the best people</t>
  </si>
  <si>
    <t>Improve and maintain workplace safety</t>
  </si>
  <si>
    <t>Reduce waste</t>
  </si>
  <si>
    <t>Improve customer service</t>
  </si>
  <si>
    <t>Labour Type</t>
  </si>
  <si>
    <t>Human</t>
  </si>
  <si>
    <t>Generic</t>
  </si>
  <si>
    <t>Other</t>
  </si>
  <si>
    <t>Ottawa</t>
  </si>
  <si>
    <t>Where is resource located</t>
  </si>
  <si>
    <t>Edmonton</t>
  </si>
  <si>
    <t>Halifax</t>
  </si>
  <si>
    <t>Manager</t>
  </si>
  <si>
    <t>George Bush</t>
  </si>
  <si>
    <t>0 to 100K</t>
  </si>
  <si>
    <t>1001K to 5000K</t>
  </si>
  <si>
    <t>101K to 300K</t>
  </si>
  <si>
    <t>301K to 1000K</t>
  </si>
  <si>
    <t>1000K Plus</t>
  </si>
  <si>
    <t>Parttime Fulltime</t>
  </si>
  <si>
    <t>Full Time</t>
  </si>
  <si>
    <t>Part Time</t>
  </si>
  <si>
    <t>Percent Available</t>
  </si>
  <si>
    <t>PercentTimeAllocated</t>
  </si>
  <si>
    <t>Main tool to use to estimate timebar work</t>
  </si>
  <si>
    <t>Initiating</t>
  </si>
  <si>
    <t>Executing</t>
  </si>
  <si>
    <t>Closing</t>
  </si>
  <si>
    <t>Planning</t>
  </si>
  <si>
    <t>Primary LOB</t>
  </si>
  <si>
    <t>Primary Line of Business</t>
  </si>
  <si>
    <t>Finance</t>
  </si>
  <si>
    <t>Corporate Affairs</t>
  </si>
  <si>
    <t>Business Technology Solutions</t>
  </si>
  <si>
    <t>Engineering and Product Delivery</t>
  </si>
  <si>
    <t>Human Resources</t>
  </si>
  <si>
    <t>Primary Role</t>
  </si>
  <si>
    <t>Tester</t>
  </si>
  <si>
    <t>Developer</t>
  </si>
  <si>
    <t>Primary Skill</t>
  </si>
  <si>
    <t>IT Architecture</t>
  </si>
  <si>
    <t>Testing</t>
  </si>
  <si>
    <t>Design</t>
  </si>
  <si>
    <t>Project Management</t>
  </si>
  <si>
    <t>High</t>
  </si>
  <si>
    <t>Medium</t>
  </si>
  <si>
    <t>Low</t>
  </si>
  <si>
    <t>Timebar Priority</t>
  </si>
  <si>
    <t>Set timebar priority</t>
  </si>
  <si>
    <t>Normal</t>
  </si>
  <si>
    <t>Med</t>
  </si>
  <si>
    <t>Immediate</t>
  </si>
  <si>
    <t>Programs</t>
  </si>
  <si>
    <t>Building and Office Modernization</t>
  </si>
  <si>
    <t>Centralized Billing and Receivables</t>
  </si>
  <si>
    <t>Continuous Improvement Transformation</t>
  </si>
  <si>
    <t>Business Continuity Management Program</t>
  </si>
  <si>
    <t>Digital Workplace - Transformation</t>
  </si>
  <si>
    <t>Continuous Internal Delivery Enablement</t>
  </si>
  <si>
    <t>Core Operations Program</t>
  </si>
  <si>
    <t>1 Proposed</t>
  </si>
  <si>
    <t>Proposed</t>
  </si>
  <si>
    <t>2 Triaged</t>
  </si>
  <si>
    <t>Triaged</t>
  </si>
  <si>
    <t>3 Prioritized</t>
  </si>
  <si>
    <t>Prioritized</t>
  </si>
  <si>
    <t>4 Assigned</t>
  </si>
  <si>
    <t>Assigned</t>
  </si>
  <si>
    <t>5 Solving</t>
  </si>
  <si>
    <t>Solving</t>
  </si>
  <si>
    <t>6 Mitigating</t>
  </si>
  <si>
    <t>Mitigation</t>
  </si>
  <si>
    <t>7 Closed</t>
  </si>
  <si>
    <t>Closed</t>
  </si>
  <si>
    <t>On Hold</t>
  </si>
  <si>
    <t>Critical</t>
  </si>
  <si>
    <t>Concerned</t>
  </si>
  <si>
    <t>Resource Class</t>
  </si>
  <si>
    <t>External</t>
  </si>
  <si>
    <t>Contractor</t>
  </si>
  <si>
    <t>Permenant</t>
  </si>
  <si>
    <t>Perm</t>
  </si>
  <si>
    <t>Seasonal</t>
  </si>
  <si>
    <t>Resource Department</t>
  </si>
  <si>
    <t>Mechanical</t>
  </si>
  <si>
    <t>Electrical</t>
  </si>
  <si>
    <t>Delivery</t>
  </si>
  <si>
    <t>Resource Type</t>
  </si>
  <si>
    <t>Labour</t>
  </si>
  <si>
    <t>Material</t>
  </si>
  <si>
    <t>Responsible Team</t>
  </si>
  <si>
    <t>Ateam</t>
  </si>
  <si>
    <t>Information Technology</t>
  </si>
  <si>
    <t>Bteam</t>
  </si>
  <si>
    <t>Cteam</t>
  </si>
  <si>
    <t>Fteam</t>
  </si>
  <si>
    <t>Risk Vs Size</t>
  </si>
  <si>
    <t>Supports bubble charts</t>
  </si>
  <si>
    <t>Show In Reports</t>
  </si>
  <si>
    <t>Small</t>
  </si>
  <si>
    <t>Large</t>
  </si>
  <si>
    <t>Release</t>
  </si>
  <si>
    <t>Sponsoring Department</t>
  </si>
  <si>
    <t>IT Department</t>
  </si>
  <si>
    <t>Presidents Office</t>
  </si>
  <si>
    <t>4 Selected</t>
  </si>
  <si>
    <t>Selected</t>
  </si>
  <si>
    <t>5 Assigned</t>
  </si>
  <si>
    <t>6 Delivering</t>
  </si>
  <si>
    <t>Delivering</t>
  </si>
  <si>
    <t>7 Delivered</t>
  </si>
  <si>
    <t>Delivered</t>
  </si>
  <si>
    <t>8 Closed</t>
  </si>
  <si>
    <t>Awaiting Approval</t>
  </si>
  <si>
    <t>Awaiting Input</t>
  </si>
  <si>
    <t>Requested Approval</t>
  </si>
  <si>
    <t>Spawned</t>
  </si>
  <si>
    <t>Awaiting Review</t>
  </si>
  <si>
    <t>Risk or Issue or Other tagging at the task level</t>
  </si>
  <si>
    <t>Task, Risk, Issue or Other. Determines Blue bar sub type</t>
  </si>
  <si>
    <t>Supervisor</t>
  </si>
  <si>
    <t>John Hammond</t>
  </si>
  <si>
    <t>WileyC</t>
  </si>
  <si>
    <t>Jim Key</t>
  </si>
  <si>
    <t>BugsB</t>
  </si>
  <si>
    <t>Helen Hunt</t>
  </si>
  <si>
    <t>Team Leader</t>
  </si>
  <si>
    <t>Type Of Initiative</t>
  </si>
  <si>
    <t>L1 Portfolio</t>
  </si>
  <si>
    <t>NewBars</t>
  </si>
  <si>
    <t>L2 Project</t>
  </si>
  <si>
    <t>L3 Sub-Project</t>
  </si>
  <si>
    <t>Milestone</t>
  </si>
  <si>
    <t>CRM Team</t>
  </si>
  <si>
    <t>Ben tl</t>
  </si>
  <si>
    <t>App Team</t>
  </si>
  <si>
    <t>Erica tl</t>
  </si>
  <si>
    <t>Desktop Team</t>
  </si>
  <si>
    <t>Julia tl</t>
  </si>
  <si>
    <t>Timebar Status</t>
  </si>
  <si>
    <t>New</t>
  </si>
  <si>
    <t>In progress</t>
  </si>
  <si>
    <t>Rejected</t>
  </si>
  <si>
    <t>tbTypeInternal</t>
  </si>
  <si>
    <t>Risk Vs Size And Complexity</t>
  </si>
  <si>
    <t>apABuseStatusDate</t>
  </si>
  <si>
    <t>apABFixedSizing</t>
  </si>
  <si>
    <t>Use Status Date (Agilebars Only)</t>
  </si>
  <si>
    <t>Fixed Sizing (Agilebars Only)</t>
  </si>
  <si>
    <t>20-Mar-2025</t>
  </si>
  <si>
    <t>tbCoordTopP3Menu</t>
  </si>
  <si>
    <t>tbWbsDescription</t>
  </si>
  <si>
    <t>tbSchEngOverride</t>
  </si>
  <si>
    <t>Timebars Data Store</t>
  </si>
  <si>
    <t>Coord Top</t>
  </si>
  <si>
    <t>Custom Coord Top</t>
  </si>
  <si>
    <t>Work Hours</t>
  </si>
  <si>
    <t>Actual Work Hours</t>
  </si>
  <si>
    <t>Remaining Work Hours</t>
  </si>
  <si>
    <t>Percent Complete</t>
  </si>
  <si>
    <t>Actual Start</t>
  </si>
  <si>
    <t>Actual Finish</t>
  </si>
  <si>
    <t>Actual Cost</t>
  </si>
  <si>
    <t>Cost Remaining</t>
  </si>
  <si>
    <t>Expected Hours Per Week</t>
  </si>
  <si>
    <t>Percent Time Allocated</t>
  </si>
  <si>
    <t>PayRate</t>
  </si>
  <si>
    <t xml:space="preserve"> Status</t>
  </si>
  <si>
    <t>01.01.01.00.00</t>
  </si>
  <si>
    <t>01.01.01.01.00</t>
  </si>
  <si>
    <t>tbMDParent</t>
  </si>
  <si>
    <t>tbMDTypes</t>
  </si>
  <si>
    <t>tbMDSubtype</t>
  </si>
  <si>
    <t>tbMDHierarchy</t>
  </si>
  <si>
    <t>tbMDEscalationLevel</t>
  </si>
  <si>
    <t>tbMDCostbarsScore</t>
  </si>
  <si>
    <t>tbMDFinancialScore</t>
  </si>
  <si>
    <t>tbMDDecisionStrategic</t>
  </si>
  <si>
    <t>tbMDDecisionNotes</t>
  </si>
  <si>
    <t>tbMDResID</t>
  </si>
  <si>
    <t>tbMDContingency</t>
  </si>
  <si>
    <t>tbMDMitigationPlan</t>
  </si>
  <si>
    <t>tbMDMitigationStatus</t>
  </si>
  <si>
    <t>tbMDProbability</t>
  </si>
  <si>
    <t>tbMDImpact</t>
  </si>
  <si>
    <t>tbMDRiskResponseStrategy</t>
  </si>
  <si>
    <t xml:space="preserve"> tbMDContingencyPlan</t>
  </si>
  <si>
    <t>tbMDTriggerEvent</t>
  </si>
  <si>
    <t>tbMDEarlyWarningIndicators</t>
  </si>
  <si>
    <t>tbMDScore</t>
  </si>
  <si>
    <t>MetaData Store</t>
  </si>
  <si>
    <t>Escalation Level</t>
  </si>
  <si>
    <t>ROM Estimate</t>
  </si>
  <si>
    <t>Primary Line Of Business</t>
  </si>
  <si>
    <t>Organization Manager</t>
  </si>
  <si>
    <t>Risk Probability</t>
  </si>
  <si>
    <t>Risk Impact</t>
  </si>
  <si>
    <t>Escelation Level</t>
  </si>
  <si>
    <t>General Notes</t>
  </si>
  <si>
    <t>Initiative Type</t>
  </si>
  <si>
    <t>Financial Score</t>
  </si>
  <si>
    <t>Strategic Decision</t>
  </si>
  <si>
    <t>Decision Notes</t>
  </si>
  <si>
    <t>Contact Number</t>
  </si>
  <si>
    <t>Benefit Cost Ratio</t>
  </si>
  <si>
    <t>Internal Rate Of Return</t>
  </si>
  <si>
    <t>Sunk Costs</t>
  </si>
  <si>
    <t>Net Present Value</t>
  </si>
  <si>
    <t>Opportunity Cost</t>
  </si>
  <si>
    <t>Payback Period</t>
  </si>
  <si>
    <t>Business Owner</t>
  </si>
  <si>
    <t>Background Info</t>
  </si>
  <si>
    <t>Capabilities Needed</t>
  </si>
  <si>
    <t>Consequence of Inaction</t>
  </si>
  <si>
    <t>Problem Opportunity</t>
  </si>
  <si>
    <t>Constraints Assumptions</t>
  </si>
  <si>
    <t>Cost Benefit Analysis</t>
  </si>
  <si>
    <t>Stakeholder Description</t>
  </si>
  <si>
    <t>Written By</t>
  </si>
  <si>
    <t>Ext ID</t>
  </si>
  <si>
    <t>Sync Notes</t>
  </si>
  <si>
    <t>Stage Approver</t>
  </si>
  <si>
    <t>Sprint Name</t>
  </si>
  <si>
    <t>Other3</t>
  </si>
  <si>
    <t>Sort Order</t>
  </si>
  <si>
    <t>Last Modified</t>
  </si>
  <si>
    <t>Show In</t>
  </si>
  <si>
    <t>Notes Workflow</t>
  </si>
  <si>
    <t>Contract Number</t>
  </si>
  <si>
    <t>Program Activity Alignment</t>
  </si>
  <si>
    <t>Contingency</t>
  </si>
  <si>
    <t>Mitigation Plan</t>
  </si>
  <si>
    <t>Mitigation Status</t>
  </si>
  <si>
    <t>Probability</t>
  </si>
  <si>
    <t>Impact</t>
  </si>
  <si>
    <t>Risk Response Strategy</t>
  </si>
  <si>
    <t>Contingency Plan</t>
  </si>
  <si>
    <t>Trigger Event</t>
  </si>
  <si>
    <t>Early Warning Indicators</t>
  </si>
  <si>
    <t>Score</t>
  </si>
  <si>
    <t>Joe Invent</t>
  </si>
  <si>
    <t>Our Core Products</t>
  </si>
  <si>
    <t>Business Systems</t>
  </si>
  <si>
    <t>Build Recurring Revenue Streams</t>
  </si>
  <si>
    <t>Modernize the Business</t>
  </si>
  <si>
    <t>Digital Transformation</t>
  </si>
  <si>
    <t>Strengthen Cybersecurity Infrastructure</t>
  </si>
  <si>
    <t>Drive Contract Renewals</t>
  </si>
  <si>
    <t>Productivity Tools</t>
  </si>
  <si>
    <t>Improve employee skills</t>
  </si>
  <si>
    <t>Build AI/ML Capabilities</t>
  </si>
  <si>
    <t>tbTagOpFieldName</t>
  </si>
  <si>
    <t>tbTagOpInternalName</t>
  </si>
  <si>
    <t>tbTagTbInternalName</t>
  </si>
  <si>
    <t>tbTagOpTagName</t>
  </si>
  <si>
    <t>tbTagOpCustomOptionID</t>
  </si>
  <si>
    <t>Tags Data Store</t>
  </si>
  <si>
    <t>Priority Order</t>
  </si>
  <si>
    <t>OP Field Name</t>
  </si>
  <si>
    <t>OP Internal Name</t>
  </si>
  <si>
    <t>OP Tag Name</t>
  </si>
  <si>
    <t>OP Custom Option ID</t>
  </si>
  <si>
    <t>na</t>
  </si>
  <si>
    <t>Executives</t>
  </si>
  <si>
    <t>Directors</t>
  </si>
  <si>
    <t>Project Office</t>
  </si>
  <si>
    <t>On Schedule</t>
  </si>
  <si>
    <t>Improve our core products</t>
  </si>
  <si>
    <t>Accelerate Time-to-Market</t>
  </si>
  <si>
    <t>Identified</t>
  </si>
  <si>
    <t>The risk has been recognized</t>
  </si>
  <si>
    <t>Assessed</t>
  </si>
  <si>
    <t>The risk has been analyzed for its impact and probability</t>
  </si>
  <si>
    <t>Mitigation Planned</t>
  </si>
  <si>
    <t>A mitigation strategy has been developed and documented but not yet implemented.</t>
  </si>
  <si>
    <t>The mitigation actions are actively being implemented to address the risk.</t>
  </si>
  <si>
    <t>Mitigated</t>
  </si>
  <si>
    <t>The planned mitigation actions have been completed</t>
  </si>
  <si>
    <t>Under Review</t>
  </si>
  <si>
    <t>The risk and its mitigation are being evaluated to determine if further action is needed.</t>
  </si>
  <si>
    <t>Accepted</t>
  </si>
  <si>
    <t>The risk is acknowledged but will not be mitigated</t>
  </si>
  <si>
    <t>Transferred</t>
  </si>
  <si>
    <t>The responsibility of the risk has been assigned to a third party</t>
  </si>
  <si>
    <t>Escalated</t>
  </si>
  <si>
    <t>The risk is no longer relevant or has been fully resolved; no further action is required.</t>
  </si>
  <si>
    <t>Deferred</t>
  </si>
  <si>
    <t>The risk has been identified but will be monitored over time before deciding on mitigation.</t>
  </si>
  <si>
    <t>Part or Full Time</t>
  </si>
  <si>
    <t>HR SME</t>
  </si>
  <si>
    <t>Finance SME</t>
  </si>
  <si>
    <t>Engineer</t>
  </si>
  <si>
    <t>Catch All Skill</t>
  </si>
  <si>
    <t>Analyzers</t>
  </si>
  <si>
    <t>Antenna</t>
  </si>
  <si>
    <t>Billing System</t>
  </si>
  <si>
    <t>HR System</t>
  </si>
  <si>
    <t>Class</t>
  </si>
  <si>
    <t>Very Low</t>
  </si>
  <si>
    <t>Intermediate</t>
  </si>
  <si>
    <t>Priority Strategic</t>
  </si>
  <si>
    <t>L4 Milestone</t>
  </si>
  <si>
    <t>L4 Task</t>
  </si>
  <si>
    <t>customField8</t>
  </si>
  <si>
    <t>Dynamic Fields Data Store</t>
  </si>
  <si>
    <t>Coord Left</t>
  </si>
  <si>
    <t>Width</t>
  </si>
  <si>
    <t>Label</t>
  </si>
  <si>
    <t>Title</t>
  </si>
  <si>
    <t>Store</t>
  </si>
  <si>
    <t>Show YN</t>
  </si>
  <si>
    <t>Resource ID</t>
  </si>
  <si>
    <t>dfIssue</t>
  </si>
  <si>
    <t>Issue Name</t>
  </si>
  <si>
    <t>Issue Description</t>
  </si>
  <si>
    <t>Issue Executive Summary</t>
  </si>
  <si>
    <t>Date issue resolution began.</t>
  </si>
  <si>
    <t>Anticipated resolution date</t>
  </si>
  <si>
    <t>Issue Tracking Notes</t>
  </si>
  <si>
    <t>dfRisk</t>
  </si>
  <si>
    <t>Risk Name</t>
  </si>
  <si>
    <t>Risk Description</t>
  </si>
  <si>
    <t>Unique ID</t>
  </si>
  <si>
    <t>Anticipated date of Risk materializing</t>
  </si>
  <si>
    <t>When would Risk monitoring end</t>
  </si>
  <si>
    <t>Risk Mitigation Status</t>
  </si>
  <si>
    <t>Likelyhood of Risk happening</t>
  </si>
  <si>
    <t>Impact to the project</t>
  </si>
  <si>
    <t>Score: Internally Calculated by the probability and impact in a percentage value</t>
  </si>
  <si>
    <t>tbMDContingencyPlan</t>
  </si>
  <si>
    <t>Risk Mitigation Plan</t>
  </si>
  <si>
    <t>Risk Executive Summary short description please</t>
  </si>
  <si>
    <t>Risk Actions and Tracking Notes</t>
  </si>
  <si>
    <t>Risk Tracking Notes</t>
  </si>
  <si>
    <t>Predecessor Project ID</t>
  </si>
  <si>
    <t>Timebar Health</t>
  </si>
  <si>
    <t>tbResCalcResName</t>
  </si>
  <si>
    <t>tbResCalcWeek32</t>
  </si>
  <si>
    <t>tbResCalcWeek31</t>
  </si>
  <si>
    <t>tbResCalcWeek30</t>
  </si>
  <si>
    <t>tbResCalcWeek29</t>
  </si>
  <si>
    <t>tbResCalcWeek28</t>
  </si>
  <si>
    <t>tbResCalcWeek27</t>
  </si>
  <si>
    <t>tbResCalcWeek26</t>
  </si>
  <si>
    <t>tbResCalcWeek25</t>
  </si>
  <si>
    <t>tbResCalcWeek24</t>
  </si>
  <si>
    <t>tbResCalcWeek23</t>
  </si>
  <si>
    <t>tbResCalcWeek22</t>
  </si>
  <si>
    <t>tbResCalcWeek21</t>
  </si>
  <si>
    <t>tbResCalcWeek20</t>
  </si>
  <si>
    <t>tbResCalcWeek19</t>
  </si>
  <si>
    <t>tbResCalcWeek18</t>
  </si>
  <si>
    <t>tbResCalcWeek17</t>
  </si>
  <si>
    <t>tbResCalcWeek16</t>
  </si>
  <si>
    <t>tbResCalcWeek15</t>
  </si>
  <si>
    <t>tbResCalcWeek14</t>
  </si>
  <si>
    <t>tbResCalcWeek13</t>
  </si>
  <si>
    <t>tbResCalcWeek12</t>
  </si>
  <si>
    <t>tbResCalcWeek11</t>
  </si>
  <si>
    <t>tbResCalcWeek10</t>
  </si>
  <si>
    <t>tbResCalcWeek9</t>
  </si>
  <si>
    <t>tbResCalcWeek8</t>
  </si>
  <si>
    <t>tbResCalcWeek7</t>
  </si>
  <si>
    <t>tbResCalcWeek6</t>
  </si>
  <si>
    <t>tbResCalcWeek5</t>
  </si>
  <si>
    <t>tbResCalcWeek4</t>
  </si>
  <si>
    <t>tbResCalcWeek3</t>
  </si>
  <si>
    <t>tbResCalcWeek2</t>
  </si>
  <si>
    <t>tbResCalcWeek1</t>
  </si>
  <si>
    <t>tbResCalcResID</t>
  </si>
  <si>
    <t>tbResCalcProject</t>
  </si>
  <si>
    <t>ResCalcUsage Data Store (Weekly Usage)</t>
  </si>
  <si>
    <t>Left</t>
  </si>
  <si>
    <t>Text</t>
  </si>
  <si>
    <t>tbResRemarks</t>
  </si>
  <si>
    <t>tbResTermDate</t>
  </si>
  <si>
    <t>tbResStartDate</t>
  </si>
  <si>
    <t>tbResTransDate</t>
  </si>
  <si>
    <t>tbResOffice</t>
  </si>
  <si>
    <t>tbResStepNotes</t>
  </si>
  <si>
    <t>tbResStep</t>
  </si>
  <si>
    <t>tbResStage</t>
  </si>
  <si>
    <t>tbResState</t>
  </si>
  <si>
    <t>tbResStatus</t>
  </si>
  <si>
    <t>tbResCertNo</t>
  </si>
  <si>
    <t>tbResSignature</t>
  </si>
  <si>
    <t>tbResOccupation</t>
  </si>
  <si>
    <t>tbResPostalStation</t>
  </si>
  <si>
    <t>tbResAptNo</t>
  </si>
  <si>
    <t>tbResPOBoxNo</t>
  </si>
  <si>
    <t>tbResPhoto</t>
  </si>
  <si>
    <t>tbResCourseFinishDate</t>
  </si>
  <si>
    <t>tbResCourse</t>
  </si>
  <si>
    <t>tbResSocialLinks</t>
  </si>
  <si>
    <t>tbResLanguage</t>
  </si>
  <si>
    <t>tbResBirthday</t>
  </si>
  <si>
    <t>tbResCompany</t>
  </si>
  <si>
    <t>tbResCountry</t>
  </si>
  <si>
    <t>tbResCellPhoneNo</t>
  </si>
  <si>
    <t>tbResPhoneNo2</t>
  </si>
  <si>
    <t>tbResPhoneNo</t>
  </si>
  <si>
    <t>tbResZipPostalCode</t>
  </si>
  <si>
    <t>tbResStateProvince</t>
  </si>
  <si>
    <t>tbResCity</t>
  </si>
  <si>
    <t>tbResStreet</t>
  </si>
  <si>
    <t>tbResMiddleName</t>
  </si>
  <si>
    <t>tbResLastName</t>
  </si>
  <si>
    <t>tbResFirstName</t>
  </si>
  <si>
    <t>tbResEmail2</t>
  </si>
  <si>
    <t>Center</t>
  </si>
  <si>
    <t>tbResQuantity</t>
  </si>
  <si>
    <t>Currency</t>
  </si>
  <si>
    <t>Number</t>
  </si>
  <si>
    <t>Date</t>
  </si>
  <si>
    <t>show</t>
  </si>
  <si>
    <t>NoOfColumns</t>
  </si>
  <si>
    <t>L5 Gold Bar</t>
  </si>
  <si>
    <t>L4 Blue Bar</t>
  </si>
  <si>
    <t>L3 Orange Bar</t>
  </si>
  <si>
    <t>L2 Green Bar</t>
  </si>
  <si>
    <t>L1 Brown Bar</t>
  </si>
  <si>
    <t>Field ID</t>
  </si>
  <si>
    <t>MD Form Section</t>
  </si>
  <si>
    <t>CRID</t>
  </si>
  <si>
    <t>tbCRNoOfColumns</t>
  </si>
  <si>
    <t>tbCRAllocation</t>
  </si>
  <si>
    <t>tbCRTask</t>
  </si>
  <si>
    <t>tbCRSubProject</t>
  </si>
  <si>
    <t>tbCRProject</t>
  </si>
  <si>
    <t>tbCRPortfolio</t>
  </si>
  <si>
    <t>tbCRFieldName</t>
  </si>
  <si>
    <t>tbCRSection</t>
  </si>
  <si>
    <t>tbCRID</t>
  </si>
  <si>
    <t>Portfolio Project Compliance</t>
  </si>
  <si>
    <t>OAG Replacement Project</t>
  </si>
  <si>
    <t>Yves</t>
  </si>
  <si>
    <t>20-Sep-2025</t>
  </si>
  <si>
    <t>07-Apr-2025</t>
  </si>
  <si>
    <t>Facial Recognition FRS</t>
  </si>
  <si>
    <t>24-Jul-2025</t>
  </si>
  <si>
    <t>06-Feb-2025</t>
  </si>
  <si>
    <t>Birth Certification Validation</t>
  </si>
  <si>
    <t>Michael</t>
  </si>
  <si>
    <t>02-Jun-2025</t>
  </si>
  <si>
    <t>16-Dec-2024</t>
  </si>
  <si>
    <t>Biometrics - Infosharing Phase 1</t>
  </si>
  <si>
    <t>Carmai</t>
  </si>
  <si>
    <t>24-Apr-2025</t>
  </si>
  <si>
    <t>07-Nov-2024</t>
  </si>
  <si>
    <t>Legacy Biographic daata sharing</t>
  </si>
  <si>
    <t>03-Oct-2024</t>
  </si>
  <si>
    <t>Is Employee Validation</t>
  </si>
  <si>
    <t>09-Jan-2025</t>
  </si>
  <si>
    <t>25-Jul-2024</t>
  </si>
  <si>
    <t>Biometrics – data sharing Phase 2</t>
  </si>
  <si>
    <t>19-Nov-2024</t>
  </si>
  <si>
    <t>04-Jun-2024</t>
  </si>
  <si>
    <t>Biometrics Info Sharing POC</t>
  </si>
  <si>
    <t>17-Sep-2024</t>
  </si>
  <si>
    <t>04-Apr-2024</t>
  </si>
  <si>
    <t>Tester Platforms and Datacenter</t>
  </si>
  <si>
    <t>03-Feb-2024</t>
  </si>
  <si>
    <t>26-Jan-2024</t>
  </si>
  <si>
    <t>01.01.05.03.01</t>
  </si>
  <si>
    <t>Tester EDC</t>
  </si>
  <si>
    <t>01.01.05.03.00</t>
  </si>
  <si>
    <t>Testing Post Deployment - LOV Service</t>
  </si>
  <si>
    <t>Developer General</t>
  </si>
  <si>
    <t>25-Jan-2024</t>
  </si>
  <si>
    <t>11-Jan-2024</t>
  </si>
  <si>
    <t>01.01.05.02.01</t>
  </si>
  <si>
    <t>Dev General</t>
  </si>
  <si>
    <t>01.01.05.02.00</t>
  </si>
  <si>
    <t>API Post Deployment Fixes -  LOV Service</t>
  </si>
  <si>
    <t>SME Solution Architecture</t>
  </si>
  <si>
    <t>10-Jan-2024</t>
  </si>
  <si>
    <t>27-Dec-2023</t>
  </si>
  <si>
    <t>01.01.05.01.01</t>
  </si>
  <si>
    <t>SME SA</t>
  </si>
  <si>
    <t>Phase 1</t>
  </si>
  <si>
    <t>01.01.05.01.00</t>
  </si>
  <si>
    <t>Interface Post-Deployment - LOV Service</t>
  </si>
  <si>
    <t>Post-Deployment: LOV Service</t>
  </si>
  <si>
    <t>Death Notification Service</t>
  </si>
  <si>
    <t>01.01.05.00.00</t>
  </si>
  <si>
    <t>Developer Web</t>
  </si>
  <si>
    <t>26-Dec-2023</t>
  </si>
  <si>
    <t>25-Dec-2023</t>
  </si>
  <si>
    <t>01.01.04.03.01</t>
  </si>
  <si>
    <t>Dev Web</t>
  </si>
  <si>
    <t>Testing Implementation - LOV Service</t>
  </si>
  <si>
    <t>Implementation: LOV Service</t>
  </si>
  <si>
    <t>01.01.04.03.00</t>
  </si>
  <si>
    <t>Developer SQL</t>
  </si>
  <si>
    <t>19-Dec-2023</t>
  </si>
  <si>
    <t>01.01.04.02.01</t>
  </si>
  <si>
    <t>Dev SQL</t>
  </si>
  <si>
    <t>MAR Implementation -Death Notification Service</t>
  </si>
  <si>
    <t>01.01.04.02.00</t>
  </si>
  <si>
    <t>MAR Implementation - LOV Service</t>
  </si>
  <si>
    <t>11-Dec-2023</t>
  </si>
  <si>
    <t>01.01.04.01.01</t>
  </si>
  <si>
    <t>Interface Implementation - LOV Service</t>
  </si>
  <si>
    <t>01.01.04.01.00</t>
  </si>
  <si>
    <t>01.01.04.00.00</t>
  </si>
  <si>
    <t>09-Dec-2023</t>
  </si>
  <si>
    <t>27-Nov-2023</t>
  </si>
  <si>
    <t>01.01.03.03.01</t>
  </si>
  <si>
    <t>01.01.03.03.00</t>
  </si>
  <si>
    <t>Testing Deployment - LOV Service</t>
  </si>
  <si>
    <t>Developer ERP System</t>
  </si>
  <si>
    <t>04-Dec-2023</t>
  </si>
  <si>
    <t>01.01.03.02.01</t>
  </si>
  <si>
    <t>Dev ERP</t>
  </si>
  <si>
    <t>01.01.03.02.00</t>
  </si>
  <si>
    <t>Mar Deployment - LOV Service</t>
  </si>
  <si>
    <t>Chris Java</t>
  </si>
  <si>
    <t>02-Dec-2023</t>
  </si>
  <si>
    <t>01.01.03.01.01</t>
  </si>
  <si>
    <t>01.01.03.01.00</t>
  </si>
  <si>
    <t>LOB Interface Deployment - LOV Service</t>
  </si>
  <si>
    <t>Deployment: LOV Service</t>
  </si>
  <si>
    <t>01.01.03.00.00</t>
  </si>
  <si>
    <t>18-Nov-2023</t>
  </si>
  <si>
    <t>13-Nov-2023</t>
  </si>
  <si>
    <t>01.01.02.03.01</t>
  </si>
  <si>
    <t>MAR Migration - LOV Service</t>
  </si>
  <si>
    <t>Migration: LOV Service</t>
  </si>
  <si>
    <t>01.01.02.03.00</t>
  </si>
  <si>
    <t>25-Nov-2023</t>
  </si>
  <si>
    <t>20-Nov-2023</t>
  </si>
  <si>
    <t>01.01.02.02.01</t>
  </si>
  <si>
    <t>Testing Migration - LOV Service</t>
  </si>
  <si>
    <t>01.01.02.02.00</t>
  </si>
  <si>
    <t>SME Cloud Technologies</t>
  </si>
  <si>
    <t>11-Nov-2023</t>
  </si>
  <si>
    <t>06-Nov-2023</t>
  </si>
  <si>
    <t>01.01.02.01.01</t>
  </si>
  <si>
    <t>SME Cloud</t>
  </si>
  <si>
    <t>Interface Migration - LOV Service</t>
  </si>
  <si>
    <t>01.01.02.01.00</t>
  </si>
  <si>
    <t>01.01.02.00.00</t>
  </si>
  <si>
    <t>04-Nov-2023</t>
  </si>
  <si>
    <t>30-Oct-2023</t>
  </si>
  <si>
    <t>01.01.01.03.01</t>
  </si>
  <si>
    <t>Testing Design - LOV Service</t>
  </si>
  <si>
    <t>Design: LOV Service</t>
  </si>
  <si>
    <t>01.01.01.03.00</t>
  </si>
  <si>
    <t>28-Oct-2023</t>
  </si>
  <si>
    <t>16-Oct-2023</t>
  </si>
  <si>
    <t>01.01.01.02.01</t>
  </si>
  <si>
    <t>MAR Design - LOV Service</t>
  </si>
  <si>
    <t>01.01.01.02.00</t>
  </si>
  <si>
    <t>14-Oct-2023</t>
  </si>
  <si>
    <t>02-Oct-2023</t>
  </si>
  <si>
    <t>01.01.01.01.01</t>
  </si>
  <si>
    <t>Interface Design - LOV Service</t>
  </si>
  <si>
    <t>Docs Upload Service Docs</t>
  </si>
  <si>
    <t>Stefan</t>
  </si>
  <si>
    <t>07-Apr-2024</t>
  </si>
  <si>
    <t>Docs Upload Service</t>
  </si>
  <si>
    <t>Testing Post Deployment - Docs Upload Service</t>
  </si>
  <si>
    <t>API Post Deployment Fixes - Docs Upload Service</t>
  </si>
  <si>
    <t>Interface Post-Deployment - Docs Upload Service</t>
  </si>
  <si>
    <t>Post-Deployment:Docs Upload Service</t>
  </si>
  <si>
    <t>Testing Implementation - Docs Upload Service</t>
  </si>
  <si>
    <t>Implementation:Docs Upload Service</t>
  </si>
  <si>
    <t>MAR Implementation – Death Notification Service</t>
  </si>
  <si>
    <t>Interface Implementation - Docs Upload Service</t>
  </si>
  <si>
    <t>Testing Deployment – Docs Upload Service</t>
  </si>
  <si>
    <t>Mar Deployment – Docs Upload Service</t>
  </si>
  <si>
    <t>LOB Interface Deployment - Docs Upload Service</t>
  </si>
  <si>
    <t>Deployment:Docs Upload Service</t>
  </si>
  <si>
    <t>MAR Migration -Docs Upload Service</t>
  </si>
  <si>
    <t>Migration:Docs Upload Service</t>
  </si>
  <si>
    <t>MAR Migration – Docs Upload Service</t>
  </si>
  <si>
    <t>Testing Migration -Docs Upload Service</t>
  </si>
  <si>
    <t>Interface Migration -Docs Upload Service</t>
  </si>
  <si>
    <t>Interface Migration - Docs Upload Service</t>
  </si>
  <si>
    <t>Testing Design -Docs Upload Service</t>
  </si>
  <si>
    <t>Design:Docs Upload Service</t>
  </si>
  <si>
    <t>Testing Design – Docs Upload Service</t>
  </si>
  <si>
    <t>MAR Design -Docs Upload Service</t>
  </si>
  <si>
    <t>MAR Design – Docs Upload Service</t>
  </si>
  <si>
    <t>Interface Design -Docs Upload Service</t>
  </si>
  <si>
    <t>Interface Design – Docs Upload Service</t>
  </si>
  <si>
    <t>Design: Death Notification Service</t>
  </si>
  <si>
    <t xml:space="preserve"> LOV Service</t>
  </si>
  <si>
    <t>16-Apr-2024</t>
  </si>
  <si>
    <t>A411</t>
  </si>
  <si>
    <t>A406</t>
  </si>
  <si>
    <t>A405</t>
  </si>
  <si>
    <t>null</t>
  </si>
  <si>
    <t>A404</t>
  </si>
  <si>
    <t>PIN</t>
  </si>
  <si>
    <t>Res Class</t>
  </si>
  <si>
    <t>Res Type</t>
  </si>
  <si>
    <t>Res Supervisor</t>
  </si>
  <si>
    <t>Res Location</t>
  </si>
  <si>
    <t>Team</t>
  </si>
  <si>
    <t>Res Manager</t>
  </si>
  <si>
    <t>Res Department</t>
  </si>
  <si>
    <t>Res Email</t>
  </si>
  <si>
    <t>Default Percent Available</t>
  </si>
  <si>
    <t>Primary Skill *</t>
  </si>
  <si>
    <t>Primary Role *</t>
  </si>
  <si>
    <t>ExtResID</t>
  </si>
  <si>
    <t>Qty Resources</t>
  </si>
  <si>
    <t>Use this to copy and paste into your Timebars Sheet to generate new scheduling data.</t>
  </si>
  <si>
    <t>tbResCalcsUsage.csv</t>
  </si>
  <si>
    <t>Mandatory</t>
  </si>
  <si>
    <t>ResCalcsUsage</t>
  </si>
  <si>
    <t>tbResCalcsUsageX.csv</t>
  </si>
  <si>
    <t>TBMDJoined</t>
  </si>
  <si>
    <t>tbMdJoinedX.csv</t>
  </si>
  <si>
    <t>tbResCalcsX.csv</t>
  </si>
  <si>
    <t>tbResCalcs2X.csv</t>
  </si>
  <si>
    <t xml:space="preserve"> tbMDOther4</t>
  </si>
  <si>
    <t xml:space="preserve"> tbMDOther5</t>
  </si>
  <si>
    <t xml:space="preserve"> tbMDOther6</t>
  </si>
  <si>
    <t xml:space="preserve"> tbMDOther7</t>
  </si>
  <si>
    <t xml:space="preserve"> tbMDOther8</t>
  </si>
  <si>
    <t xml:space="preserve"> tbMDOther9</t>
  </si>
  <si>
    <t xml:space="preserve"> tbMDOther10</t>
  </si>
  <si>
    <t xml:space="preserve"> tbMDOther11</t>
  </si>
  <si>
    <t xml:space="preserve"> tbMDOther12</t>
  </si>
  <si>
    <t>tbBudgetHours</t>
  </si>
  <si>
    <t>tbBudgetCost</t>
  </si>
  <si>
    <t>These are for a future workflow feature</t>
  </si>
  <si>
    <t>Budget Cost</t>
  </si>
  <si>
    <t>CR</t>
  </si>
  <si>
    <t>tbMDIssueCategory</t>
  </si>
  <si>
    <t>tbMDSeniorLevelCommitment</t>
  </si>
  <si>
    <t>tbMDOptionsAnalysis</t>
  </si>
  <si>
    <t>tbMDKeyDependencies</t>
  </si>
  <si>
    <t>tbMDValueProposition</t>
  </si>
  <si>
    <t>tbMDSuccessCriteria</t>
  </si>
  <si>
    <t>tbMDDecisionsRequired</t>
  </si>
  <si>
    <t>tbMDKeyRecommendations</t>
  </si>
  <si>
    <t>tbMDMarketAnalysis</t>
  </si>
  <si>
    <t>tbMDPortfolioImpactAnalysis</t>
  </si>
  <si>
    <t>tbMDKeyProjectMetrics</t>
  </si>
  <si>
    <t>tbMDObjectivesAndScope</t>
  </si>
  <si>
    <t>tbMDImplementationApproach</t>
  </si>
  <si>
    <t>tbMDNextSteps</t>
  </si>
  <si>
    <t>Schedule Status</t>
  </si>
  <si>
    <t>Issue Category</t>
  </si>
  <si>
    <t>Budget Estimate</t>
  </si>
  <si>
    <t>Executive Commitment</t>
  </si>
  <si>
    <t>PPM Stage</t>
  </si>
  <si>
    <t xml:space="preserve"> PMI Phase</t>
  </si>
  <si>
    <r>
      <rPr>
        <b/>
        <sz val="11"/>
        <color rgb="FFFFFFFF"/>
        <rFont val="Calibri"/>
        <family val="2"/>
      </rPr>
      <t xml:space="preserve">Strategic </t>
    </r>
    <r>
      <rPr>
        <b/>
        <sz val="9"/>
        <color rgb="FFFFFFFF"/>
        <rFont val="Calibri"/>
        <family val="2"/>
      </rPr>
      <t>Priority/Value</t>
    </r>
  </si>
  <si>
    <t>Costbars OA Risk  Score</t>
  </si>
  <si>
    <t>Other Financial Score??</t>
  </si>
  <si>
    <t>Options Analysis</t>
  </si>
  <si>
    <t>Key Dependencies</t>
  </si>
  <si>
    <t>Value Proposition</t>
  </si>
  <si>
    <t>Success Criteria</t>
  </si>
  <si>
    <t>Decisions Required</t>
  </si>
  <si>
    <t>Key Recommendations</t>
  </si>
  <si>
    <t>Market Analysis</t>
  </si>
  <si>
    <t>Portfolio Impact Analysis</t>
  </si>
  <si>
    <t>Key Project Metrics</t>
  </si>
  <si>
    <t>Objectives and Scope</t>
  </si>
  <si>
    <t>Implementation Approach</t>
  </si>
  <si>
    <t>Next Steps</t>
  </si>
  <si>
    <t>apHideRiskBars</t>
  </si>
  <si>
    <t>apHideIssueBars</t>
  </si>
  <si>
    <t>apHideCRBars</t>
  </si>
  <si>
    <t>Hide Risk Bars</t>
  </si>
  <si>
    <t>Hide Issue Bars</t>
  </si>
  <si>
    <t>Hide CR Bars</t>
  </si>
  <si>
    <t>Budget Hours</t>
  </si>
  <si>
    <t>tbMDRiskCategory</t>
  </si>
  <si>
    <t>Risk Category</t>
  </si>
  <si>
    <t>tbBudget</t>
  </si>
  <si>
    <t>tbBudgetRollupYN</t>
  </si>
  <si>
    <t>tbMDVersion</t>
  </si>
  <si>
    <t>tbMDPrerequisitesChecklist</t>
  </si>
  <si>
    <t>tbMDScheduleCommentary</t>
  </si>
  <si>
    <t>tbMDBudgetCommentary</t>
  </si>
  <si>
    <t>tbMDScopeCommentary</t>
  </si>
  <si>
    <t>tbMDResourceCommentary</t>
  </si>
  <si>
    <t>tbMDFinancialCommentary</t>
  </si>
  <si>
    <t>blID</t>
  </si>
  <si>
    <t>blName</t>
  </si>
  <si>
    <t>blSelfKey2</t>
  </si>
  <si>
    <t>blType</t>
  </si>
  <si>
    <t>blStart</t>
  </si>
  <si>
    <t>blFinish</t>
  </si>
  <si>
    <t>blAStart</t>
  </si>
  <si>
    <t>blAFinish</t>
  </si>
  <si>
    <t>blDuration</t>
  </si>
  <si>
    <t>blRemainingDuration</t>
  </si>
  <si>
    <t>blWork</t>
  </si>
  <si>
    <t>blAWork</t>
  </si>
  <si>
    <t>blWorkRemaining</t>
  </si>
  <si>
    <t>blPercentComplete</t>
  </si>
  <si>
    <t>blCost</t>
  </si>
  <si>
    <t>blACost</t>
  </si>
  <si>
    <t>blCostRemaining</t>
  </si>
  <si>
    <t>blResCostCode</t>
  </si>
  <si>
    <t>blResID</t>
  </si>
  <si>
    <t>blCalendar</t>
  </si>
  <si>
    <t>blPercentTimeOn</t>
  </si>
  <si>
    <t>blCostType</t>
  </si>
  <si>
    <t>blPayRate</t>
  </si>
  <si>
    <t>blSchEngOverride</t>
  </si>
  <si>
    <t>blOwner</t>
  </si>
  <si>
    <t>blL1</t>
  </si>
  <si>
    <t>blL2</t>
  </si>
  <si>
    <t>blL3</t>
  </si>
  <si>
    <t>blL4</t>
  </si>
  <si>
    <t>blL5</t>
  </si>
  <si>
    <t>blHierarchyOrder</t>
  </si>
  <si>
    <t>blStartVariance</t>
  </si>
  <si>
    <t>blFinishVariance</t>
  </si>
  <si>
    <t>blCostVariance</t>
  </si>
  <si>
    <t>blWorkVariance</t>
  </si>
  <si>
    <t>blDurationVariance</t>
  </si>
  <si>
    <t>Budget</t>
  </si>
  <si>
    <t>Budget Rollup YN</t>
  </si>
  <si>
    <t>B Case Date Approved</t>
  </si>
  <si>
    <t>Prerequisites Checklist</t>
  </si>
  <si>
    <t>Schedule Commentary</t>
  </si>
  <si>
    <t>Budget Commentary</t>
  </si>
  <si>
    <t>Scope Commentary</t>
  </si>
  <si>
    <t>Resource Commentary</t>
  </si>
  <si>
    <t>Financial Commentary</t>
  </si>
  <si>
    <t>Tb Internal Name</t>
  </si>
  <si>
    <t>&gt; 5:1</t>
  </si>
  <si>
    <t>3:1 - 5:1</t>
  </si>
  <si>
    <t>2:1 - 3:1</t>
  </si>
  <si>
    <t>1.5:1 - 2:1</t>
  </si>
  <si>
    <t>1:1 - 1.5:1</t>
  </si>
  <si>
    <t>5000K Plus</t>
  </si>
  <si>
    <t>SW Upgrade</t>
  </si>
  <si>
    <t>HW Upgrade</t>
  </si>
  <si>
    <t>HW, SW System Upgrade</t>
  </si>
  <si>
    <t>New HW, SW System</t>
  </si>
  <si>
    <t>Business System Configuration</t>
  </si>
  <si>
    <t>Cloud Service New or Upgrade</t>
  </si>
  <si>
    <t>New Ground to Cloud Service</t>
  </si>
  <si>
    <t>Upgrade Ground to Cloud Service</t>
  </si>
  <si>
    <t>CR Category</t>
  </si>
  <si>
    <t>Strategic</t>
  </si>
  <si>
    <t>Orgnizational</t>
  </si>
  <si>
    <t>Financial</t>
  </si>
  <si>
    <t>Operational</t>
  </si>
  <si>
    <t>Technical</t>
  </si>
  <si>
    <t>Organizational</t>
  </si>
  <si>
    <t>Cross Team Collaboration</t>
  </si>
  <si>
    <t>Single team</t>
  </si>
  <si>
    <t>tbPASCrossTeamCollaboration</t>
  </si>
  <si>
    <t>PAS</t>
  </si>
  <si>
    <t>2-3 teams</t>
  </si>
  <si>
    <t>4-6 teams</t>
  </si>
  <si>
    <t>7-10 teams</t>
  </si>
  <si>
    <t>Many teams/departments</t>
  </si>
  <si>
    <t>Operations</t>
  </si>
  <si>
    <t>Domain Experience</t>
  </si>
  <si>
    <t>Extensive experience</t>
  </si>
  <si>
    <t>tbPASDomainExperience</t>
  </si>
  <si>
    <t>Good experience</t>
  </si>
  <si>
    <t>Some experience</t>
  </si>
  <si>
    <t>Limited experience</t>
  </si>
  <si>
    <t>New domain</t>
  </si>
  <si>
    <t>SWAG</t>
  </si>
  <si>
    <t>Based on History</t>
  </si>
  <si>
    <t>Resource Driven</t>
  </si>
  <si>
    <t>Full</t>
  </si>
  <si>
    <t>Strong</t>
  </si>
  <si>
    <t>Moderate</t>
  </si>
  <si>
    <t>Limited</t>
  </si>
  <si>
    <t>Not Clear</t>
  </si>
  <si>
    <t>External Integrations</t>
  </si>
  <si>
    <t>None</t>
  </si>
  <si>
    <t>tbPASExternalIntegrations</t>
  </si>
  <si>
    <t>1-2 simple integrations</t>
  </si>
  <si>
    <t>3-5 moderate integrations</t>
  </si>
  <si>
    <t>5+ complex integrations</t>
  </si>
  <si>
    <t>Many critical integrations</t>
  </si>
  <si>
    <t>Internal Rate of Return</t>
  </si>
  <si>
    <t>&gt; 50%</t>
  </si>
  <si>
    <t>25% - 50%</t>
  </si>
  <si>
    <t>15% - 25%</t>
  </si>
  <si>
    <t>5% - 15%</t>
  </si>
  <si>
    <t>&lt; 5%</t>
  </si>
  <si>
    <t>Infrastructure and Security</t>
  </si>
  <si>
    <t>Data and Analytics</t>
  </si>
  <si>
    <t>Support modern digital workplace</t>
  </si>
  <si>
    <t>Serve more customers</t>
  </si>
  <si>
    <t>Techincal</t>
  </si>
  <si>
    <t>Schedule</t>
  </si>
  <si>
    <t>Market Timing</t>
  </si>
  <si>
    <t>Perfect timing</t>
  </si>
  <si>
    <t>tbPASMarketTiming</t>
  </si>
  <si>
    <t>Good timing</t>
  </si>
  <si>
    <t>Acceptable timing</t>
  </si>
  <si>
    <t>Challenging timing</t>
  </si>
  <si>
    <t>Poor timing</t>
  </si>
  <si>
    <t>&gt; $5M</t>
  </si>
  <si>
    <t>$1M - $5M</t>
  </si>
  <si>
    <t>$250K - $1M</t>
  </si>
  <si>
    <t>$50K - $250K</t>
  </si>
  <si>
    <t>&lt; $50K</t>
  </si>
  <si>
    <t>&lt; 1 year</t>
  </si>
  <si>
    <t>1 - 2 years</t>
  </si>
  <si>
    <t>2 - 3 years</t>
  </si>
  <si>
    <t>3 - 5 years</t>
  </si>
  <si>
    <t>&gt; 5 years</t>
  </si>
  <si>
    <t>High-level Phase of Project or Program</t>
  </si>
  <si>
    <t>Project Manager</t>
  </si>
  <si>
    <r>
      <rPr>
        <sz val="11"/>
        <color rgb="FF000000"/>
        <rFont val="Calibri"/>
        <family val="2"/>
      </rPr>
      <t xml:space="preserve">Project Assessment </t>
    </r>
    <r>
      <rPr>
        <sz val="11"/>
        <color rgb="FF000000"/>
        <rFont val="Calibri"/>
        <family val="2"/>
        <charset val="1"/>
      </rPr>
      <t>Status</t>
    </r>
  </si>
  <si>
    <t>Draft</t>
  </si>
  <si>
    <t>tbPASStatus</t>
  </si>
  <si>
    <t>Project Assessment Type</t>
  </si>
  <si>
    <t>Incremental Improvement</t>
  </si>
  <si>
    <t>tbPASProjectType</t>
  </si>
  <si>
    <t>Enhancement</t>
  </si>
  <si>
    <t>New Feature</t>
  </si>
  <si>
    <t>New Product</t>
  </si>
  <si>
    <t>Breakthrough Innovation</t>
  </si>
  <si>
    <t>Project Similarity</t>
  </si>
  <si>
    <t>Very Similar</t>
  </si>
  <si>
    <t>tbPASProjectSimilarity</t>
  </si>
  <si>
    <t>Somewhat Similar</t>
  </si>
  <si>
    <t>Moderately Different</t>
  </si>
  <si>
    <t>Quite Different</t>
  </si>
  <si>
    <t>Completely New</t>
  </si>
  <si>
    <t>Matches OpenProject not used for now</t>
  </si>
  <si>
    <t>Controlling Risk and Issue life-cycle workflow</t>
  </si>
  <si>
    <t>Workflow Life-cycle tag</t>
  </si>
  <si>
    <t>Timebar Task, Issue, Risk or CR Status.</t>
  </si>
  <si>
    <t>Regulatory Approvals</t>
  </si>
  <si>
    <t>None required</t>
  </si>
  <si>
    <t>tbPASRegulatoryApprovals</t>
  </si>
  <si>
    <t>Internal approvals</t>
  </si>
  <si>
    <t>Industry standards</t>
  </si>
  <si>
    <t>Government approvals</t>
  </si>
  <si>
    <t>Multiple regulatory bodies</t>
  </si>
  <si>
    <t>Permanent</t>
  </si>
  <si>
    <t>Legal Compliance</t>
  </si>
  <si>
    <t>Tagging risks for the risk score result</t>
  </si>
  <si>
    <t>Very High</t>
  </si>
  <si>
    <t>Very Unlikely</t>
  </si>
  <si>
    <t>Unlikely</t>
  </si>
  <si>
    <t>Likely</t>
  </si>
  <si>
    <t>Very Likely</t>
  </si>
  <si>
    <t>Certain</t>
  </si>
  <si>
    <t>0-10 Very Small and Simple</t>
  </si>
  <si>
    <t>11-20 Small and Straightforward</t>
  </si>
  <si>
    <t>21-30 Medium with Some Complexity</t>
  </si>
  <si>
    <t>31-40 Large with Moderate Complexity</t>
  </si>
  <si>
    <t>41-50 Complex but Manageable</t>
  </si>
  <si>
    <t>51-60 Significant Complexity</t>
  </si>
  <si>
    <t>61-70 Large and Complex</t>
  </si>
  <si>
    <t>71-80 Very Large and Complex</t>
  </si>
  <si>
    <t>81-90 Highly Complex and Risky</t>
  </si>
  <si>
    <t>91-100 Extremely Complex and Risky</t>
  </si>
  <si>
    <t>For Reporting Color indicators</t>
  </si>
  <si>
    <t>Indicates how severe a priority item is, in terms of impact</t>
  </si>
  <si>
    <t>Key Deliverables</t>
  </si>
  <si>
    <t>Key Dates</t>
  </si>
  <si>
    <t>Key Milestones</t>
  </si>
  <si>
    <t>Key Risks</t>
  </si>
  <si>
    <t>Project or Task Tagging</t>
  </si>
  <si>
    <t>Huge</t>
  </si>
  <si>
    <t>Communications Public Relations</t>
  </si>
  <si>
    <t>Controlling project life-cycle workflow</t>
  </si>
  <si>
    <t>Stakeholder Count</t>
  </si>
  <si>
    <t>1-5 stakeholders</t>
  </si>
  <si>
    <t>tbPASStakeholderCount</t>
  </si>
  <si>
    <t>6-10 stakeholders</t>
  </si>
  <si>
    <t>11-20 stakeholders</t>
  </si>
  <si>
    <t>21-50 stakeholders</t>
  </si>
  <si>
    <t>Over 50 stakeholders</t>
  </si>
  <si>
    <t>Identify an L4 bar as a Change Request</t>
  </si>
  <si>
    <t>Team Size</t>
  </si>
  <si>
    <t>1-3 people</t>
  </si>
  <si>
    <t>tbPASTeamSize</t>
  </si>
  <si>
    <t>4-8 people</t>
  </si>
  <si>
    <t>9-15 people</t>
  </si>
  <si>
    <t>16-30 people</t>
  </si>
  <si>
    <t>Over 30 people</t>
  </si>
  <si>
    <t>Team Tech Experience</t>
  </si>
  <si>
    <t>Expert level</t>
  </si>
  <si>
    <t>tbPASTeamTechExperience</t>
  </si>
  <si>
    <t>Advanced</t>
  </si>
  <si>
    <t>Basic</t>
  </si>
  <si>
    <t>No experience</t>
  </si>
  <si>
    <t>Technology Novelty</t>
  </si>
  <si>
    <t>Proven/Mature</t>
  </si>
  <si>
    <t>tbPASTechnologyNovelty</t>
  </si>
  <si>
    <t>Established</t>
  </si>
  <si>
    <t>Emerging</t>
  </si>
  <si>
    <t>Cutting-edge</t>
  </si>
  <si>
    <t>Experimental</t>
  </si>
  <si>
    <t>Mandatory values for enabling reporting.</t>
  </si>
  <si>
    <t>Innovation/Transformation</t>
  </si>
  <si>
    <t>Project Type Tagging for Portfolio Balancing</t>
  </si>
  <si>
    <t>Mandatory Compliance</t>
  </si>
  <si>
    <t>Mandatory/Compliance</t>
  </si>
  <si>
    <t>Maintenance Operational</t>
  </si>
  <si>
    <t>Maintenance/Operational</t>
  </si>
  <si>
    <t>Growth Enhancement</t>
  </si>
  <si>
    <t>Growth/Enhancement</t>
  </si>
  <si>
    <t>Vendor Dependencies</t>
  </si>
  <si>
    <t>No vendors</t>
  </si>
  <si>
    <t>tbPASVendorDependencies</t>
  </si>
  <si>
    <t>1 reliable vendor</t>
  </si>
  <si>
    <t>2-3 known vendors</t>
  </si>
  <si>
    <t>Multiple/new vendors</t>
  </si>
  <si>
    <t>Critical unknown vendors</t>
  </si>
  <si>
    <t>for tagging a time bar for true or false on unknown</t>
  </si>
  <si>
    <t>Product &amp; Innovation</t>
  </si>
  <si>
    <t>Rescalcs Data Store</t>
  </si>
  <si>
    <t>(Burndown Chart Data)</t>
  </si>
  <si>
    <t>tbResCalcWeekNo</t>
  </si>
  <si>
    <t>tbResCalcMonday</t>
  </si>
  <si>
    <t>tbResCalcFriday</t>
  </si>
  <si>
    <t>tbResCalcHours</t>
  </si>
  <si>
    <t>tbResCalcCost</t>
  </si>
  <si>
    <t>Rescalcs2 Data Store</t>
  </si>
  <si>
    <t>(Resource Stacked Chart Data)</t>
  </si>
  <si>
    <t>Charts Data Store</t>
  </si>
  <si>
    <t>tbPASOverallFeasibilityScore</t>
  </si>
  <si>
    <t>tbPASComplexityScore</t>
  </si>
  <si>
    <t>tbPASRiskScore</t>
  </si>
  <si>
    <t>tbPASPoliticalRiskScore</t>
  </si>
  <si>
    <t>tbPASScaleScore</t>
  </si>
  <si>
    <t>tbPASTechnologyScore</t>
  </si>
  <si>
    <t>tbPASFamiliarityScore</t>
  </si>
  <si>
    <t>tbPASDependencyScore</t>
  </si>
  <si>
    <t>tbPASRegulatoryScore</t>
  </si>
  <si>
    <t>tbPASMarketScore</t>
  </si>
  <si>
    <t>tbPASAssessmentVersion</t>
  </si>
  <si>
    <t>tbPASApprovalRequired</t>
  </si>
  <si>
    <t>tbPASAssessmentDate</t>
  </si>
  <si>
    <t>tbPASAssessorName</t>
  </si>
  <si>
    <t>Version</t>
  </si>
  <si>
    <t xml:space="preserve"> Stakeholder Count</t>
  </si>
  <si>
    <t xml:space="preserve"> Technology Novelty</t>
  </si>
  <si>
    <t xml:space="preserve"> Team Tech Experience</t>
  </si>
  <si>
    <t xml:space="preserve"> Project Similarity</t>
  </si>
  <si>
    <t xml:space="preserve"> Domain Experience</t>
  </si>
  <si>
    <t xml:space="preserve"> External Integrations</t>
  </si>
  <si>
    <t xml:space="preserve"> Vendor Dependencies</t>
  </si>
  <si>
    <t xml:space="preserve"> Cross Team Collaboration</t>
  </si>
  <si>
    <t xml:space="preserve"> Regulatory Approvals</t>
  </si>
  <si>
    <t xml:space="preserve"> Market Timing</t>
  </si>
  <si>
    <t xml:space="preserve"> Project Type</t>
  </si>
  <si>
    <t xml:space="preserve"> Overall Feasibility Score</t>
  </si>
  <si>
    <t xml:space="preserve"> Complexity Score</t>
  </si>
  <si>
    <t xml:space="preserve"> Tech Risk Score</t>
  </si>
  <si>
    <t>Political Risk Score</t>
  </si>
  <si>
    <t xml:space="preserve"> Scale Score</t>
  </si>
  <si>
    <t xml:space="preserve"> Technology Score</t>
  </si>
  <si>
    <t xml:space="preserve"> Familiarity Score</t>
  </si>
  <si>
    <t xml:space="preserve"> Dependency Score</t>
  </si>
  <si>
    <t xml:space="preserve"> Regulatory Score</t>
  </si>
  <si>
    <t xml:space="preserve"> Market Score</t>
  </si>
  <si>
    <t xml:space="preserve"> Assessment Version</t>
  </si>
  <si>
    <t xml:space="preserve"> PAS Status</t>
  </si>
  <si>
    <t xml:space="preserve"> PAS Approval Required</t>
  </si>
  <si>
    <t xml:space="preserve"> Assessment Date</t>
  </si>
  <si>
    <t xml:space="preserve"> Assessor Name</t>
  </si>
  <si>
    <t>apDefaultSort</t>
  </si>
  <si>
    <t>apBarType</t>
  </si>
  <si>
    <t>apBarSpacing</t>
  </si>
  <si>
    <t>MetaData - Timebars</t>
  </si>
  <si>
    <t>tbResDaysNotAvailableByMonth</t>
  </si>
  <si>
    <t>tbResStart</t>
  </si>
  <si>
    <t>tbResFinish</t>
  </si>
  <si>
    <t>Resource Start Date</t>
  </si>
  <si>
    <t>Resource Finish Date</t>
  </si>
  <si>
    <t>tbResMonth1</t>
  </si>
  <si>
    <t>tbResMonth2</t>
  </si>
  <si>
    <t>tbResMonth3</t>
  </si>
  <si>
    <t>tbResMonth4</t>
  </si>
  <si>
    <t>tbResMonth5</t>
  </si>
  <si>
    <t>tbResMonth6</t>
  </si>
  <si>
    <t>tbResMonth7</t>
  </si>
  <si>
    <t>tbResMonth8</t>
  </si>
  <si>
    <t>tbResMonth9</t>
  </si>
  <si>
    <t>tbResMonth10</t>
  </si>
  <si>
    <t>tbResMonth11</t>
  </si>
  <si>
    <t>tbResMonth12</t>
  </si>
  <si>
    <t>tbResMonth13</t>
  </si>
  <si>
    <t>tbResMonth14</t>
  </si>
  <si>
    <t>tbResMonth15</t>
  </si>
  <si>
    <t>tbResMonth16</t>
  </si>
  <si>
    <t>tbResMonth17</t>
  </si>
  <si>
    <t>tbResMonth18</t>
  </si>
  <si>
    <t>tbResMonth19</t>
  </si>
  <si>
    <t>tbResMonth20</t>
  </si>
  <si>
    <t>tbResMonth21</t>
  </si>
  <si>
    <t>tbResMonth22</t>
  </si>
  <si>
    <t>tbResMonth23</t>
  </si>
  <si>
    <t>tbResMonth24</t>
  </si>
  <si>
    <t>Days Not Working (Vacation etc.)</t>
  </si>
  <si>
    <t>Joe I</t>
  </si>
  <si>
    <t>Julia F</t>
  </si>
  <si>
    <t>Ryan T</t>
  </si>
  <si>
    <t>Chris J</t>
  </si>
  <si>
    <t>John T</t>
  </si>
  <si>
    <t>New Years Day</t>
  </si>
  <si>
    <t>Labour Day</t>
  </si>
  <si>
    <t>Myst be format Day-Month-Year (24-Oct-25)</t>
  </si>
  <si>
    <t>Format dayMonYr-xx (xx is no. of days off)</t>
  </si>
  <si>
    <t>Project Assessment Status</t>
  </si>
  <si>
    <t>Type of Resource Generic, Human or other</t>
  </si>
  <si>
    <t>Is the Resource Full time employee or part time</t>
  </si>
  <si>
    <t>Tag resources for resource supply demand calculations</t>
  </si>
  <si>
    <t>Resource Class External, Seasonal etc</t>
  </si>
  <si>
    <t>Resource belongs to what department</t>
  </si>
  <si>
    <t>Resource type equipment, labour, material etc.</t>
  </si>
  <si>
    <t>Resources supervisor, not Manager</t>
  </si>
  <si>
    <t>Resources Team Leader</t>
  </si>
  <si>
    <t>Resource Pool</t>
  </si>
  <si>
    <t>System Internal element that defines the bar type. E.g. Task, Project etc.</t>
  </si>
  <si>
    <t>Helps determine the Project Asessment Score.</t>
  </si>
  <si>
    <t>Financial scoring value used at the project level.</t>
  </si>
  <si>
    <t>Workday hours, used cor calculating wok on an Allocation</t>
  </si>
  <si>
    <t>Metadata to categorize bars at all leveles, Projects, Tasks etc.</t>
  </si>
  <si>
    <t>Custom Cost Code Metadata for reporting costs, mainly used at Task or Allocation  level</t>
  </si>
  <si>
    <t>Cost Type Metadata to separate costs e.g. Software, Equipment . Mainly used at Task or Allocation  level</t>
  </si>
  <si>
    <t>Metadata to categorize Change Requests. Used at Task level if Sub-Type is CR</t>
  </si>
  <si>
    <t>Task or Allocation Level tagging identifying what department is responsible</t>
  </si>
  <si>
    <t>Metadata to support the Excalation process, mainly for Projects but can be used at any level.</t>
  </si>
  <si>
    <t>Project Tagging for the quality of the Estimate</t>
  </si>
  <si>
    <t>Project Tagging for degree of management commitment.</t>
  </si>
  <si>
    <t>Tagging financial values at project level.</t>
  </si>
  <si>
    <t>Metadata to categorize Issues. Used at Task level if Sub-Type is Issue</t>
  </si>
  <si>
    <t>Metadata to categorize Issues. Used at Task level if Sub-Type is Risk</t>
  </si>
  <si>
    <t>Project Level tagging identifying a project gating process</t>
  </si>
  <si>
    <t>Core Health Indicators mainly used at Portfolio and Project and Sub-Project/Work Pckage Level</t>
  </si>
  <si>
    <t>Identify the status if onging mitigation for a Risk</t>
  </si>
  <si>
    <t>Set financial values at the Project Level</t>
  </si>
  <si>
    <t>Default Percent Available for the allocation.</t>
  </si>
  <si>
    <t>Can be used to override the percent allocated on the Allocation</t>
  </si>
  <si>
    <t>Optional field to tag a project with a Business Owner</t>
  </si>
  <si>
    <t>Tag resources for resource for skill visibility</t>
  </si>
  <si>
    <t>If this timebar is for creating a product, use this tag for reporting by Product</t>
  </si>
  <si>
    <t>Optional field to tag a project to a Program for Program Reporting</t>
  </si>
  <si>
    <t>Fixed ranges for sizing a project budget</t>
  </si>
  <si>
    <t>Manly used at Task, Issue, Risk, CR levels to ensure the bar shows in specific system report</t>
  </si>
  <si>
    <t>tbMDYesNo</t>
  </si>
  <si>
    <t>CoreReport</t>
  </si>
  <si>
    <t>tbCoreReport.csv</t>
  </si>
  <si>
    <t>tbCoreReportX.csv</t>
  </si>
  <si>
    <t>Pf01</t>
  </si>
  <si>
    <t>Digital Transformation Portfolio</t>
  </si>
  <si>
    <t>Pj01</t>
  </si>
  <si>
    <t>CRM Cloud Migration</t>
  </si>
  <si>
    <t>T01</t>
  </si>
  <si>
    <t>Resource Summary: Business Continuity Management</t>
  </si>
  <si>
    <t>T02</t>
  </si>
  <si>
    <t>Risk of production data in two places, causing business errors.</t>
  </si>
  <si>
    <t>T03</t>
  </si>
  <si>
    <t>CR-01 xyz</t>
  </si>
  <si>
    <t>PJ02</t>
  </si>
  <si>
    <t>Database Upgrade Market Datamart</t>
  </si>
  <si>
    <t>T04</t>
  </si>
  <si>
    <t>Resource Summary: Database Upgrade Market Datamart</t>
  </si>
  <si>
    <t>PJ03</t>
  </si>
  <si>
    <t>M01</t>
  </si>
  <si>
    <t>Plan Ready</t>
  </si>
  <si>
    <t>T05</t>
  </si>
  <si>
    <t>Resource Summary:</t>
  </si>
  <si>
    <t>PJ04</t>
  </si>
  <si>
    <t>Digital Desktop - Transformation</t>
  </si>
  <si>
    <t>T06</t>
  </si>
  <si>
    <t>Resource Summary: Digital Workplace - Transformation</t>
  </si>
  <si>
    <t>M02</t>
  </si>
  <si>
    <t>Gold Build Ready</t>
  </si>
  <si>
    <t>PJ05</t>
  </si>
  <si>
    <t>Customer Experience Platform</t>
  </si>
  <si>
    <t>T07</t>
  </si>
  <si>
    <t>Resource Summary: Customer Experience Platform</t>
  </si>
  <si>
    <t>PJ06</t>
  </si>
  <si>
    <t>Constant Internal Delivery Enablement</t>
  </si>
  <si>
    <t>T08</t>
  </si>
  <si>
    <t>Resource Summary: Constant Internal Delivery Enablement</t>
  </si>
  <si>
    <t>PJ07</t>
  </si>
  <si>
    <t>Classified data in Public Cloud</t>
  </si>
  <si>
    <t>T09</t>
  </si>
  <si>
    <t>Resource Summary: Classified data in Public Cloud</t>
  </si>
  <si>
    <t>PJ08</t>
  </si>
  <si>
    <t>SAP Platform Upgrade</t>
  </si>
  <si>
    <t>T10</t>
  </si>
  <si>
    <t>Resource Summary: SAP Platform Upgrade</t>
  </si>
  <si>
    <t>PJ09</t>
  </si>
  <si>
    <t>Upgrade Ticketing System</t>
  </si>
  <si>
    <t>T11</t>
  </si>
  <si>
    <t>Resource Summary: Upgrade Ticketing System</t>
  </si>
  <si>
    <t>PJ10</t>
  </si>
  <si>
    <t>Public Cloud Phase 1</t>
  </si>
  <si>
    <t>T12</t>
  </si>
  <si>
    <t>Resource Summary: Public Cloud Phase 1</t>
  </si>
  <si>
    <t>PJ11</t>
  </si>
  <si>
    <t>Sales Enablement Platform</t>
  </si>
  <si>
    <t>T13</t>
  </si>
  <si>
    <t>Resource Summary: Sales Enablement Platform</t>
  </si>
  <si>
    <t>PJ12</t>
  </si>
  <si>
    <t>Partner Portal Platform</t>
  </si>
  <si>
    <t>T14</t>
  </si>
  <si>
    <t>Resource Summary: Partner Portal Platform</t>
  </si>
  <si>
    <t>PJ13</t>
  </si>
  <si>
    <t>Private Cloud Phase 1</t>
  </si>
  <si>
    <t>T15</t>
  </si>
  <si>
    <t>Resource Summary: Private Cloud Phase 1</t>
  </si>
  <si>
    <t>M03</t>
  </si>
  <si>
    <t>Platform Ready</t>
  </si>
  <si>
    <t>M04</t>
  </si>
  <si>
    <t>Content Enablement Defined</t>
  </si>
  <si>
    <t>M05</t>
  </si>
  <si>
    <t>Upgrade Path Defined</t>
  </si>
  <si>
    <t>M06</t>
  </si>
  <si>
    <t>Security Assessment Complete</t>
  </si>
  <si>
    <t>Ally HR</t>
  </si>
  <si>
    <t>Import, Export and Formatting Bulk Operations</t>
  </si>
  <si>
    <t xml:space="preserve">Table on left controls formatting for all Sheet Names Listed </t>
  </si>
  <si>
    <t xml:space="preserve">You can adjust Alignment, Width, Validate Yes/No and Mandatory Yes/No to suit your needs. </t>
  </si>
  <si>
    <t>Bulk Import/Export Data (If 4th column below is Yes)</t>
  </si>
  <si>
    <t>Centralized Resource Pool (not used in Agilebars)</t>
  </si>
  <si>
    <t>Task lines on/off flag</t>
  </si>
  <si>
    <t>User ID linked to license</t>
  </si>
  <si>
    <t>License expires on</t>
  </si>
  <si>
    <t>Count of timebars for license</t>
  </si>
  <si>
    <t>Project count for license</t>
  </si>
  <si>
    <t>Show Intro Flag</t>
  </si>
  <si>
    <t>P3Menu hide, show remove flag</t>
  </si>
  <si>
    <t>Product URI</t>
  </si>
  <si>
    <t>Duplicate bar counter</t>
  </si>
  <si>
    <t>Hierarchy lines yes no flag</t>
  </si>
  <si>
    <t>Agilebars Kanban Bar/Box Toggle</t>
  </si>
  <si>
    <t>Lst scroll Y value</t>
  </si>
  <si>
    <t>Use tbCordTop on P3 Menu</t>
  </si>
  <si>
    <t>Admin Panel Store</t>
  </si>
  <si>
    <t>source_product_version</t>
  </si>
  <si>
    <t>source_file_name</t>
  </si>
  <si>
    <t>source_file_version</t>
  </si>
  <si>
    <t>aggregation_level</t>
  </si>
  <si>
    <t>publish_status</t>
  </si>
  <si>
    <t>division</t>
  </si>
  <si>
    <t>cost_center</t>
  </si>
  <si>
    <t>geographic_region</t>
  </si>
  <si>
    <t>Product Version</t>
  </si>
  <si>
    <t>SS File Name</t>
  </si>
  <si>
    <t>SS Version</t>
  </si>
  <si>
    <t>Publish Status</t>
  </si>
  <si>
    <t>Aggregation Level</t>
  </si>
  <si>
    <t>Cost Center</t>
  </si>
  <si>
    <t>Geo. Region</t>
  </si>
  <si>
    <t>Division/ Dept</t>
  </si>
  <si>
    <t>Standard</t>
  </si>
  <si>
    <t>Canvas</t>
  </si>
  <si>
    <t>Good Friday</t>
  </si>
  <si>
    <t>Easter Monday</t>
  </si>
  <si>
    <t>Victoria Day</t>
  </si>
  <si>
    <t>Canada Day</t>
  </si>
  <si>
    <t>Summer Day Off</t>
  </si>
  <si>
    <t>tbMDCharterDateApproved</t>
  </si>
  <si>
    <t>Primary key of the scheduling row; every other store joins on it</t>
  </si>
  <si>
    <t>Key of the parent row, giving the tree its edges</t>
  </si>
  <si>
    <t>Row this one depends on; only Tasks and Projects expose the picklist</t>
  </si>
  <si>
    <t>For naming Timebar rows</t>
  </si>
  <si>
    <t>Used by the internal scheduling engine to determin if a row is a Project, Task etc.</t>
  </si>
  <si>
    <t>For changing a Task to a Risk, Issue or CR.</t>
  </si>
  <si>
    <t>Dotted WBS path (Portfolio.Project.Task) driving sort order and rollups</t>
  </si>
  <si>
    <t>Vertical pixel position of the bar on the timescale canvas</t>
  </si>
  <si>
    <t>Vertical position of the card on the Kanban board</t>
  </si>
  <si>
    <t>Kanban lane the card sits in, from Backlog through Done</t>
  </si>
  <si>
    <t>Vertical position used when the custom P3 menu is open</t>
  </si>
  <si>
    <t>Primary key of the resource; allocations join on it</t>
  </si>
  <si>
    <t>Who owns and is responsible overall for the item</t>
  </si>
  <si>
    <t>Approved hours budget, held separately from the forecast</t>
  </si>
  <si>
    <t>Total forecast hours</t>
  </si>
  <si>
    <t>Actual hours booked</t>
  </si>
  <si>
    <t>Forecast hours still to go</t>
  </si>
  <si>
    <t>Progress from 0 to 100, derived from work first and cost second</t>
  </si>
  <si>
    <t>Forecast start date</t>
  </si>
  <si>
    <t>Forecast finish date</t>
  </si>
  <si>
    <t>Actual start date, set once the bar passes the status date</t>
  </si>
  <si>
    <t>Actual finish date, set once the bar completes</t>
  </si>
  <si>
    <t>Duration in working days, excluding weekends and holidays</t>
  </si>
  <si>
    <t>Working days still to go</t>
  </si>
  <si>
    <t>Approved cost budget, held separately from the forecast</t>
  </si>
  <si>
    <t>Total forecast cost</t>
  </si>
  <si>
    <t>Actual cost incurred</t>
  </si>
  <si>
    <t>Forecast cost still to go</t>
  </si>
  <si>
    <t>Working calendar driving available hours per day</t>
  </si>
  <si>
    <t>Expected hours per week for the assigned resource</t>
  </si>
  <si>
    <t>Percentage of the resource calendar this Allocation consumes</t>
  </si>
  <si>
    <t>Hourly rate used to turn hours into cost on Allocations</t>
  </si>
  <si>
    <t>Cost account the row books against</t>
  </si>
  <si>
    <t>Life-cycle phase of the row</t>
  </si>
  <si>
    <t>Portfolio level key, denormalised onto the row for fast filtering</t>
  </si>
  <si>
    <t>Project level key, denormalised onto the row for fast filtering</t>
  </si>
  <si>
    <t>Sub-Project level key, denormalised onto the row for fast filtering</t>
  </si>
  <si>
    <t>Task level key, denormalised onto the row for fast filtering</t>
  </si>
  <si>
    <t>Allocation level key, denormalised onto the row for fast filtering</t>
  </si>
  <si>
    <t>Scheduling constraint such as start-no-earlier-than</t>
  </si>
  <si>
    <t>Date the scheduling constraint applies from</t>
  </si>
  <si>
    <t>Total float in working days before the finish date slips</t>
  </si>
  <si>
    <t>Float available before the next dependent row is affected</t>
  </si>
  <si>
    <t>Which timescale canvas the row is drawn on</t>
  </si>
  <si>
    <t>Horizontal position of the item on a dynamic FOCD form</t>
  </si>
  <si>
    <t>Vertical position of the item on a dynamic FOCD form</t>
  </si>
  <si>
    <t>Fill colour of the bar on the timescale</t>
  </si>
  <si>
    <t>Text colour of the bar label</t>
  </si>
  <si>
    <t>Rendered height of the bar in pixels</t>
  </si>
  <si>
    <t>Baseline snapshot this row belongs to</t>
  </si>
  <si>
    <t>Customer or client code the row belongs to</t>
  </si>
  <si>
    <t>Set to Overridden to lock tbWorkRemaining against recalculation</t>
  </si>
  <si>
    <t>Spare field available for client-specific use</t>
  </si>
  <si>
    <t>Current workflow step</t>
  </si>
  <si>
    <t>Status of the current workflow step</t>
  </si>
  <si>
    <t>Reason recorded when the workflow step last changed</t>
  </si>
  <si>
    <t>Delivery stage the row has reached</t>
  </si>
  <si>
    <t>Workflow state the row sits in</t>
  </si>
  <si>
    <t>Relative priority of the row</t>
  </si>
  <si>
    <t>Task Parent</t>
  </si>
  <si>
    <t>Parent task key used when a row hangs off a task rather than a project</t>
  </si>
  <si>
    <t>Primary key of the metadata row; matches tbID on the Timebars store</t>
  </si>
  <si>
    <t>Parent row key, mirrored from the Timebars store</t>
  </si>
  <si>
    <t>Secondary classification within a type, mirrored from tbSubType</t>
  </si>
  <si>
    <t>Hierarchy</t>
  </si>
  <si>
    <t>Legacy alias of tbHierarchyOrder, retained for compatibility; tbHierarchyOrder is primary</t>
  </si>
  <si>
    <t>The key product inside the organisaton that that may be impacted by this project</t>
  </si>
  <si>
    <t>Project-level notes kept separately from general notes</t>
  </si>
  <si>
    <t>Main narrative description of the initiative or item</t>
  </si>
  <si>
    <t>Short summary written for executive audiences and portfolio reports</t>
  </si>
  <si>
    <t>Fixed set of priority indicators mainly for Project and PPM reporting with color indicators</t>
  </si>
  <si>
    <t>Fixed set of status indicators mainly for Project and PPM reportin color indicators</t>
  </si>
  <si>
    <t>Manually Manage the approval state of projects in the pipeline.</t>
  </si>
  <si>
    <t>Manual indicators of the project life-cycle workflow</t>
  </si>
  <si>
    <t>PMI Phase</t>
  </si>
  <si>
    <t>Not used in any specific calculations or reports.</t>
  </si>
  <si>
    <t>Custom catorisation of project or initiatives</t>
  </si>
  <si>
    <t>The Escalation Level is a way to tag Projects, Tasks, Risks and Issues so that the right people are notified when a project needs attention.</t>
  </si>
  <si>
    <t>Finance or PMO project number for the initiative</t>
  </si>
  <si>
    <t>Project manager accountable for delivery</t>
  </si>
  <si>
    <t>Executive sponsor accountable for the investment</t>
  </si>
  <si>
    <t>General free-text notes against the row</t>
  </si>
  <si>
    <t>Day-to-day contact for the initiative</t>
  </si>
  <si>
    <t>What department does this project or portfolio belong to</t>
  </si>
  <si>
    <t>Overall Health indicator picklist</t>
  </si>
  <si>
    <t>Scope Health indicator picklist</t>
  </si>
  <si>
    <t>Cost Health indicator picklist</t>
  </si>
  <si>
    <t>Issues Health indicator picklist</t>
  </si>
  <si>
    <t>Risk Health indicator picklist</t>
  </si>
  <si>
    <t>Schedule Health indicator picklist</t>
  </si>
  <si>
    <t>Hours Health indicator picklist</t>
  </si>
  <si>
    <t>A calculated value when completing the Project Assessment Form. Can be overidden manually. Used in the internal PPM select/kill decision making.</t>
  </si>
  <si>
    <t>The random order of magnitude size of a project or a task</t>
  </si>
  <si>
    <t>How was the estimate derived, guess, history or from the bottom up with resources.</t>
  </si>
  <si>
    <t>Project or Task Size Tagging for sorting and reporting</t>
  </si>
  <si>
    <t>Key category values for calculating SV Score</t>
  </si>
  <si>
    <t>Internal Initiatiative values for calculating SV Score</t>
  </si>
  <si>
    <t>Business Objective values for calculating SV Score</t>
  </si>
  <si>
    <t>Business Strategy values for calculating SV Score</t>
  </si>
  <si>
    <t>Used as a picklist for various vields for tagging a time bar for true or false on unknown</t>
  </si>
  <si>
    <t>Strategic Priority/Value</t>
  </si>
  <si>
    <t>Calculated value in the PPM process for select/kill decision, overides manual selections</t>
  </si>
  <si>
    <t>Composite Costbars prioritisation score used to rank the pipeline</t>
  </si>
  <si>
    <t>Financial component of the prioritisation score</t>
  </si>
  <si>
    <t>Recorded strategic decision on whether to proceed</t>
  </si>
  <si>
    <t>Rationale behind the recorded decision</t>
  </si>
  <si>
    <t>Which business line in the organisation owns this project or portfolio</t>
  </si>
  <si>
    <t>What department is providing the funding for this initiative</t>
  </si>
  <si>
    <t>Telephone or extension for the primary contact</t>
  </si>
  <si>
    <t>Define Team who is responsible, person doing the work, usually not the owner</t>
  </si>
  <si>
    <t>The business point of contact person mainly used in PPM processses</t>
  </si>
  <si>
    <t>Who is responsible for delivery of this item</t>
  </si>
  <si>
    <t>Organisational manager the initiative reports into</t>
  </si>
  <si>
    <t>Tagging financial values on business case.</t>
  </si>
  <si>
    <t>Economic value added; note the existing spelling is retained</t>
  </si>
  <si>
    <t>Costs already incurred and unrecoverable, excluded from go/no-go decisions</t>
  </si>
  <si>
    <t>Value forgone by choosing this initiative over the alternatives</t>
  </si>
  <si>
    <t>Business owner accountable for the business case</t>
  </si>
  <si>
    <t>Background and context leading to the initiative</t>
  </si>
  <si>
    <t>Capabilities the organisation needs to deliver the initiative</t>
  </si>
  <si>
    <t>Consequence of not proceeding with the initiative</t>
  </si>
  <si>
    <t>Benefits expected once the initiative is delivered</t>
  </si>
  <si>
    <t>The problem being solved or opportunity being taken</t>
  </si>
  <si>
    <t>Constraints and assumptions the case depends on</t>
  </si>
  <si>
    <t>Cost benefit analysis supporting the business case</t>
  </si>
  <si>
    <t>Used in PPM scoring and notifications calculations.</t>
  </si>
  <si>
    <t>Who the stakeholders are and what they need</t>
  </si>
  <si>
    <t>Author of the business case or charter document</t>
  </si>
  <si>
    <t>Work breakdown structure code for the row</t>
  </si>
  <si>
    <t>Relative weighting applied when rolling this row into a parent score</t>
  </si>
  <si>
    <t>Where the work is carried out</t>
  </si>
  <si>
    <t>Resource key linking the row to the tbResources pool</t>
  </si>
  <si>
    <t>Primary skill required, used in resource demand calculations</t>
  </si>
  <si>
    <t>Primary role required, used to group resource stacked charts</t>
  </si>
  <si>
    <t>What this resource or role is responsible for on the row</t>
  </si>
  <si>
    <t>Identifier for this row in an external system such as OpenProject</t>
  </si>
  <si>
    <t>Notes about the last spreadsheet or external system synchronisation</t>
  </si>
  <si>
    <t>Who approves the current stage or gate</t>
  </si>
  <si>
    <t>Sprint the item is assigned to in Agilebars</t>
  </si>
  <si>
    <t>Hyperlink to the matching record in an external system</t>
  </si>
  <si>
    <t>Free reference key for cross-referencing rows to an external register</t>
  </si>
  <si>
    <t>Manual display order within a level, overriding natural sort</t>
  </si>
  <si>
    <t>Timestamp of the last change to the metadata row</t>
  </si>
  <si>
    <t>For tagging Tasks and Milestones for targeted reporting.</t>
  </si>
  <si>
    <t>Customer or client code the initiative is delivered for</t>
  </si>
  <si>
    <t>Azure DevOps work item identifier</t>
  </si>
  <si>
    <t>Abbreviated name for narrow report columns and chart axis labels</t>
  </si>
  <si>
    <t>Notes recorded as the row moves through workflow states</t>
  </si>
  <si>
    <t>Contract reference covering external spend</t>
  </si>
  <si>
    <t>The internal ongoing programmes a project can roll up to</t>
  </si>
  <si>
    <t>What internal ongoing programs does this project support</t>
  </si>
  <si>
    <t>Contingency held against the risk</t>
  </si>
  <si>
    <t>Planned actions to reduce likelihood or impact</t>
  </si>
  <si>
    <t>Likelyhood a risk will happen. This, along with the impact field, is used to calculate the overall risk score.</t>
  </si>
  <si>
    <t>For tagging risks to indicate the severity of the consequences if the risk occurs. It's part of the risk scoring result.</t>
  </si>
  <si>
    <t>Chosen response: avoid, transfer, mitigate or accept</t>
  </si>
  <si>
    <t>What will be done if the risk materialises</t>
  </si>
  <si>
    <t>Event that signals the risk has materialised</t>
  </si>
  <si>
    <t>Indicators watched to catch the risk turning into an issue</t>
  </si>
  <si>
    <t>Risk score, recalculated from tbMDProbability and tbMDImpact</t>
  </si>
  <si>
    <t>Categorising Issues for sorting and reporting</t>
  </si>
  <si>
    <t>Options considered and why the recommended one was chosen</t>
  </si>
  <si>
    <t>Dependencies on other initiatives, teams or suppliers</t>
  </si>
  <si>
    <t>The value proposition in business terms</t>
  </si>
  <si>
    <t>How success will be measured once delivered</t>
  </si>
  <si>
    <t>Decisions still needed from the governance body</t>
  </si>
  <si>
    <t>Recommendations put to the approving body</t>
  </si>
  <si>
    <t>Market conditions relevant to the investment decision</t>
  </si>
  <si>
    <t>Impact on the wider portfolio if this initiative proceeds</t>
  </si>
  <si>
    <t>Headline metrics tracked through delivery</t>
  </si>
  <si>
    <t>Objectives and what is in and out of scope</t>
  </si>
  <si>
    <t>How delivery will be approached and sequenced</t>
  </si>
  <si>
    <t>Agreed next actions coming out of the business case</t>
  </si>
  <si>
    <t>Version of the business case or charter document</t>
  </si>
  <si>
    <t>Charter Date Approved</t>
  </si>
  <si>
    <t>Date the project charter was approved</t>
  </si>
  <si>
    <t>Categorising Risks for sorting and reporting</t>
  </si>
  <si>
    <t>Prerequisites that must be satisfied before delivery starts</t>
  </si>
  <si>
    <t>Narrative explaining the schedule health rating</t>
  </si>
  <si>
    <t>Narrative explaining the budget position</t>
  </si>
  <si>
    <t>Narrative explaining scope changes or pressure</t>
  </si>
  <si>
    <t>Narrative explaining resourcing constraints</t>
  </si>
  <si>
    <t>Narrative explaining the financial position</t>
  </si>
  <si>
    <t>Fixed set of values for filling in the Project Assessment Form</t>
  </si>
  <si>
    <t>Project Type</t>
  </si>
  <si>
    <t>Overall Feasibility Score</t>
  </si>
  <si>
    <t>Overall feasibility score rolled up from the assessment scores</t>
  </si>
  <si>
    <t>Complexity Score</t>
  </si>
  <si>
    <t>Assessed complexity of the initiative</t>
  </si>
  <si>
    <t>Tech Risk Score</t>
  </si>
  <si>
    <t>Assessed delivery risk of the initiative</t>
  </si>
  <si>
    <t>Assessed political and stakeholder risk</t>
  </si>
  <si>
    <t>Scale Score</t>
  </si>
  <si>
    <t>Assessed scale, from team size and stakeholder count</t>
  </si>
  <si>
    <t>Technology Score</t>
  </si>
  <si>
    <t>Assessed technology risk, from novelty and team experience</t>
  </si>
  <si>
    <t>Familiarity Score</t>
  </si>
  <si>
    <t>Assessed familiarity, from project similarity and domain experience</t>
  </si>
  <si>
    <t>Dependency Score</t>
  </si>
  <si>
    <t>Assessed dependency load, from integrations and vendors</t>
  </si>
  <si>
    <t>Regulatory Score</t>
  </si>
  <si>
    <t>Assessed regulatory burden</t>
  </si>
  <si>
    <t>Market Score</t>
  </si>
  <si>
    <t>Assessed market timing pressure</t>
  </si>
  <si>
    <t>Assessment Version</t>
  </si>
  <si>
    <t>Version of the assessment method used</t>
  </si>
  <si>
    <t>PAS Status</t>
  </si>
  <si>
    <t>PAS Approval Required</t>
  </si>
  <si>
    <t>Whether the assessment outcome requires formal approval</t>
  </si>
  <si>
    <t>Assessment Date</t>
  </si>
  <si>
    <t>Date the assessment was carried out</t>
  </si>
  <si>
    <t>Assessor Name</t>
  </si>
  <si>
    <t>Who carried out the assessment</t>
  </si>
  <si>
    <t>The resource calendar (`tbResResourceCalendar`) defines the workday hours and is used for calculating work on an allocation.</t>
  </si>
  <si>
    <t>How many people this row represents; above one for generic roles</t>
  </si>
  <si>
    <t>Hourly rate used to cost allocations for this resource</t>
  </si>
  <si>
    <t>Identifier for this resource in an external system</t>
  </si>
  <si>
    <t>Full name of the person or generic role</t>
  </si>
  <si>
    <t>Set role for resource demand calculations</t>
  </si>
  <si>
    <t>Engineering &amp; Architecture skill</t>
  </si>
  <si>
    <t>Abbreviated name for narrow report columns and chart axes</t>
  </si>
  <si>
    <t>The type of resource Human or Generic, used to separate supply and demand forcasting</t>
  </si>
  <si>
    <t>A Picklist for PercentTimeAllocated` (or `tbPercentTimeOn`) can be used to override the percent allocated on the Allocation.</t>
  </si>
  <si>
    <t>Primary email address</t>
  </si>
  <si>
    <t>Resource or person tagging</t>
  </si>
  <si>
    <t>Who does the resource report to, used for sorting and reporting</t>
  </si>
  <si>
    <t>Team the resource belongs to</t>
  </si>
  <si>
    <t>Where is resource located for sorting and reporting</t>
  </si>
  <si>
    <t>Who is the resources supervisor</t>
  </si>
  <si>
    <t>Fxed values for filtering and sorting resource pool and reports</t>
  </si>
  <si>
    <t>Type of resource: Labour, Equipment or Material for cost reporting</t>
  </si>
  <si>
    <t>Resources Custom Cost Code Metadata for reporting costs, mainly used at Task or Allocation level</t>
  </si>
  <si>
    <t>Customer or client the resource belongs to</t>
  </si>
  <si>
    <t>Manual display order in resource lists and grids</t>
  </si>
  <si>
    <t>Timestamp of the last change to the resource row</t>
  </si>
  <si>
    <t>Password Hash</t>
  </si>
  <si>
    <t>Reserved for a hashed password; not referenced anywhere in the app</t>
  </si>
  <si>
    <t>Short PIN used to identify the resource on shared views</t>
  </si>
  <si>
    <t>Secondary email address</t>
  </si>
  <si>
    <t>Given name</t>
  </si>
  <si>
    <t>Family name</t>
  </si>
  <si>
    <t>Middle name</t>
  </si>
  <si>
    <t>Street address</t>
  </si>
  <si>
    <t>City of the mailing address</t>
  </si>
  <si>
    <t>State or province of the mailing address</t>
  </si>
  <si>
    <t>Postal or zip code</t>
  </si>
  <si>
    <t>Primary telephone number</t>
  </si>
  <si>
    <t>Secondary telephone number</t>
  </si>
  <si>
    <t>Mobile telephone number</t>
  </si>
  <si>
    <t>Country of the mailing address</t>
  </si>
  <si>
    <t>Employing company, for contractors and partner staff</t>
  </si>
  <si>
    <t>Date of birth</t>
  </si>
  <si>
    <t>Working language of the resource</t>
  </si>
  <si>
    <t>Links to professional or social profiles</t>
  </si>
  <si>
    <t>Training course the resource is enrolled on</t>
  </si>
  <si>
    <t>When the training course completes</t>
  </si>
  <si>
    <t>Photo of the resource shown on cards and resource lists</t>
  </si>
  <si>
    <t>Post office box number</t>
  </si>
  <si>
    <t>Apartment or unit number</t>
  </si>
  <si>
    <t>Postal station for the mailing address</t>
  </si>
  <si>
    <t>Job title or occupation</t>
  </si>
  <si>
    <t>Stored signature image for approvals</t>
  </si>
  <si>
    <t>Certification number held by the resource</t>
  </si>
  <si>
    <t>Current status of the resource record</t>
  </si>
  <si>
    <t>Workflow state the resource record sits in</t>
  </si>
  <si>
    <t>Workflow stage the resource record has reached</t>
  </si>
  <si>
    <t>Current workflow step for the resource record</t>
  </si>
  <si>
    <t>Notes recorded against the current workflow step</t>
  </si>
  <si>
    <t>Office the resource is based out of</t>
  </si>
  <si>
    <t>Date of the last transfer or role change</t>
  </si>
  <si>
    <t>Employment or engagement start date</t>
  </si>
  <si>
    <t>Employment or engagement termination date</t>
  </si>
  <si>
    <t>Free-text remarks about the resource</t>
  </si>
  <si>
    <t>Vacation and non-working days, formatted dayMonYr-xx where xx is days off</t>
  </si>
  <si>
    <t>Date the resource becomes available for allocation</t>
  </si>
  <si>
    <t>Date the resource stops being available for allocation</t>
  </si>
  <si>
    <t>Month 1</t>
  </si>
  <si>
    <t>Availability multiplier for month 1 of the rolling 24-month window; the month date lives in row 3 of the Resources sheet</t>
  </si>
  <si>
    <t>Month 2</t>
  </si>
  <si>
    <t>Availability multiplier for month 2 of the rolling 24-month window; the month date lives in row 3 of the Resources sheet</t>
  </si>
  <si>
    <t>Month 3</t>
  </si>
  <si>
    <t>Availability multiplier for month 3 of the rolling 24-month window; the month date lives in row 3 of the Resources sheet</t>
  </si>
  <si>
    <t>Month 4</t>
  </si>
  <si>
    <t>Availability multiplier for month 4 of the rolling 24-month window; the month date lives in row 3 of the Resources sheet</t>
  </si>
  <si>
    <t>Month 5</t>
  </si>
  <si>
    <t>Availability multiplier for month 5 of the rolling 24-month window; the month date lives in row 3 of the Resources sheet</t>
  </si>
  <si>
    <t>Month 6</t>
  </si>
  <si>
    <t>Availability multiplier for month 6 of the rolling 24-month window; the month date lives in row 3 of the Resources sheet</t>
  </si>
  <si>
    <t>Month 7</t>
  </si>
  <si>
    <t>Availability multiplier for month 7 of the rolling 24-month window; the month date lives in row 3 of the Resources sheet</t>
  </si>
  <si>
    <t>Month 8</t>
  </si>
  <si>
    <t>Availability multiplier for month 8 of the rolling 24-month window; the month date lives in row 3 of the Resources sheet</t>
  </si>
  <si>
    <t>Month 9</t>
  </si>
  <si>
    <t>Availability multiplier for month 9 of the rolling 24-month window; the month date lives in row 3 of the Resources sheet</t>
  </si>
  <si>
    <t>Month 10</t>
  </si>
  <si>
    <t>Availability multiplier for month 10 of the rolling 24-month window; the month date lives in row 3 of the Resources sheet</t>
  </si>
  <si>
    <t>Month 11</t>
  </si>
  <si>
    <t>Availability multiplier for month 11 of the rolling 24-month window; the month date lives in row 3 of the Resources sheet</t>
  </si>
  <si>
    <t>Month 12</t>
  </si>
  <si>
    <t>Availability multiplier for month 12 of the rolling 24-month window; the month date lives in row 3 of the Resources sheet</t>
  </si>
  <si>
    <t>Month 13</t>
  </si>
  <si>
    <t>Availability multiplier for month 13 of the rolling 24-month window; the month date lives in row 3 of the Resources sheet</t>
  </si>
  <si>
    <t>Month 14</t>
  </si>
  <si>
    <t>Availability multiplier for month 14 of the rolling 24-month window; the month date lives in row 3 of the Resources sheet</t>
  </si>
  <si>
    <t>Month 15</t>
  </si>
  <si>
    <t>Availability multiplier for month 15 of the rolling 24-month window; the month date lives in row 3 of the Resources sheet</t>
  </si>
  <si>
    <t>Month 16</t>
  </si>
  <si>
    <t>Availability multiplier for month 16 of the rolling 24-month window; the month date lives in row 3 of the Resources sheet</t>
  </si>
  <si>
    <t>Month 17</t>
  </si>
  <si>
    <t>Availability multiplier for month 17 of the rolling 24-month window; the month date lives in row 3 of the Resources sheet</t>
  </si>
  <si>
    <t>Month 18</t>
  </si>
  <si>
    <t>Availability multiplier for month 18 of the rolling 24-month window; the month date lives in row 3 of the Resources sheet</t>
  </si>
  <si>
    <t>Month 19</t>
  </si>
  <si>
    <t>Availability multiplier for month 19 of the rolling 24-month window; the month date lives in row 3 of the Resources sheet</t>
  </si>
  <si>
    <t>Month 20</t>
  </si>
  <si>
    <t>Availability multiplier for month 20 of the rolling 24-month window; the month date lives in row 3 of the Resources sheet</t>
  </si>
  <si>
    <t>Month 21</t>
  </si>
  <si>
    <t>Availability multiplier for month 21 of the rolling 24-month window; the month date lives in row 3 of the Resources sheet</t>
  </si>
  <si>
    <t>Month 22</t>
  </si>
  <si>
    <t>Availability multiplier for month 22 of the rolling 24-month window; the month date lives in row 3 of the Resources sheet</t>
  </si>
  <si>
    <t>Month 23</t>
  </si>
  <si>
    <t>Availability multiplier for month 23 of the rolling 24-month window; the month date lives in row 3 of the Resources sheet</t>
  </si>
  <si>
    <t>Month 24</t>
  </si>
  <si>
    <t>Availability multiplier for month 24 of the rolling 24-month window; the month date lives in row 3 of the Resources sheet</t>
  </si>
  <si>
    <t>Primary key of the tag row</t>
  </si>
  <si>
    <t>The picklist this value belongs to; the picklist name is data, never hardcoded</t>
  </si>
  <si>
    <t>The value shown in the picklist and saved to the field</t>
  </si>
  <si>
    <t>Order the value appears in the picklist</t>
  </si>
  <si>
    <t>Matching field name in OpenProject, for the sync mapping</t>
  </si>
  <si>
    <t>Matching internal name in OpenProject</t>
  </si>
  <si>
    <t>The Timebars field this picklist drives; the app resolves picklists from here</t>
  </si>
  <si>
    <t>Matching value name in OpenProject</t>
  </si>
  <si>
    <t>OpenProject custom option id for this value</t>
  </si>
  <si>
    <t>Legacy categorisation of the tag row; no code references it</t>
  </si>
  <si>
    <t>Abbreviated form of the value for narrow columns</t>
  </si>
  <si>
    <t>What the picklist is for; seeds the Purpose column of this master list</t>
  </si>
  <si>
    <t>Longer description of the tag value</t>
  </si>
  <si>
    <t>Who owns and maintains the tag value</t>
  </si>
  <si>
    <t>Customer the tag value belongs to, for client-specific picklists</t>
  </si>
  <si>
    <t>Timestamp of the last change to the tag row</t>
  </si>
  <si>
    <t xml:space="preserve">tbMDHierarchy </t>
  </si>
  <si>
    <t>tbMDCategoryCR</t>
  </si>
  <si>
    <t>tbMDStageRIC</t>
  </si>
  <si>
    <t>tbMDStateRIC</t>
  </si>
  <si>
    <t>tbMDStatusRIC</t>
  </si>
  <si>
    <t>Task Category</t>
  </si>
  <si>
    <t>tbMDCategoryTask</t>
  </si>
  <si>
    <t>Categorises a Task, kept separate from the Project-level Category</t>
  </si>
  <si>
    <t>Purchasing</t>
  </si>
  <si>
    <t>Assembly</t>
  </si>
  <si>
    <t>Construction</t>
  </si>
  <si>
    <t>Operate</t>
  </si>
  <si>
    <t>Task Status</t>
  </si>
  <si>
    <t>Not Started</t>
  </si>
  <si>
    <t>tbMDStatusTask</t>
  </si>
  <si>
    <t>Status of a Task, kept separate from the Timebar Status picklist</t>
  </si>
  <si>
    <t>Started</t>
  </si>
  <si>
    <t>Popular</t>
  </si>
  <si>
    <t>Groups tags so commonly used ones surface first</t>
  </si>
  <si>
    <t>NewBarsNo</t>
  </si>
  <si>
    <t>OpenProject Integration</t>
  </si>
  <si>
    <t>PPM</t>
  </si>
  <si>
    <t>Resource Management</t>
  </si>
  <si>
    <t>Risks and Issues Management</t>
  </si>
  <si>
    <t>StdTasks</t>
  </si>
  <si>
    <t>Julia Finance</t>
  </si>
  <si>
    <t>Herb Ross</t>
  </si>
  <si>
    <t>Sally Sail</t>
  </si>
  <si>
    <t>Marg Ting</t>
  </si>
  <si>
    <t>Customer Solution</t>
  </si>
  <si>
    <t>SAP ERP System</t>
  </si>
  <si>
    <t>Hot Spot</t>
  </si>
  <si>
    <t>Network</t>
  </si>
  <si>
    <t>SAP System</t>
  </si>
  <si>
    <t>Secure Cloud System</t>
  </si>
  <si>
    <t>Security System</t>
  </si>
  <si>
    <t>Ticketing system</t>
  </si>
  <si>
    <t>Tools</t>
  </si>
  <si>
    <t>External Contract Delivery</t>
  </si>
  <si>
    <t>Business Analysis</t>
  </si>
  <si>
    <t>Corporate Communications</t>
  </si>
  <si>
    <t>Gteam</t>
  </si>
  <si>
    <t>Documentation</t>
  </si>
  <si>
    <t>Hteam</t>
  </si>
  <si>
    <t>Executive Leadership</t>
  </si>
  <si>
    <t>Iteam</t>
  </si>
  <si>
    <t>Facilities</t>
  </si>
  <si>
    <t>Jteam</t>
  </si>
  <si>
    <t>Field Operations</t>
  </si>
  <si>
    <t>Kteam</t>
  </si>
  <si>
    <t>Lteam</t>
  </si>
  <si>
    <t>IT Operations</t>
  </si>
  <si>
    <t>Marketing</t>
  </si>
  <si>
    <t>Mteam</t>
  </si>
  <si>
    <t>Procurement &amp; Vendor Mgmt</t>
  </si>
  <si>
    <t>Nteam</t>
  </si>
  <si>
    <t>Product Management</t>
  </si>
  <si>
    <t>Oteam</t>
  </si>
  <si>
    <t>Project Delivery</t>
  </si>
  <si>
    <t>Pteam</t>
  </si>
  <si>
    <t>Quality Assurance</t>
  </si>
  <si>
    <t>Qteam</t>
  </si>
  <si>
    <t>Sales</t>
  </si>
  <si>
    <t>Rteam</t>
  </si>
  <si>
    <t>Security &amp; Risk</t>
  </si>
  <si>
    <t>Steam</t>
  </si>
  <si>
    <t>Software Engineering</t>
  </si>
  <si>
    <t>Tteam</t>
  </si>
  <si>
    <t>Solutions Engineering</t>
  </si>
  <si>
    <t>Uteam</t>
  </si>
  <si>
    <t>Strategy &amp; Innovation</t>
  </si>
  <si>
    <t>Vteam</t>
  </si>
  <si>
    <t>Facility Schedule</t>
  </si>
  <si>
    <t>Assembly Shop</t>
  </si>
  <si>
    <t>Management</t>
  </si>
  <si>
    <t>Rich Delment</t>
  </si>
  <si>
    <t>Kent Om</t>
  </si>
  <si>
    <t>Mitsy Meta</t>
  </si>
  <si>
    <t>Perry Om</t>
  </si>
  <si>
    <t>Manny Fact</t>
  </si>
  <si>
    <t>Ron Hay</t>
  </si>
  <si>
    <t>Ron Scope</t>
  </si>
  <si>
    <t>Al League</t>
  </si>
  <si>
    <t>Joe Purch</t>
  </si>
  <si>
    <t>Database Administrator</t>
  </si>
  <si>
    <t>Department Head</t>
  </si>
  <si>
    <t>DevOps Engineer</t>
  </si>
  <si>
    <t>Director</t>
  </si>
  <si>
    <t>Field Service Technician</t>
  </si>
  <si>
    <t>Financial Analyst</t>
  </si>
  <si>
    <t>Graphic Designer</t>
  </si>
  <si>
    <t>Innovation Manager</t>
  </si>
  <si>
    <t>Marketing Manager</t>
  </si>
  <si>
    <t>Network Administrator</t>
  </si>
  <si>
    <t>NOC Technician</t>
  </si>
  <si>
    <t>RF Engineer</t>
  </si>
  <si>
    <t>Risk Manager</t>
  </si>
  <si>
    <t>Sales Manager</t>
  </si>
  <si>
    <t>Software Engineer</t>
  </si>
  <si>
    <t>Solution Architecture</t>
  </si>
  <si>
    <t>Technical Writer</t>
  </si>
  <si>
    <t>Test Automation</t>
  </si>
  <si>
    <t>UX/UI Designer</t>
  </si>
  <si>
    <t>Vendor Manager</t>
  </si>
  <si>
    <t>Artificial Intelligence</t>
  </si>
  <si>
    <t>Strategy &amp; Business skill</t>
  </si>
  <si>
    <t>Change Management</t>
  </si>
  <si>
    <t>Client Relationship Management</t>
  </si>
  <si>
    <t>Cloud Computing</t>
  </si>
  <si>
    <t>Communication</t>
  </si>
  <si>
    <t>Corporate Functions skill</t>
  </si>
  <si>
    <t>Contract Management</t>
  </si>
  <si>
    <t>Customer Support</t>
  </si>
  <si>
    <t>IT Operations skill</t>
  </si>
  <si>
    <t>Data Analytics</t>
  </si>
  <si>
    <t>Database Administration</t>
  </si>
  <si>
    <t>Design - Mechanical</t>
  </si>
  <si>
    <t>Design &amp; Documentation skill</t>
  </si>
  <si>
    <t>Design - UI</t>
  </si>
  <si>
    <t>DevOps</t>
  </si>
  <si>
    <t>Document Management</t>
  </si>
  <si>
    <t>Facilities Management</t>
  </si>
  <si>
    <t>Field Services</t>
  </si>
  <si>
    <t>Wireless / Field Operations skill</t>
  </si>
  <si>
    <t>Financial Analysis</t>
  </si>
  <si>
    <t>Incident Management</t>
  </si>
  <si>
    <t>Java Development</t>
  </si>
  <si>
    <t>JavaScript / Web Development</t>
  </si>
  <si>
    <t>Leadership</t>
  </si>
  <si>
    <t>Leadership &amp; Management skill</t>
  </si>
  <si>
    <t>Sales &amp; Marketing skill</t>
  </si>
  <si>
    <t>Network Administration</t>
  </si>
  <si>
    <t>Network Operations (NOC)</t>
  </si>
  <si>
    <t>Network Security</t>
  </si>
  <si>
    <t>Quality &amp; Risk skill</t>
  </si>
  <si>
    <t>Python Development</t>
  </si>
  <si>
    <t>RF Engineering</t>
  </si>
  <si>
    <t>Risk Management</t>
  </si>
  <si>
    <t>Robotics</t>
  </si>
  <si>
    <t>Siebel CRM Development</t>
  </si>
  <si>
    <t>Site Acquisition</t>
  </si>
  <si>
    <t>Stakeholder Management</t>
  </si>
  <si>
    <t>Strategic Planning</t>
  </si>
  <si>
    <t>Technical Writing</t>
  </si>
  <si>
    <t>Testing Hardware</t>
  </si>
  <si>
    <t>Testing Software</t>
  </si>
  <si>
    <t>Training &amp; Development</t>
  </si>
  <si>
    <t>UX/UI Design</t>
  </si>
  <si>
    <t>Vendor Management</t>
  </si>
  <si>
    <t>Lena Spectrum</t>
  </si>
  <si>
    <t>Sam Backhaul</t>
  </si>
  <si>
    <t>Nora Antenna</t>
  </si>
  <si>
    <t>France Finney</t>
  </si>
  <si>
    <t>Mack Engineer</t>
  </si>
  <si>
    <t>Kai Pipeline</t>
  </si>
  <si>
    <t>Mike Side</t>
  </si>
  <si>
    <t>Jack Top</t>
  </si>
  <si>
    <t>Thanks Giving</t>
  </si>
  <si>
    <t>tbMDClientName</t>
  </si>
  <si>
    <t>tbMDVendorName</t>
  </si>
  <si>
    <t>tbMDPurchaseOrderNumber</t>
  </si>
  <si>
    <t>tbMDBillingType</t>
  </si>
  <si>
    <t>tbMDCostCenter</t>
  </si>
  <si>
    <t>tbMDFundingSource</t>
  </si>
  <si>
    <t>tbMDBudgetFiscalYear</t>
  </si>
  <si>
    <t>tbMDCurrencyCode</t>
  </si>
  <si>
    <t>tbMDBenefitOwner</t>
  </si>
  <si>
    <t>tbMDBenefitRealizationDate</t>
  </si>
  <si>
    <t>tbMDBenefitType</t>
  </si>
  <si>
    <t>tbMDValueStream</t>
  </si>
  <si>
    <t>tbMDCharterApprovedBy</t>
  </si>
  <si>
    <t>tbMDBaselineApprovedDate</t>
  </si>
  <si>
    <t>tbMDChangeRequestNumber</t>
  </si>
  <si>
    <t>tbMDChangeImpactSummary</t>
  </si>
  <si>
    <t>tbMDClosureReason</t>
  </si>
  <si>
    <t>tbMDActualCloseDate</t>
  </si>
  <si>
    <t>tbMDLessonsLearned</t>
  </si>
  <si>
    <t>tbMDStatusSummary</t>
  </si>
  <si>
    <t>tbMDEscalationOwner</t>
  </si>
  <si>
    <t>tbMDDependsOnProject</t>
  </si>
  <si>
    <t>tbMDBlockedReason</t>
  </si>
  <si>
    <t>tbMDBlockedSince</t>
  </si>
  <si>
    <t>tbMDProductOwner</t>
  </si>
  <si>
    <t>tbMDScrumMaster</t>
  </si>
  <si>
    <t>tbMDReleaseName</t>
  </si>
  <si>
    <t>tbMDDefinitionOfReady</t>
  </si>
  <si>
    <t>tbMDAcceptanceCriteria</t>
  </si>
  <si>
    <t>tbMDTestStatus</t>
  </si>
  <si>
    <t>tbMDDefectCount</t>
  </si>
  <si>
    <t>tbMDComplianceRequirement</t>
  </si>
  <si>
    <t>Essential Facts</t>
  </si>
  <si>
    <t>Reporting &amp; Health</t>
  </si>
  <si>
    <t>Status Approvals &amp; Escalation</t>
  </si>
  <si>
    <t>Cost &amp; Schedule Estimates</t>
  </si>
  <si>
    <t>Investment Alignment</t>
  </si>
  <si>
    <t>Organisation Alignment</t>
  </si>
  <si>
    <t>Benefits &amp; Financial Value</t>
  </si>
  <si>
    <t>Other Metadata</t>
  </si>
  <si>
    <t>Charter &amp; Business Justification</t>
  </si>
  <si>
    <t>Resource Allocations</t>
  </si>
  <si>
    <t>Agile Delivery</t>
  </si>
  <si>
    <t>Client Commercial Funding</t>
  </si>
  <si>
    <t>Risks Issues CRs</t>
  </si>
  <si>
    <t>Project Assessment</t>
  </si>
  <si>
    <t>Funding Source</t>
  </si>
  <si>
    <t>Budget Fiscal Year</t>
  </si>
  <si>
    <t>Benefit Owner</t>
  </si>
  <si>
    <t>Benefit Type</t>
  </si>
  <si>
    <t>Value Stream</t>
  </si>
  <si>
    <t>Closure Reason</t>
  </si>
  <si>
    <t>Test Status</t>
  </si>
  <si>
    <t>R&amp;I Stage</t>
  </si>
  <si>
    <t>R&amp;I State</t>
  </si>
  <si>
    <t>R&amp;I Status</t>
  </si>
  <si>
    <t>Client Name</t>
  </si>
  <si>
    <t>Vendor / Supplier</t>
  </si>
  <si>
    <t>Purchase Order No.</t>
  </si>
  <si>
    <t>Billing Type</t>
  </si>
  <si>
    <t>Cost Centre</t>
  </si>
  <si>
    <t>Benefit Realisation Date</t>
  </si>
  <si>
    <t>Charter Approved By</t>
  </si>
  <si>
    <t>Baseline Approved Date</t>
  </si>
  <si>
    <t>Change Request No.</t>
  </si>
  <si>
    <t>Change Impact Summary</t>
  </si>
  <si>
    <t>Actual Close Date</t>
  </si>
  <si>
    <t>Lessons Learned</t>
  </si>
  <si>
    <t>Status Summary</t>
  </si>
  <si>
    <t>Escalation Owner</t>
  </si>
  <si>
    <t>Depends On Project</t>
  </si>
  <si>
    <t>Blocked Reason</t>
  </si>
  <si>
    <t>Blocked Since</t>
  </si>
  <si>
    <t>Product Owner</t>
  </si>
  <si>
    <t>Scrum Master</t>
  </si>
  <si>
    <t>Release / PI</t>
  </si>
  <si>
    <t>Definition of Ready</t>
  </si>
  <si>
    <t>Acceptance Criteria</t>
  </si>
  <si>
    <t>Open Defect Count</t>
  </si>
  <si>
    <t>Compliance Requirement</t>
  </si>
  <si>
    <t>CC-1000 Operations</t>
  </si>
  <si>
    <t>Values for the tbMDCostCenter field</t>
  </si>
  <si>
    <t>CC-2000 Technology</t>
  </si>
  <si>
    <t>CC-3000 Corporate</t>
  </si>
  <si>
    <t>Capex</t>
  </si>
  <si>
    <t>Values for the tbMDFundingSource field</t>
  </si>
  <si>
    <t>Opex</t>
  </si>
  <si>
    <t>Client Funded</t>
  </si>
  <si>
    <t>FY2026</t>
  </si>
  <si>
    <t>Values for the tbMDBudgetFiscalYear field</t>
  </si>
  <si>
    <t>FY2027</t>
  </si>
  <si>
    <t>FY2028</t>
  </si>
  <si>
    <t>CAD</t>
  </si>
  <si>
    <t>Values for the tbMDCurrencyCode field</t>
  </si>
  <si>
    <t>USD</t>
  </si>
  <si>
    <t>EUR</t>
  </si>
  <si>
    <t>Values for the tbMDBenefitType field</t>
  </si>
  <si>
    <t>Cost Avoidance</t>
  </si>
  <si>
    <t>Non-Financial</t>
  </si>
  <si>
    <t>Customer Experience</t>
  </si>
  <si>
    <t>Values for the tbMDValueStream field</t>
  </si>
  <si>
    <t>Technology Platform</t>
  </si>
  <si>
    <t>Values for the tbMDClosureReason field</t>
  </si>
  <si>
    <t>Cancelled</t>
  </si>
  <si>
    <t>Values for the tbMDTestStatus field</t>
  </si>
  <si>
    <t>Passed</t>
  </si>
  <si>
    <t>HR</t>
  </si>
  <si>
    <t>Values for the tbMDBenefitOwner field</t>
  </si>
  <si>
    <t>Shareholders</t>
  </si>
  <si>
    <t>Categorises a Change Request, split out of tbMDCategory</t>
  </si>
  <si>
    <t>Categorises a Task, split out of tbMDCategory</t>
  </si>
  <si>
    <t>Status of a Task, split out of the Timebar Status vocabulary</t>
  </si>
  <si>
    <t>Stage of a Risk, Issue or Change Request, split out of tbMDStage</t>
  </si>
  <si>
    <t>State of a Risk, Issue or Change Request, split out of tbMDState</t>
  </si>
  <si>
    <t>Status of a Risk, Issue or Change Request, split out of tbMDStatus</t>
  </si>
  <si>
    <t>The customer or client organisation an initiative is delivered for; tbMDCustomerID holds only a code</t>
  </si>
  <si>
    <t>Primary supplier, so tbPASVendorDependencies has a subject</t>
  </si>
  <si>
    <t>PO covering external spend, alongside tbMDContractNumber</t>
  </si>
  <si>
    <t>Billable, non-billable or internal; needed for chargeable resource work</t>
  </si>
  <si>
    <t>Finance charge code that cost and work roll up into</t>
  </si>
  <si>
    <t>How the initiative is funded; drives portfolio funding reports</t>
  </si>
  <si>
    <t>Which fiscal year the approved budget sits in, for pipeline phasing</t>
  </si>
  <si>
    <t>ISO currency for the cost fields in multi-currency portfolios</t>
  </si>
  <si>
    <t>The function accountable for realising tbMDExpectedBenefits after closure</t>
  </si>
  <si>
    <t>When benefits are expected to land, usually after the finish date</t>
  </si>
  <si>
    <t>Classifies tbMDExpectedBenefits</t>
  </si>
  <si>
    <t>Portfolio value stream an initiative feeds</t>
  </si>
  <si>
    <t>Who signed the charter; tbMDCharterDateApproved records the when, not the who</t>
  </si>
  <si>
    <t>When the schedule and cost baseline was locked, giving tbBaseline snapshots a governance date</t>
  </si>
  <si>
    <t>Reference for the approved CR that moved a baseline</t>
  </si>
  <si>
    <t>Narrative of what a CR changes in scope, cost or date</t>
  </si>
  <si>
    <t>Why an initiative closed; 100 percent complete and cancelled look identical today</t>
  </si>
  <si>
    <t>When the initiative was formally closed out, which is later than tbAFinish</t>
  </si>
  <si>
    <t>Captured at closure and reused on the next initiative</t>
  </si>
  <si>
    <t>The short RAG narrative for a status report, above the per-area commentary fields</t>
  </si>
  <si>
    <t>Who a red item escalates to; pairs with the existing tbMDEscalationLevel</t>
  </si>
  <si>
    <t>Cross-project dependency; tbPredecessor only links tasks inside one project</t>
  </si>
  <si>
    <t>Why a card is stuck, so a blocked Kanban item explains itself</t>
  </si>
  <si>
    <t>Date it became blocked, which makes ageing and cycle-time analysis possible</t>
  </si>
  <si>
    <t>Backlog owner, distinct from tbMDPM</t>
  </si>
  <si>
    <t>Team facilitator, needed on every sprint-scheduled item</t>
  </si>
  <si>
    <t>Release or Program Increment the item ships in, above tbMDSprintName</t>
  </si>
  <si>
    <t>Entry criteria before a story may enter a sprint</t>
  </si>
  <si>
    <t>Definition of done for a story or deliverable</t>
  </si>
  <si>
    <t>QA state of a deliverable, independent of its delivery status</t>
  </si>
  <si>
    <t>Open defects against a deliverable, for quality-at-gate decisions</t>
  </si>
  <si>
    <t>tbMDWbsDescription</t>
  </si>
  <si>
    <t>WBS Description</t>
  </si>
  <si>
    <t xml:space="preserve">tbCRForm </t>
  </si>
  <si>
    <t>v2</t>
  </si>
  <si>
    <t>SectionName</t>
  </si>
  <si>
    <t>coreFormSection1-EssentialFacts</t>
  </si>
  <si>
    <t>coreFormSection2-StatusApprovalsEscalation</t>
  </si>
  <si>
    <t>coreFormSection3-ReportingHealth</t>
  </si>
  <si>
    <t>coreFormSection4-CostScheduleEstimates</t>
  </si>
  <si>
    <t>coreFormSection5-ClientCommercialFunding</t>
  </si>
  <si>
    <t>coreFormSection6-CharterBusinessJustification</t>
  </si>
  <si>
    <t>coreFormSection7-InvestmentAlignment</t>
  </si>
  <si>
    <t>coreFormSection8-OrganisationAlignment</t>
  </si>
  <si>
    <t>coreFormSection9-BenefitsFinancialValue</t>
  </si>
  <si>
    <t>coreFormSection10-ResourceAllocations</t>
  </si>
  <si>
    <t>coreFormSection11-ProjectAssessment</t>
  </si>
  <si>
    <t>coreFormSection12-AgileDelivery</t>
  </si>
  <si>
    <t>coreFormSection13-RisksIssuesCRs</t>
  </si>
  <si>
    <t>coreFormSection14-OtherMetadata</t>
  </si>
  <si>
    <t>Description of the work at this WBS position; sits with tbMDWBS</t>
  </si>
  <si>
    <t>The regulation driving tbPASRegulatoryApprovals</t>
  </si>
  <si>
    <t>C:\Users\jcox\Downloads</t>
  </si>
  <si>
    <t>Depricated</t>
  </si>
  <si>
    <t>01.00.00.00.00</t>
  </si>
  <si>
    <t>John Test</t>
  </si>
  <si>
    <t>01.01.00.00.00</t>
  </si>
  <si>
    <t>Project Category</t>
  </si>
  <si>
    <t>Approval State</t>
  </si>
  <si>
    <t>tbCRSectionName</t>
  </si>
  <si>
    <t xml:space="preserve">Senior Level Commitment </t>
  </si>
  <si>
    <t>tbMDEconomicValueAdded</t>
  </si>
  <si>
    <t>tbCRForm</t>
  </si>
  <si>
    <t>Senior Level Commitment</t>
  </si>
  <si>
    <t>tbCRLabel</t>
  </si>
  <si>
    <t>Path</t>
  </si>
  <si>
    <t>Import Controls</t>
  </si>
  <si>
    <t>Export Controls</t>
  </si>
  <si>
    <t>Timebars Store</t>
  </si>
  <si>
    <t>Baseline Store</t>
  </si>
  <si>
    <t>TbMDJoined Store</t>
  </si>
  <si>
    <t>Total of 308columns, a join of Timebars, MetaData and Baseline preprocessed calculated variances</t>
  </si>
  <si>
    <t>Preprocessed Burndown Charts</t>
  </si>
  <si>
    <t>Economic Value Added</t>
  </si>
  <si>
    <t>Field</t>
  </si>
  <si>
    <t>Engineerng</t>
  </si>
  <si>
    <t>Defect</t>
  </si>
  <si>
    <t>FM-OFF</t>
  </si>
  <si>
    <t>Ryan Tower</t>
  </si>
  <si>
    <t>Burndown Chart</t>
  </si>
  <si>
    <t>Bar</t>
  </si>
  <si>
    <t>["Wk1","Wk2","Wk3","Wk4","Wk5","Wk6","Wk7"]</t>
  </si>
  <si>
    <t>[65,59,80,81,56,55,40]</t>
  </si>
  <si>
    <t>[65,50,70,88,66,55,20]</t>
  </si>
  <si>
    <t>DB Admin</t>
  </si>
  <si>
    <t>Dept Head</t>
  </si>
  <si>
    <t>Gina Palette</t>
  </si>
  <si>
    <t>Gina P</t>
  </si>
  <si>
    <t>gina.palette@nwi.com</t>
  </si>
  <si>
    <t>10May27-15</t>
  </si>
  <si>
    <t>DevOps Eng</t>
  </si>
  <si>
    <t>Rich D</t>
  </si>
  <si>
    <t>rich.delment@nwi.com</t>
  </si>
  <si>
    <t>05Mar27-5</t>
  </si>
  <si>
    <t>joe@nwi.com</t>
  </si>
  <si>
    <t>21Jun27-15</t>
  </si>
  <si>
    <t>Dave Carrier</t>
  </si>
  <si>
    <t>Dave C</t>
  </si>
  <si>
    <t>dave.carrier@nwi.com</t>
  </si>
  <si>
    <t>25May27-15</t>
  </si>
  <si>
    <t>Tariq Mesh</t>
  </si>
  <si>
    <t>Tariq M</t>
  </si>
  <si>
    <t>tariq.mesh@nwi.com</t>
  </si>
  <si>
    <t>15Oct26-15</t>
  </si>
  <si>
    <t>Wendy Docs</t>
  </si>
  <si>
    <t>Wendy D</t>
  </si>
  <si>
    <t>wendy.docs@nwi.com</t>
  </si>
  <si>
    <t>17Jul27-15</t>
  </si>
  <si>
    <t>Exe Sponser</t>
  </si>
  <si>
    <t>Uma Pixel</t>
  </si>
  <si>
    <t>Uma P</t>
  </si>
  <si>
    <t>uma.pixel@nwi.com</t>
  </si>
  <si>
    <t>09Feb27-5</t>
  </si>
  <si>
    <t>Field Tech</t>
  </si>
  <si>
    <t>Priya Bandwidth</t>
  </si>
  <si>
    <t>Priya B</t>
  </si>
  <si>
    <t>priya.bandwidth@nwi.com</t>
  </si>
  <si>
    <t>28May27-5</t>
  </si>
  <si>
    <t>Fin Analyst</t>
  </si>
  <si>
    <t>Graphic Des</t>
  </si>
  <si>
    <t>Manny F</t>
  </si>
  <si>
    <t>manny.fact@nwi.com</t>
  </si>
  <si>
    <t>12May27-10</t>
  </si>
  <si>
    <t>Nia Uptime</t>
  </si>
  <si>
    <t>Nia U</t>
  </si>
  <si>
    <t>nia.uptime@nwi.com</t>
  </si>
  <si>
    <t>02Sep26-15</t>
  </si>
  <si>
    <t>ryan@nwi.com</t>
  </si>
  <si>
    <t>Innov Mgr</t>
  </si>
  <si>
    <t>Lena S</t>
  </si>
  <si>
    <t>lena.spectrum@nwi.com</t>
  </si>
  <si>
    <t>22Feb27-5</t>
  </si>
  <si>
    <t>Sam B</t>
  </si>
  <si>
    <t>sam.backhaul@nwi.com</t>
  </si>
  <si>
    <t>15Dec27-5</t>
  </si>
  <si>
    <t>Marketing Mgr</t>
  </si>
  <si>
    <t>Net Admin</t>
  </si>
  <si>
    <t>NOC Tech</t>
  </si>
  <si>
    <t>Nora A</t>
  </si>
  <si>
    <t>nora.antenna@nwi.com</t>
  </si>
  <si>
    <t>26Aug26-15</t>
  </si>
  <si>
    <t>Sara Query</t>
  </si>
  <si>
    <t>Sara Q</t>
  </si>
  <si>
    <t>sara.query@nwi.com</t>
  </si>
  <si>
    <t>26Jun27-5</t>
  </si>
  <si>
    <t>Proj Mgr</t>
  </si>
  <si>
    <t>chris@nwi.com</t>
  </si>
  <si>
    <t>21Dec26-10</t>
  </si>
  <si>
    <t>Kai P</t>
  </si>
  <si>
    <t>kai.pipeline@nwi.com</t>
  </si>
  <si>
    <t>27May27-15</t>
  </si>
  <si>
    <t>Mitsy M</t>
  </si>
  <si>
    <t>mitsy.meta@nwi.com</t>
  </si>
  <si>
    <t>04Dec26-5</t>
  </si>
  <si>
    <t>Adam Router</t>
  </si>
  <si>
    <t>Adam R</t>
  </si>
  <si>
    <t>adam.router@nwi.com</t>
  </si>
  <si>
    <t>16Nov26-10</t>
  </si>
  <si>
    <t>Jenna Script</t>
  </si>
  <si>
    <t>Jenna S</t>
  </si>
  <si>
    <t>jenna.script@nwi.com</t>
  </si>
  <si>
    <t>24Sep27-15</t>
  </si>
  <si>
    <t>Piper Snake</t>
  </si>
  <si>
    <t>Piper S</t>
  </si>
  <si>
    <t>piper.snake@nwi.com</t>
  </si>
  <si>
    <t>03Nov26-5</t>
  </si>
  <si>
    <t>RF Eng</t>
  </si>
  <si>
    <t>john@nwi.com</t>
  </si>
  <si>
    <t>02Oct26-15</t>
  </si>
  <si>
    <t>Risk Mgr</t>
  </si>
  <si>
    <t>Toby Bugsley</t>
  </si>
  <si>
    <t>Toby B</t>
  </si>
  <si>
    <t>toby.bugsley@nwi.com</t>
  </si>
  <si>
    <t>04Sep26-15</t>
  </si>
  <si>
    <t>Sales Mgr</t>
  </si>
  <si>
    <t>SW Engineer</t>
  </si>
  <si>
    <t>France F</t>
  </si>
  <si>
    <t>france.finney@nwi.com</t>
  </si>
  <si>
    <t>27Aug26-5</t>
  </si>
  <si>
    <t>Sol Arch</t>
  </si>
  <si>
    <t>Tech Writer</t>
  </si>
  <si>
    <t>Mack E</t>
  </si>
  <si>
    <t>mack.engineer@nwi.com</t>
  </si>
  <si>
    <t>27Sep27-15</t>
  </si>
  <si>
    <t>Test Auto</t>
  </si>
  <si>
    <t>UX/UI Des</t>
  </si>
  <si>
    <t>Mike S</t>
  </si>
  <si>
    <t>mike.side@nwi.com</t>
  </si>
  <si>
    <t>15Jan27-5</t>
  </si>
  <si>
    <t>Vendor Mgr</t>
  </si>
  <si>
    <t>Jack T</t>
  </si>
  <si>
    <t>jack.top@nwi.com</t>
  </si>
  <si>
    <t>21Feb27-15</t>
  </si>
  <si>
    <t>julia@nwi.com</t>
  </si>
  <si>
    <t>11Nov27-15</t>
  </si>
  <si>
    <t>ally@nwi.com</t>
  </si>
  <si>
    <t>20Nov26-5</t>
  </si>
  <si>
    <t>Herb R</t>
  </si>
  <si>
    <t>herb.ross@nwi.com</t>
  </si>
  <si>
    <t>16Sep26-10</t>
  </si>
  <si>
    <t>Marg T</t>
  </si>
  <si>
    <t>marg.ting@nwi.com</t>
  </si>
  <si>
    <t>20Sep26-10</t>
  </si>
  <si>
    <t>Ron H</t>
  </si>
  <si>
    <t>ron.hay@nwi.com</t>
  </si>
  <si>
    <t>Ron S</t>
  </si>
  <si>
    <t>ron.scope@nwi.com</t>
  </si>
  <si>
    <t>05Oct26-5</t>
  </si>
  <si>
    <t>Al L</t>
  </si>
  <si>
    <t>al.league@nwi.com</t>
  </si>
  <si>
    <t>16Oct27-5</t>
  </si>
  <si>
    <t>Sally S</t>
  </si>
  <si>
    <t>sally.sail@nwi.com</t>
  </si>
  <si>
    <t>29Dec26-10</t>
  </si>
  <si>
    <t>Joe P</t>
  </si>
  <si>
    <t>joe.purch@nwi.com</t>
  </si>
  <si>
    <t>07Jan27-15</t>
  </si>
  <si>
    <t>Billable</t>
  </si>
  <si>
    <t>Non Billable</t>
  </si>
  <si>
    <t>Mainly Used in CR's and Tasks</t>
  </si>
  <si>
    <t>jcox@costbars.com</t>
  </si>
  <si>
    <t>Other Financial Score tbMDOther2 MDSheet</t>
  </si>
  <si>
    <t>Other Financial Score CR</t>
  </si>
  <si>
    <t>Master Lables</t>
  </si>
  <si>
    <t>Core Form/Report Settings</t>
  </si>
  <si>
    <t>Configure section, show/hide, order and width of fields on the CoreForm by Hierarchy Levels</t>
  </si>
  <si>
    <t>Schema Data Store</t>
  </si>
  <si>
    <t>tbSchID</t>
  </si>
  <si>
    <t>tbSchSheetName</t>
  </si>
  <si>
    <t>tbSchInternalFieldName</t>
  </si>
  <si>
    <t>tbSchLabel</t>
  </si>
  <si>
    <t>tbSchDataType</t>
  </si>
  <si>
    <t>tbSchAlignment</t>
  </si>
  <si>
    <t>tbSchWidth</t>
  </si>
  <si>
    <t>tbSchValidate</t>
  </si>
  <si>
    <t>tbSchMandatory</t>
  </si>
  <si>
    <t>tbSchPicklistName</t>
  </si>
  <si>
    <t>tbSchPicklistSource</t>
  </si>
  <si>
    <t>tbSchPurpose</t>
  </si>
  <si>
    <t>tbSchOwner</t>
  </si>
  <si>
    <t>tbSchCustomerID</t>
  </si>
  <si>
    <t>tbSchLastModified</t>
  </si>
  <si>
    <t>tbSchOpFieldName</t>
  </si>
  <si>
    <t>tbSchOpInternalName</t>
  </si>
  <si>
    <t>tags</t>
  </si>
  <si>
    <t>people</t>
  </si>
  <si>
    <t>Schema</t>
  </si>
  <si>
    <t>tbSchema.csv</t>
  </si>
  <si>
    <t>tbSchemax.csv</t>
  </si>
  <si>
    <t>V1.3 - 17 Aug 2026</t>
  </si>
  <si>
    <t xml:space="preserve">apDirtyStores </t>
  </si>
  <si>
    <t>From Fields Table</t>
  </si>
  <si>
    <t>This value added to support picklist tagging in Fields Store</t>
  </si>
  <si>
    <t>Yes No Selector</t>
  </si>
  <si>
    <t>Mainly used in PPM in project selection</t>
  </si>
  <si>
    <t>Cost type field in Timebars table</t>
  </si>
  <si>
    <t>Internal Delivery</t>
  </si>
  <si>
    <t>Features Impacted: PPM Scoring | Reason Locked: The five bands are the keys of scoringMaps.bcratio and "Not Assessed" is the early-return guard, in getPicklistScore() (ppmPrioritizeAndScore.js:1284-1315). Unknown key -&gt; || 0, so a renamed band scores 0 and drags the Financial Strength score down with no warning.</t>
  </si>
  <si>
    <t>Features Impacted: PPM Scoring | Reason Locked: romMaxValues in getBudgetForScoring() (reportingFunctions.js:345-353) turns the band into a dollar ceiling, and it is the only budget a New or On Hold project has. Unknown key returns 0, calculateBudgetPerformanceScore() then returns 0, and the project scores as if it had no budget at all.</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</si>
  <si>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single team, 2-3 teams, 4-6 teams, 7-10 teams, departments.</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</si>
  <si>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extensive, good, some, limited, new.</t>
  </si>
  <si>
    <t>Features Impacted: Automation, RIC | Reason Locked: ESCALATION in tbMetadataAutomation.js:62-67. isEscalatedHigh() (Executives/Directors -&gt; Red) and isEscalatedLow() (Project Office -&gt; Yellow) drive Function 4, which sets the Risk/Issues/Scope traffic lights on every parent. A rename makes the escalation invisible to the rules and the light stays Green.</t>
  </si>
  <si>
    <t>Features Impacted: PPM Scoring | Reason Locked: Twice over: allowedEstimationClasses validation raises "Invalid Estimation Class" in the decision notes, and classScores awards 25 / 75 / 100 (ppmPrioritizeAndScore.js:391,421-423,525,542-544). A rename fails validation and scores 0 for estimation methodology.</t>
  </si>
  <si>
    <t>Features Impacted: PPM Scoring | Reason Locked: commitmentScores in calculateExecutiveCommitmentScore() maps them to 100/80/60/40/20/0 (reportingFunctions.js:537-547); "Not Assessed" additionally trips the MISSING DATA warning (ppmPrioritizeAndScore.js:195,386). Unknown -&gt; 0, which reads as "no executive support" rather than "unrecognised value".</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</si>
  <si>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none, 1-2/simple, 3-5/moderate, 5+/complex, critical.</t>
  </si>
  <si>
    <t>Features Impacted: Core, Automation, PPM Scoring | Reason Locked: One vocabulary shared by all seven colour indicator fields, locked in five places at once. (1) COLOUR in tbMetadataAutomation.js:55-60 is what the automation writes to all seven; INDICATOR_INPUTS feeds six of them into tbMDHealthOverall. (2) colorClasses in focd/dfdetails.js:666-671 paints the MCTT traffic light when a value is picked - a missing key leaves the light unpainted. (3) Seven switch(data) render functions in columnConfig.js (from line 1290) draw the coloured dot in every grid; default falls through to the raw text, so a renamed value shows as a word in a column of circles. (4) calculateScopeSchedIssuesScore() in reportingFunctions.js:564-579 scores green/yellow/red (lower-cased) as 2/1/0 for the PPM health score - an unknown value scores 0, indistinguishable from Red. (5) tbschedulingengine2.js and tbmain.js set the CS-form stoplight backgrounds from the same words. The code says "Yellow", never "Amber"; there is no "Grey" - grey is how Not Assessed renders.</t>
  </si>
  <si>
    <t>Features Impacted: PPM Scoring | Reason Locked: Keys of scoringMaps.irr, weighted 35% of the Revenue Potential score (ppmPrioritizeAndScore.js:1292-1298,1246,1256). Unknown -&gt; 0.</t>
  </si>
  <si>
    <t>Features Impacted: PPM Scoring | Reason Locked: The PPM Score Card splits the portfolio three ways on category === "Run the Business" / "Grow the Business" / "Transform the Business" (ppmScoreCard.js:690-701). A renamed value falls through all three branches and its projects vanish from the Run/Grow/Transform split - the totals silently stop adding up to the portfolio. Modernize the Business is already in that position today.</t>
  </si>
  <si>
    <t>Features Impacted: Core, Res Usage | Reason Locked: The Human/Generic split is the resource model. It is an IndexedDB index query - getMultipleRowsByStoreByIndexAsync("tbResources","tbResLabourType","Generic") (tbResourceUsageCalcsProjectRows.js:21) - and a filter in the resource grids and lists (tbresources.js:82-85, tbResourceGridsMain.js:95-98). It is also what MCTT's people-picker filters on - makeMcttMetaDataOrRes() queries tbResources by tbResLabourType for the literal "Human" (focd/dfdetails.js:477-484) to build every owner/sponsor/manager list. Rename Human and every people-picker in the app opens empty.</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</si>
  <si>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perfect, good, acceptable, challenging, poor.</t>
  </si>
  <si>
    <t>The risk has been moved to higher management or another department for resolution due to its complexity or impact level. Features Impacted: Automation, RIC | Reason Locked: isEscalatedHigh() tests row.tbMDMitigationStatus === "Escalated" (tbMetadataAutomation.js:423), turning a parent's Risk/Issues/Scope light Red. The other ten values are free.</t>
  </si>
  <si>
    <t>Features Impacted: PPM Scoring | Reason Locked: Keys of scoringMaps.npv, the heaviest single input to Financial Strength at 40% of Revenue Potential (ppmPrioritizeAndScore.js:1285-1291). Unknown -&gt; 0.</t>
  </si>
  <si>
    <t>Features Impacted: PF Detail | Reason Locked: The Portfolio report's resource narrative keys its employmentTypes tally on the literals and then compares them - employmentTypes['Full Time'].quantity &gt; employmentTypes['Part Time'].quantity * 3 (tbComprehensivePortfolioReport.js:2259-2260). Rename either and the guard is falsy, so the sentence always says "offers a balance of stability and flexibility" regardless of the real mix. This group has already been renamed once: "Part-time Full-time" became "Parttime Fulltime" in the spreadsheet. Nothing checked the lock file against the data, so the lock silently stopped applying, and the resource form's data-formkey was left naming a group that no longer existed - so that picklist opened empty until somebody noticed. Both are fixed; the class of bug is not.</t>
  </si>
  <si>
    <t>Features Impacted: PPM Scoring | Reason Locked: Keys of scoringMaps.payback, 30% of the Risk-Adjusted ROI score (ppmPrioritizeAndScore.js:1299-1305). Unknown -&gt; 0.</t>
  </si>
  <si>
    <t>Features Impacted: Automation, PPM Scoring, PF Detail, Other Reports | Reason Locked: PHASE in tbMetadataAutomation.js:38-42, written by LIFECYCLE_TARGETS when a Project or Sub-Project moves between Not Started / Started / Finished. Closing also excludes rows from four PPM Score Card aggregations (ppmScoreCard.js:311,490,666,794), and Initiating / Planning select the Proposals and Planning sections of the Portfolio report (tbComprehensivePortfolioReport.js:416,448,1407, coreBarReport.js:31).</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</si>
  <si>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incremental, enhancement, new feature, new product, breakthrough/innovation.</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</si>
  <si>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very similar, similar, somewhat/moderately, different/quite, completely.</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</si>
  <si>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none required, internal, industry/standards, government/regulatory, multiple.</t>
  </si>
  <si>
    <t>Features Impacted: PPM Scoring, RIC | Reason Locked: PROBABILITY_WEIGHTS and PROBABILITY_ORDER in riskScoring.js:20-38. Same mechanism as Impact, including the feed into PPM's top-3 risk average (reportingFunctions.js:480) - and PROBABILITY_ORDER also lays out the rows of the rendered heat map, so a rename leaves a blank row.</t>
  </si>
  <si>
    <t>Features Impacted: Core, Automation, PF Detail, RIC, Baseline | Reason Locked: SCH_STATUS (tbMetadataAutomation.js:45-52) and SCHEDULE_HEALTH_COLOUR, which projects the word onto the Health Schedule colour so the two can never disagree. LIFECYCLE_TARGETS writes Not Assessed / On schedule / Completed. Blocked selects the Blocked section of the Portfolio report (tbComprehensivePortfolioReport.js:430,523,1423,1532), and both columnConfig.js and the Baseline Variance report render each word to a colour - SCH_STATUS_CLASSES in baselinereport.js:124-134 keys a CSS class off the exact word, so a rename leaves the cell unstyled. Note the lower-case s in "On schedule".</t>
  </si>
  <si>
    <t>Features Impacted: PPM Scoring, PF Detail, Charter | Reason Locked: These four are section selectors, not labels. The Project Charter report includes a Task only if showInValues.includes("Key Deliverables") and a Risk only if .includes("Key Risks") (projectCharter.js:190,207,647); the Portfolio report uses "Key Milestones" (tbComprehensivePortfolioReport.js:1283); the PPM page gates the whole charter on "Project Charter" (ppmPage.js:283,305). Rename one and that section of the report renders empty, which looks exactly like "nothing tagged yet". The other two values are free - they are customer tags.</t>
  </si>
  <si>
    <t>Features Impacted: Automation | Reason Locked: STAGE in tbMetadataAutomation.js:32-36. LIFECYCLE_TARGETS writes exactly these three when a Project or Sub-Project starts or finishes; the other five are manual-only and free to rename. A rename means automation writes a stage value that is no longer in the picklist, so MCTT cannot offer it back.</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</si>
  <si>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1-5, 6-10, 11-20, 21-50, over 50.</t>
  </si>
  <si>
    <t>Features Impacted: Core, Automation, RIC | Reason Locked: RIC_SUBTYPES and RIC_SUBTYPE_FIELD (tbMetadataAutomation.js:82-89) route each subtype to the health indicator it drives - CR-&gt;Scope, Issue-&gt;Issues, Risk-&gt;Risk. They also drive the P3 filter menu, the Gantt row rendering and the Risks &amp; Issues card/tabular views (tbp3menu.js:1576-1588, tbMainDrawBarsFilterManager.js:268-280,545-557, tbMainDrawbarsGantt.js:1183-1187). Other and Task are free.</t>
  </si>
  <si>
    <t>Features Impacted: Core, Automation | Reason Locked: Not really a picklist - it is the hierarchy. Read by every module in the app: the scheduling engine (tbschedulingengine.js, 66 references), hierarchy and WBS ordering (tbhierarchyAsync.js), the P3 filter menu (tbp3menu.js), bar creation (tbCreator.js), the Gantt (tbMainDrawbarsGantt.js), the rollups, the report menu, the OpenProject sync, and LIFECYCLE_TYPES / STATUS_ONLY_TYPES / SCH_STATUS_TYPES / PORTFOLIO_TYPES in the automation (tbMetadataAutomation.js:75-80). Roughly 640 comparisons. Nothing about a rename is recoverable.</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</si>
  <si>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1-3, 4-8, 9-15, 16-30, over 30.</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</si>
  <si>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expert, advanced, intermediate, basic, no experience.</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</si>
  <si>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proven/mature, stable/well-known, emerging, cutting-edge, experimental. Note: Established is matched by rule 1 (text.includes('established')) and therefore scores 1, not 2 - a pre-existing ordering bug in tbProjectAssessment.js:743, unrelated to renaming. NOTE: "Established" is matched by rule 1 (text.includes('established')) and therefore scores 1, not 2 - a pre-existing ordering bug in tbProjectAssessment.js:743, unrelated to renaming.</t>
  </si>
  <si>
    <t>Features Impacted: Core, PF Detail, RIC, AI Create | Reason Locked: "Immediate" selects the Portfolio report's escalation list - project.tbMDPriority === "Immediate" (tbComprehensivePortfolioReport.js:709); "Normal" is a key of priorityOrder used to sort it (:3021); "Not Assessed" is the value seeded onto every new bar (loadtimebarapp.js:451, aiCreateProject.js:238, aiCreateConfig.js:60).</t>
  </si>
  <si>
    <t>Features Impacted: Core, Automation, PPM Scoring | Reason Locked: STATUS (tbMetadataAutomation.js:23-30) is the spine of the automation: PROTECTED_STATUSES (Rejected/On Hold/Blocked) makes the rules skip a row entirely, RIC_CLOSED_STATUSES (Closed/Rejected) drops a Risk or Issue out of the health counts, and LIFECYCLE_TARGETS writes New / In progress / Closed. "New" is also the seed on every new bar (loadtimebarapp.js:449) and the value the AI project generator must emit. Closed and Rejected exclude rows from four PPM Score Card aggregations (ppmScoreCard.js:310,489,665,793). Note the lower-case p in "In progress" - several reports test both spellings because of it.</t>
  </si>
  <si>
    <t>Features Impacted: PF Detail | Reason Locked: The Portfolio report's initiative-mix table pre-declares exactly these three bucket keys and normalises everything into them by substring (tbComprehensivePortfolioReport.js:4646-4672). A renamed value still matches only if it keeps its keyword ("Compliance", "Maintenance"/"Operational", "Growth"/"Enhancement", "Innovation"/"Transformation") - otherwise the project is counted nowhere and the mix percentages silently no longer total the portfolio.</t>
  </si>
  <si>
    <t>Features Impacted: PAS | Reason Locked: Scored by getScoreFromText() in tbProjectAssessment.js:645-841, which lower-cases the value and runs a ladder of text.includes(...) tests to return 1-5. The lock is on the KEYWORD, not the whole string: "4-6 teams" can become "4 to 6 teams" and still score, because the rule also accepts "moderate". Losing the keyword is what breaks it. When no rule matches the function logs 'Could not map text "..."' and returns 0, which feeds straight into the central Risk vs Size &amp; Complexity score - the console warning is the only signal. Keywords for this field: no vendor/none, 1 reliable/single, 2-3/few/known, multiple/new, critical/unknown.</t>
  </si>
  <si>
    <t>Features Impacted: PPM Scoring, PF Detail | Reason Locked: Portfolio Status and Balancing Report buckets proposals into pipeline stages with ["Approved","Awaiting Approval","Requested Approval"].includes(project.tbMDState) and ["Awaiting Review"] (tbComprehensivePortfolioReport.js:435,440,526,529,1428,3685). PPM Prioritise &amp; Score raises the amber "Warning!" banner from warningStates = ['Requested Approval','Awaiting Approval','Awaiting Input'] and excludes != "Spawned" rows from scoring (ppmPrioritizeAndScore.js:46,397,531,795,1021). A rename drops the proposal out of every bucket - it disappears from the report rather than erroring.</t>
  </si>
  <si>
    <t>Customer disgression</t>
  </si>
  <si>
    <t>Do not change for Costbars only under any conditions</t>
  </si>
  <si>
    <t>Do not change for  all products under any conditions</t>
  </si>
  <si>
    <t>Do not change tags table uses this as picklist.</t>
  </si>
  <si>
    <t>tbMDLastModified</t>
  </si>
  <si>
    <t>tbLastModified</t>
  </si>
  <si>
    <t>Last modified date not implemented yet in an automated way.</t>
  </si>
  <si>
    <t>Last Modified (Sync)</t>
  </si>
  <si>
    <t>Last Modified (Forms)</t>
  </si>
  <si>
    <t>Timestamp of the last change to the metadata row during sync</t>
  </si>
  <si>
    <t>tbSchOpSyncYN</t>
  </si>
  <si>
    <t>tbSchOpTableName</t>
  </si>
  <si>
    <t>tbSchOpFormat</t>
  </si>
  <si>
    <t>Sync Yes/No</t>
  </si>
  <si>
    <t>OP TableName</t>
  </si>
  <si>
    <t>WP</t>
  </si>
  <si>
    <t>String</t>
  </si>
  <si>
    <t>TB Parent</t>
  </si>
  <si>
    <t>TB Name</t>
  </si>
  <si>
    <t>TB Type</t>
  </si>
  <si>
    <t>TB Hierarchy Order</t>
  </si>
  <si>
    <t>TB Coord Top</t>
  </si>
  <si>
    <t>TB kbCoord Top</t>
  </si>
  <si>
    <t>TB Lane</t>
  </si>
  <si>
    <t>TB Owner</t>
  </si>
  <si>
    <t>Integer</t>
  </si>
  <si>
    <t>TB Work Hours</t>
  </si>
  <si>
    <t>TB Actual Work Hours</t>
  </si>
  <si>
    <t>TB Remaining Work Hours</t>
  </si>
  <si>
    <t>TB Percent Complete</t>
  </si>
  <si>
    <t>TB Start</t>
  </si>
  <si>
    <t>TB Finish</t>
  </si>
  <si>
    <t>TB Actual Start</t>
  </si>
  <si>
    <t>TB Actual Finish</t>
  </si>
  <si>
    <t>TB Duration</t>
  </si>
  <si>
    <t>TB Rem Dur</t>
  </si>
  <si>
    <t>TB Cost</t>
  </si>
  <si>
    <t>TB Actual Cost</t>
  </si>
  <si>
    <t>TB Cost Remaining</t>
  </si>
  <si>
    <t>TB CostID</t>
  </si>
  <si>
    <t>TB Cost Type</t>
  </si>
  <si>
    <t>TB L1</t>
  </si>
  <si>
    <t>TB L2</t>
  </si>
  <si>
    <t>TB L3</t>
  </si>
  <si>
    <t>TB L4</t>
  </si>
  <si>
    <t>TB L5</t>
  </si>
  <si>
    <t>CustomOption</t>
  </si>
  <si>
    <t>Notes Project</t>
  </si>
  <si>
    <t>Risk Vs Size and Complexity</t>
  </si>
  <si>
    <t>Ecnomic Value Added</t>
  </si>
  <si>
    <t>Senior Level Committment</t>
  </si>
  <si>
    <t>Other2</t>
  </si>
  <si>
    <t>Users</t>
  </si>
  <si>
    <t>Email</t>
  </si>
  <si>
    <t>CustomerID</t>
  </si>
  <si>
    <t>TB WBS Description</t>
  </si>
  <si>
    <t>TB WBS Number</t>
  </si>
  <si>
    <t>TB Predecessor</t>
  </si>
  <si>
    <t>TB Sub Type</t>
  </si>
  <si>
    <t>TB ResID</t>
  </si>
  <si>
    <t>TB Expected Hours Per Week</t>
  </si>
  <si>
    <t>TB Percent Time Allocated</t>
  </si>
  <si>
    <t>TB Pay Rate</t>
  </si>
  <si>
    <t>Charter</t>
  </si>
  <si>
    <t>Key MS</t>
  </si>
  <si>
    <t>Key Del</t>
  </si>
  <si>
    <t>B Case</t>
  </si>
  <si>
    <t>TB Calendar</t>
  </si>
  <si>
    <t>customField181</t>
  </si>
  <si>
    <t>SheetName</t>
  </si>
  <si>
    <t>InternalFieldName</t>
  </si>
  <si>
    <t>DataType</t>
  </si>
  <si>
    <t>Alignment</t>
  </si>
  <si>
    <t>Validate</t>
  </si>
  <si>
    <t>Purpose</t>
  </si>
  <si>
    <t>Picklist Source</t>
  </si>
  <si>
    <t>Op Format</t>
  </si>
  <si>
    <t>Op Field Name</t>
  </si>
  <si>
    <t>Tag Entity</t>
  </si>
  <si>
    <t>Tag Popular</t>
  </si>
  <si>
    <t>Tag Name Short</t>
  </si>
  <si>
    <t xml:space="preserve"> Tag Owner</t>
  </si>
  <si>
    <t>Tag Customer ID</t>
  </si>
  <si>
    <t>Tag Last Modified</t>
  </si>
  <si>
    <t>WP OP Custom Option ID</t>
  </si>
  <si>
    <t>PJ Res OP Custom Option ID</t>
  </si>
  <si>
    <t>Tags Table</t>
  </si>
  <si>
    <t>Na</t>
  </si>
  <si>
    <t>PJ Res Op Internal Name</t>
  </si>
  <si>
    <t>WP Op Internal Name</t>
  </si>
  <si>
    <t>PJ/WP</t>
  </si>
  <si>
    <t>TB Budget Hours</t>
  </si>
  <si>
    <t>TB Budget Cost</t>
  </si>
  <si>
    <t>Risk Score</t>
  </si>
  <si>
    <t>tbTagOpCustomOptionIDWP</t>
  </si>
  <si>
    <t>tbSchOpInternalNameWP</t>
  </si>
  <si>
    <t>tbTagOpInternalNameWP</t>
  </si>
  <si>
    <t>WP OP Internal Name</t>
  </si>
  <si>
    <t>PJ Res OP Internal Name</t>
  </si>
  <si>
    <t>TB Description</t>
  </si>
  <si>
    <t>customField192</t>
  </si>
  <si>
    <t>customField184</t>
  </si>
  <si>
    <t>customField229</t>
  </si>
  <si>
    <t>customField230</t>
  </si>
  <si>
    <t>customField185</t>
  </si>
  <si>
    <t>customField211</t>
  </si>
  <si>
    <t>customField193</t>
  </si>
  <si>
    <t>customField187</t>
  </si>
  <si>
    <t>customField189</t>
  </si>
  <si>
    <t>customField194</t>
  </si>
  <si>
    <t>customField5</t>
  </si>
  <si>
    <t>customField197</t>
  </si>
  <si>
    <t>customField18</t>
  </si>
  <si>
    <t>customField201</t>
  </si>
  <si>
    <t>customField19</t>
  </si>
  <si>
    <t>customField32</t>
  </si>
  <si>
    <t>customField53</t>
  </si>
  <si>
    <t>customField54</t>
  </si>
  <si>
    <t>customField55</t>
  </si>
  <si>
    <t>customField56</t>
  </si>
  <si>
    <t>customField57</t>
  </si>
  <si>
    <t>customField58</t>
  </si>
  <si>
    <t>customField59</t>
  </si>
  <si>
    <t>customField203</t>
  </si>
  <si>
    <t>customField20</t>
  </si>
  <si>
    <t>customField21</t>
  </si>
  <si>
    <t>customField22</t>
  </si>
  <si>
    <t>customField23</t>
  </si>
  <si>
    <t>customField206</t>
  </si>
  <si>
    <t>customField207</t>
  </si>
  <si>
    <t>customField26</t>
  </si>
  <si>
    <t>customField29</t>
  </si>
  <si>
    <t>customField225</t>
  </si>
  <si>
    <t>customField146</t>
  </si>
  <si>
    <t>customField36</t>
  </si>
  <si>
    <t>customField33</t>
  </si>
  <si>
    <t>customField219</t>
  </si>
  <si>
    <t>customField25</t>
  </si>
  <si>
    <t>customField200</t>
  </si>
  <si>
    <t>customField179</t>
  </si>
  <si>
    <t>customField221</t>
  </si>
  <si>
    <t>customField35</t>
  </si>
  <si>
    <t>customField37</t>
  </si>
  <si>
    <t>customField212</t>
  </si>
  <si>
    <t>customField227</t>
  </si>
  <si>
    <t>customField214</t>
  </si>
  <si>
    <t>customField232</t>
  </si>
  <si>
    <t>customField191</t>
  </si>
  <si>
    <t>customField148</t>
  </si>
  <si>
    <t>customField145</t>
  </si>
  <si>
    <t>customField15</t>
  </si>
  <si>
    <t>customField11</t>
  </si>
  <si>
    <t>customField16</t>
  </si>
  <si>
    <t>customField208</t>
  </si>
  <si>
    <t>customField12</t>
  </si>
  <si>
    <t>customField9</t>
  </si>
  <si>
    <t>customField180</t>
  </si>
  <si>
    <t>customField10</t>
  </si>
  <si>
    <t>customField150</t>
  </si>
  <si>
    <t>customField13</t>
  </si>
  <si>
    <t>customField14</t>
  </si>
  <si>
    <t>customField182</t>
  </si>
  <si>
    <t>Purchase Order No</t>
  </si>
  <si>
    <t>Notes about the data.</t>
  </si>
  <si>
    <t>Timebars field</t>
  </si>
  <si>
    <t>OpenProject field</t>
  </si>
  <si>
    <t>Level</t>
  </si>
  <si>
    <t>The following fields store TipTap Editor data as markdown</t>
  </si>
  <si>
    <t>customField39</t>
  </si>
  <si>
    <t>customField220</t>
  </si>
  <si>
    <t>customField38</t>
  </si>
  <si>
    <t>customField117</t>
  </si>
  <si>
    <t>customField120</t>
  </si>
  <si>
    <t>customField235</t>
  </si>
  <si>
    <t>customField236</t>
  </si>
  <si>
    <t>customField122</t>
  </si>
  <si>
    <t>customField116</t>
  </si>
  <si>
    <t>customField127</t>
  </si>
  <si>
    <t>customField118</t>
  </si>
  <si>
    <t>customField111</t>
  </si>
  <si>
    <t>customField123</t>
  </si>
  <si>
    <t>customField103</t>
  </si>
  <si>
    <t>customField98</t>
  </si>
  <si>
    <t>Formattable</t>
  </si>
  <si>
    <t>customField270</t>
  </si>
  <si>
    <t>customField271</t>
  </si>
  <si>
    <t>customField273</t>
  </si>
  <si>
    <t>customField272</t>
  </si>
  <si>
    <t>customField275</t>
  </si>
  <si>
    <t>customField276</t>
  </si>
  <si>
    <t>customField46</t>
  </si>
  <si>
    <t>customField47</t>
  </si>
  <si>
    <t>customField279</t>
  </si>
  <si>
    <t>customField49</t>
  </si>
  <si>
    <t>customField280</t>
  </si>
  <si>
    <t>customField247</t>
  </si>
  <si>
    <t>customField281</t>
  </si>
  <si>
    <t>customField283</t>
  </si>
  <si>
    <t>customField50</t>
  </si>
  <si>
    <t>customField250</t>
  </si>
  <si>
    <t>customField288</t>
  </si>
  <si>
    <t>customField289</t>
  </si>
  <si>
    <t>customField7</t>
  </si>
  <si>
    <t>customField290</t>
  </si>
  <si>
    <t>customField291</t>
  </si>
  <si>
    <t>customField292</t>
  </si>
  <si>
    <t>customField293</t>
  </si>
  <si>
    <t>customField294</t>
  </si>
  <si>
    <t>customField295</t>
  </si>
  <si>
    <t>customField297</t>
  </si>
  <si>
    <t>customField61</t>
  </si>
  <si>
    <t>customField299</t>
  </si>
  <si>
    <t>customField300</t>
  </si>
  <si>
    <t>customField302</t>
  </si>
  <si>
    <t>customField303</t>
  </si>
  <si>
    <t>customField304</t>
  </si>
  <si>
    <t>customField65</t>
  </si>
  <si>
    <t>customField305</t>
  </si>
  <si>
    <t>customField66</t>
  </si>
  <si>
    <t>customField67</t>
  </si>
  <si>
    <t>customField31</t>
  </si>
  <si>
    <t>customField306</t>
  </si>
  <si>
    <t>customField307</t>
  </si>
  <si>
    <t>customField28</t>
  </si>
  <si>
    <t>customField308</t>
  </si>
  <si>
    <t>customField69</t>
  </si>
  <si>
    <t>customField309</t>
  </si>
  <si>
    <t>customField311</t>
  </si>
  <si>
    <t>customField312</t>
  </si>
  <si>
    <t>customField72</t>
  </si>
  <si>
    <t>customField73</t>
  </si>
  <si>
    <t>customField313</t>
  </si>
  <si>
    <t>customField314</t>
  </si>
  <si>
    <t>customField316</t>
  </si>
  <si>
    <t>customField75</t>
  </si>
  <si>
    <t>customField76</t>
  </si>
  <si>
    <t>customField318</t>
  </si>
  <si>
    <t>customField147</t>
  </si>
  <si>
    <t>customField138</t>
  </si>
  <si>
    <t>customField79</t>
  </si>
  <si>
    <t>customField100</t>
  </si>
  <si>
    <t>customField125</t>
  </si>
  <si>
    <t>customField121</t>
  </si>
  <si>
    <t>customField113</t>
  </si>
  <si>
    <t>customField112</t>
  </si>
  <si>
    <t>customField92</t>
  </si>
  <si>
    <t>customField97</t>
  </si>
  <si>
    <t>customField93</t>
  </si>
  <si>
    <t>customField82</t>
  </si>
  <si>
    <t>customField83</t>
  </si>
  <si>
    <t>customField84</t>
  </si>
  <si>
    <t>customField86</t>
  </si>
  <si>
    <t>customField94</t>
  </si>
  <si>
    <t>customField87</t>
  </si>
  <si>
    <t>customField119</t>
  </si>
  <si>
    <t>customField143</t>
  </si>
  <si>
    <t>customField223</t>
  </si>
  <si>
    <t>customField196</t>
  </si>
  <si>
    <t>customField286</t>
  </si>
  <si>
    <t>customField198</t>
  </si>
  <si>
    <t>customField251</t>
  </si>
  <si>
    <t>customField287</t>
  </si>
  <si>
    <t>customField202</t>
  </si>
  <si>
    <t>customField217</t>
  </si>
  <si>
    <t>customField204</t>
  </si>
  <si>
    <t>customField298</t>
  </si>
  <si>
    <t>customField205</t>
  </si>
  <si>
    <t>customField256</t>
  </si>
  <si>
    <t>customField257</t>
  </si>
  <si>
    <t>customField258</t>
  </si>
  <si>
    <t>customField260</t>
  </si>
  <si>
    <t>customField216</t>
  </si>
  <si>
    <t>customField310</t>
  </si>
  <si>
    <t>customField262</t>
  </si>
  <si>
    <t>customField222</t>
  </si>
  <si>
    <t>customField213</t>
  </si>
  <si>
    <t>customField315</t>
  </si>
  <si>
    <t>customField224</t>
  </si>
  <si>
    <t>customField317</t>
  </si>
  <si>
    <t>customField267</t>
  </si>
  <si>
    <t>customField240</t>
  </si>
  <si>
    <t>customField231</t>
  </si>
  <si>
    <t>TB Priority</t>
  </si>
  <si>
    <t>customField278</t>
  </si>
  <si>
    <t>customField190</t>
  </si>
  <si>
    <t>customField253</t>
  </si>
  <si>
    <t>customField226</t>
  </si>
  <si>
    <t>customField218</t>
  </si>
  <si>
    <t>customField259</t>
  </si>
  <si>
    <t>customField126</t>
  </si>
  <si>
    <t>customField234</t>
  </si>
  <si>
    <t>customField228</t>
  </si>
  <si>
    <t>customField233</t>
  </si>
  <si>
    <t>customField268</t>
  </si>
  <si>
    <t>customField99</t>
  </si>
  <si>
    <t>customField319</t>
  </si>
  <si>
    <t>Sch Health</t>
  </si>
  <si>
    <t>Escalation</t>
  </si>
  <si>
    <t>Notes</t>
  </si>
  <si>
    <t>dfCR</t>
  </si>
  <si>
    <t>CR Name</t>
  </si>
  <si>
    <t>Change Request Name</t>
  </si>
  <si>
    <t>Contact/Requestor</t>
  </si>
  <si>
    <t>Sponsor</t>
  </si>
  <si>
    <t>CR Initiated On</t>
  </si>
  <si>
    <t>Date the change request was raised</t>
  </si>
  <si>
    <t>CR Initiated On (Actual)</t>
  </si>
  <si>
    <t>Actual date the change request was raised</t>
  </si>
  <si>
    <t>CR Issued On</t>
  </si>
  <si>
    <t>Date the change request is due to issue</t>
  </si>
  <si>
    <t>CR Issued On (Actual)</t>
  </si>
  <si>
    <t>Actual date the change request was issued</t>
  </si>
  <si>
    <t>Change request version</t>
  </si>
  <si>
    <t>Hours Estimate</t>
  </si>
  <si>
    <t>Estimated hours to implement the change</t>
  </si>
  <si>
    <t>Cost Estimate</t>
  </si>
  <si>
    <t>Estimated cost to implement the change</t>
  </si>
  <si>
    <t>Resource List</t>
  </si>
  <si>
    <t>Problem / Opportunity</t>
  </si>
  <si>
    <t>Start (Actual)</t>
  </si>
  <si>
    <t>Finish (Actual)</t>
  </si>
  <si>
    <t>tbMDSyncMaster</t>
  </si>
  <si>
    <t>Sync Master</t>
  </si>
  <si>
    <t>Timebars owns this project. A2 pushes to OpenProject; B2 refuses.</t>
  </si>
  <si>
    <t>Which system owns this project. Changing it is a deliberate hand-over.</t>
  </si>
  <si>
    <t>OpenProject</t>
  </si>
  <si>
    <t>OpenProject owns this project. B2 pulls into Timebars; A2 refuses.</t>
  </si>
  <si>
    <t>Not synced yet, or deliberately parked. A1 and B1 accept it; A2 and B2 do not.</t>
  </si>
  <si>
    <t>customField325</t>
  </si>
  <si>
    <t>customField269</t>
  </si>
  <si>
    <t>customField186</t>
  </si>
  <si>
    <t>customField274</t>
  </si>
  <si>
    <t>customField188</t>
  </si>
  <si>
    <t>customField195</t>
  </si>
  <si>
    <t>customField282</t>
  </si>
  <si>
    <t>customField296</t>
  </si>
  <si>
    <t>customField301</t>
  </si>
  <si>
    <t>customField183</t>
  </si>
  <si>
    <t>customField340</t>
  </si>
  <si>
    <t>customField330</t>
  </si>
  <si>
    <t>customField329</t>
  </si>
  <si>
    <t>customField335</t>
  </si>
  <si>
    <t>customField338</t>
  </si>
  <si>
    <t>customField333</t>
  </si>
  <si>
    <t>customField339</t>
  </si>
  <si>
    <t>customField341</t>
  </si>
  <si>
    <t>customField331</t>
  </si>
  <si>
    <t>customField328</t>
  </si>
  <si>
    <t>customField326</t>
  </si>
  <si>
    <t>customField337</t>
  </si>
  <si>
    <t>customField332</t>
  </si>
  <si>
    <t>customField327</t>
  </si>
  <si>
    <t>customField334</t>
  </si>
  <si>
    <t>customField336</t>
  </si>
  <si>
    <t>Features Impacted: PPM Scoring, RIC, AI Create | Reason Locked: IMPACT_WEIGHTS 1-5 in riskScoring.js:28-34 - one half of tbMDScore = probability ÃƒÆ’Ã†â€™Ãƒâ€ Ã¢â‚¬â„¢ÃƒÆ’Ã¢â‚¬Â ÃƒÂ¢Ã¢â€šÂ¬Ã¢â€žÂ¢ÃƒÆ’Ã†â€™Ãƒâ€šÃ‚Â¢ÃƒÆ’Ã‚Â¢ÃƒÂ¢Ã¢â€šÂ¬Ã…Â¡Ãƒâ€šÃ‚Â¬ÃƒÆ’Ã‚Â¢ÃƒÂ¢Ã¢â‚¬Å¡Ã‚Â¬Ãƒâ€šÃ‚Â impact, the number behind the 5ÃƒÆ’Ã†â€™Ãƒâ€ Ã¢â‚¬â„¢ÃƒÆ’Ã¢â‚¬Â ÃƒÂ¢Ã¢â€šÂ¬Ã¢â€žÂ¢ÃƒÆ’Ã†â€™Ãƒâ€šÃ‚Â¢ÃƒÆ’Ã‚Â¢ÃƒÂ¢Ã¢â€šÂ¬Ã…Â¡Ãƒâ€šÃ‚Â¬ÃƒÆ’Ã‚Â¢ÃƒÂ¢Ã¢â‚¬Å¡Ã‚Â¬Ãƒâ€šÃ‚Â5 heat map, the risk band colours, and the "top 3 risks" average that PPM scoring folds into every project's final score (getTop3RisksAvgScore(), reportingFunctions.js:480). getImpactWeight() returns 0 for an unknown value, so a renamed impact scores the risk at 0 = Not Assessed and it drops out of the top-3 calculation. Note the deliberate comment there: weights are not derived from tbTagSortOrder. "Not Assessed" is additionally the value the AI risk generator writes (aiCreateWbs.js:211-212).</t>
  </si>
  <si>
    <t>Project Portfolio Balancing 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Å¡Ãƒâ€šÃ‚Â¢ÃƒÆ’Ã†â€™Ãƒâ€šÃ‚Â¢ÃƒÆ’Ã‚Â¢ÃƒÂ¢Ã¢â‚¬Å¡Ã‚Â¬Ãƒâ€¦Ã‚Â¡ÃƒÆ’Ã¢â‚¬Å¡Ãƒâ€šÃ‚Â¬ÃƒÆ’Ã†â€™ÃƒÂ¢Ã¢â€šÂ¬Ã‚Â¦ÃƒÆ’Ã‚Â¢ÃƒÂ¢Ã¢â‚¬Å¡Ã‚Â¬Ãƒâ€¦Ã¢â‚¬Å“ Product/System Focus</t>
  </si>
  <si>
    <t>Project Portfolio Balancing 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Å¡Ãƒâ€šÃ‚Â¢ÃƒÆ’Ã†â€™Ãƒâ€šÃ‚Â¢ÃƒÆ’Ã‚Â¢ÃƒÂ¢Ã¢â‚¬Å¡Ã‚Â¬Ãƒâ€¦Ã‚Â¡ÃƒÆ’Ã¢â‚¬Å¡Ãƒâ€šÃ‚Â¬ÃƒÆ’Ã†â€™ÃƒÂ¢Ã¢â€šÂ¬Ã‚Â¦ÃƒÆ’Ã‚Â¢ÃƒÂ¢Ã¢â‚¬Å¡Ã‚Â¬Ãƒâ€¦Ã¢â‚¬Å“ Capability Building</t>
  </si>
  <si>
    <t>Project Portfolio Balancing 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Å¡Ãƒâ€šÃ‚Â¢ÃƒÆ’Ã†â€™Ãƒâ€šÃ‚Â¢ÃƒÆ’Ã‚Â¢ÃƒÂ¢Ã¢â‚¬Å¡Ã‚Â¬Ãƒâ€¦Ã‚Â¡ÃƒÆ’Ã¢â‚¬Å¡Ãƒâ€šÃ‚Â¬ÃƒÆ’Ã†â€™ÃƒÂ¢Ã¢â€šÂ¬Ã‚Â¦ÃƒÆ’Ã‚Â¢ÃƒÂ¢Ã¢â‚¬Å¡Ã‚Â¬Ãƒâ€¦Ã¢â‚¬Å“ Business Impact</t>
  </si>
  <si>
    <t>Project Portfolio Balancing 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Å¡Ãƒâ€šÃ‚Â¢ÃƒÆ’Ã†â€™Ãƒâ€šÃ‚Â¢ÃƒÆ’Ã‚Â¢ÃƒÂ¢Ã¢â‚¬Å¡Ã‚Â¬Ãƒâ€¦Ã‚Â¡ÃƒÆ’Ã¢â‚¬Å¡Ãƒâ€šÃ‚Â¬ÃƒÆ’Ã†â€™ÃƒÂ¢Ã¢â€šÂ¬Ã‚Â¦ÃƒÆ’Ã‚Â¢ÃƒÂ¢Ã¢â‚¬Å¡Ã‚Â¬Ãƒâ€¦Ã¢â‚¬Å“ Specific Business Goals</t>
  </si>
  <si>
    <t>Features Impacted: PPM Scoring, PF Detail, PAS | Reason Locked: riskScores in calculateRiskComplexityScore() maps the bands to 95ÃƒÆ’Ã†â€™Ãƒâ€ Ã¢â‚¬â„¢ÃƒÆ’Ã¢â‚¬Å¡Ãƒâ€šÃ‚Â¢ÃƒÆ’Ã†â€™Ãƒâ€šÃ‚Â¢ÃƒÆ’Ã‚Â¢ÃƒÂ¢Ã¢â‚¬Å¡Ã‚Â¬Ãƒâ€¦Ã‚Â¡ÃƒÆ’Ã¢â‚¬Å¡Ãƒâ€šÃ‚Â¬ÃƒÆ’Ã†â€™ÃƒÂ¢Ã¢â€šÂ¬Ã…Â¡ÃƒÆ’Ã¢â‚¬Å¡Ãƒâ€šÃ‚Â¦5 (reportingFunctions.js:551-560), and "Not Assessed" trips the MISSING DATA warning in both the in-flight and new-project scorers (ppmPrioritizeAndScore.js:183,379). calculateRiskComplexityScore is imported by the Portfolio Detail report too (tbComprehensivePortfolioReport.js:33). And the band text is not only read but written: getCentralScoreText() on the Project Assessment form (tbProjectAssessment.js:941) puts one of these exact strings into the field, so the two vocabularies must agree in both directions.</t>
  </si>
  <si>
    <t>tbTags</t>
  </si>
  <si>
    <t>Which system owns this project: Timebars, OpenProject or None. A2 and B2 refuse to run against the project the other way round.</t>
  </si>
  <si>
    <t>tbMDOpUpdatedAt</t>
  </si>
  <si>
    <t>OP Updated At</t>
  </si>
  <si>
    <t>OpenProject updatedAt for this row as at the last successful sync. Detects that OpenProject moved since the two sides last agreed.</t>
  </si>
  <si>
    <t>OP ID</t>
  </si>
  <si>
    <t>Jimecox</t>
  </si>
  <si>
    <t>apOpUrl</t>
  </si>
  <si>
    <t>OpenProject URL</t>
  </si>
  <si>
    <t>The OpenProject instance every sync talks to. Set on the OpenProject tab of the Publishing page; overrides the build-time OP_URL.</t>
  </si>
  <si>
    <t>IT</t>
  </si>
  <si>
    <t>Ext OP ID</t>
  </si>
  <si>
    <t>Ext OP Link</t>
  </si>
  <si>
    <t>customField345</t>
  </si>
  <si>
    <t>customField344</t>
  </si>
  <si>
    <t>customField343</t>
  </si>
  <si>
    <t>customField347</t>
  </si>
  <si>
    <t>customField346</t>
  </si>
  <si>
    <t>customField246</t>
  </si>
  <si>
    <t>customField352</t>
  </si>
  <si>
    <t>customField350</t>
  </si>
  <si>
    <t>customField353</t>
  </si>
  <si>
    <t>customField351</t>
  </si>
  <si>
    <t>customField265</t>
  </si>
  <si>
    <t>customField342</t>
  </si>
  <si>
    <t>These fields use res pool and OP User Table</t>
  </si>
  <si>
    <t>customField354</t>
  </si>
  <si>
    <t>customField355</t>
  </si>
  <si>
    <t>User</t>
  </si>
  <si>
    <t>[]CustomOption</t>
  </si>
  <si>
    <t>customField284</t>
  </si>
  <si>
    <t>customField285</t>
  </si>
  <si>
    <t>Identify who is requesting the item</t>
  </si>
  <si>
    <t>customField357</t>
  </si>
  <si>
    <t>customField359</t>
  </si>
  <si>
    <t>customField360</t>
  </si>
  <si>
    <t>customField361</t>
  </si>
  <si>
    <t>customField367</t>
  </si>
  <si>
    <t>customField358</t>
  </si>
  <si>
    <t>customField362</t>
  </si>
  <si>
    <t>customField368</t>
  </si>
  <si>
    <t>customField370</t>
  </si>
  <si>
    <t>customField371</t>
  </si>
  <si>
    <t>customField372</t>
  </si>
  <si>
    <t>customField373</t>
  </si>
  <si>
    <t>customField363</t>
  </si>
  <si>
    <t>customField369</t>
  </si>
  <si>
    <t>customField374</t>
  </si>
  <si>
    <t>customField375</t>
  </si>
  <si>
    <t>customField364</t>
  </si>
  <si>
    <t>customField376</t>
  </si>
  <si>
    <t>customField377</t>
  </si>
  <si>
    <t>customField366</t>
  </si>
  <si>
    <t>customField378</t>
  </si>
  <si>
    <t>customField379</t>
  </si>
  <si>
    <t>01.02.01.00.00</t>
  </si>
  <si>
    <t>01.03.01.00.00</t>
  </si>
  <si>
    <t>01.03.02.00.00</t>
  </si>
  <si>
    <t>Enabling an employee experience that is simple, relevant and caring.</t>
  </si>
  <si>
    <t>tbMDSponsor</t>
  </si>
  <si>
    <t>blSubType</t>
  </si>
  <si>
    <t>blPredecessor</t>
  </si>
  <si>
    <t>blCustomerID</t>
  </si>
  <si>
    <t>blExpHoursPerWeek</t>
  </si>
  <si>
    <t>blCostID</t>
  </si>
  <si>
    <t>blCoordTop</t>
  </si>
  <si>
    <t>blCoordLeft</t>
  </si>
  <si>
    <t>blPhase</t>
  </si>
  <si>
    <t>blConstraintType</t>
  </si>
  <si>
    <t>blConstraintDate</t>
  </si>
  <si>
    <t>blFloat</t>
  </si>
  <si>
    <t>blFreeFloat</t>
  </si>
  <si>
    <t>blnvasNo</t>
  </si>
  <si>
    <t>blT1</t>
  </si>
  <si>
    <t>blT2</t>
  </si>
  <si>
    <t>blStep</t>
  </si>
  <si>
    <t>blStepStatus</t>
  </si>
  <si>
    <t>blWfReasonNote</t>
  </si>
  <si>
    <t>blStage</t>
  </si>
  <si>
    <t>blStatus</t>
  </si>
  <si>
    <t>blState</t>
  </si>
  <si>
    <t>blPriority</t>
  </si>
  <si>
    <t>blBudgetCost</t>
  </si>
  <si>
    <t>blBudgetHours</t>
  </si>
  <si>
    <t>01.02.01.01.00</t>
  </si>
  <si>
    <t>01.03.01.01.00</t>
  </si>
  <si>
    <t>A019</t>
  </si>
  <si>
    <t>A012</t>
  </si>
  <si>
    <t>A029</t>
  </si>
  <si>
    <t>Class C</t>
  </si>
  <si>
    <t>This is my Brief Description</t>
  </si>
  <si>
    <t>Class A</t>
  </si>
  <si>
    <t>Weekly</t>
  </si>
  <si>
    <t>jcox@timebars.com</t>
  </si>
  <si>
    <t>showIntro</t>
  </si>
  <si>
    <t>TB</t>
  </si>
  <si>
    <t>TBT02</t>
  </si>
  <si>
    <t>A004</t>
  </si>
  <si>
    <t>Step</t>
  </si>
  <si>
    <t>Technology Upgrades</t>
  </si>
  <si>
    <t>AWS Architecture Proposal</t>
  </si>
  <si>
    <t>B031</t>
  </si>
  <si>
    <t>Chat Platform Upgrade</t>
  </si>
  <si>
    <t>My New Issue</t>
  </si>
  <si>
    <t>My New Task</t>
  </si>
  <si>
    <t>Upgrades Finished</t>
  </si>
  <si>
    <t>B013</t>
  </si>
  <si>
    <t>Replace Windows with Linux Mint</t>
  </si>
  <si>
    <t>B036</t>
  </si>
  <si>
    <t>Prepare and Test Linux Build</t>
  </si>
  <si>
    <t>Establish Build Process</t>
  </si>
  <si>
    <t>B021</t>
  </si>
  <si>
    <t>Linux Mint Training guide and rollout plan</t>
  </si>
  <si>
    <t>01.02.02.00.00</t>
  </si>
  <si>
    <t>Build Training Guide</t>
  </si>
  <si>
    <t>01.02.02.01.00</t>
  </si>
  <si>
    <t>B007</t>
  </si>
  <si>
    <t>Cloud Document Storage</t>
  </si>
  <si>
    <t>B029</t>
  </si>
  <si>
    <t>Determine DM vendor solution</t>
  </si>
  <si>
    <t>Determine the design and approach.</t>
  </si>
  <si>
    <t>B023</t>
  </si>
  <si>
    <t>Document Management Trial small team</t>
  </si>
  <si>
    <t>01.03.02.01.00</t>
  </si>
  <si>
    <t>Project Complete</t>
  </si>
  <si>
    <t>01.02.03.00.00</t>
  </si>
  <si>
    <t>Implement Pilot Architecture in AWS</t>
  </si>
  <si>
    <t>Security and viability assessment</t>
  </si>
  <si>
    <t>Risk - Security assessment could take months</t>
  </si>
  <si>
    <t>01.01.01.04.00</t>
  </si>
  <si>
    <t>Hand over build process for independent testing</t>
  </si>
  <si>
    <t>01.02.01.02.00</t>
  </si>
  <si>
    <t>Issue - Architect awaiting cloud account from procurement.</t>
  </si>
  <si>
    <t>01.01.01.05.00</t>
  </si>
  <si>
    <t>CR-01 Added Scope per RFC-001</t>
  </si>
  <si>
    <t>Projects and initiatives related to planning, development and implementation of modernizing the IT Network, Hardware, Software use by NWI Employees</t>
  </si>
  <si>
    <t>x</t>
  </si>
  <si>
    <t>Core Products</t>
  </si>
  <si>
    <t>PM Notes</t>
  </si>
  <si>
    <t>Marsha Sp</t>
  </si>
  <si>
    <t>1001K Plus</t>
  </si>
  <si>
    <t>Mike Ba</t>
  </si>
  <si>
    <t>My exec summary</t>
  </si>
  <si>
    <t>Joe Who</t>
  </si>
  <si>
    <t>1002K Plus</t>
  </si>
  <si>
    <t>1003K Plus</t>
  </si>
  <si>
    <t>This is the description about the project:Private Cloud Phase 1</t>
  </si>
  <si>
    <t>1005K Plus</t>
  </si>
  <si>
    <t>This is executive summary about:Private Cloud Phase 1</t>
  </si>
  <si>
    <t>1006K Plus</t>
  </si>
  <si>
    <t>This is the description about the project:Document Management Trial small team</t>
  </si>
  <si>
    <t>1008K Plus</t>
  </si>
  <si>
    <t>Joe Ba</t>
  </si>
  <si>
    <t>This is executive summary about:Document Management Trial small team</t>
  </si>
  <si>
    <t>1009K Plus</t>
  </si>
  <si>
    <t>1010K Plus</t>
  </si>
  <si>
    <t>tm1x</t>
  </si>
  <si>
    <t>01.02.01.03.00</t>
  </si>
  <si>
    <t>Auto Created tbID:91, Matching tbName: John Test, Optional tbResName Gina Palette</t>
  </si>
  <si>
    <t>Auto Created tbID:92, Matching tbName: John Test, Optional tbResName Rich Delment</t>
  </si>
  <si>
    <t>Auto Created tbID:93, Matching tbName: John Test, Optional tbResName Joe Invent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</si>
</sst>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1009]General"/>
    <numFmt numFmtId="166" formatCode="dd\-mmm\-yyyy"/>
  </numFmts>
  <fonts count="67">
    <font>
      <sz val="11"/>
      <color rgb="FF000000"/>
      <name val="Calibri"/>
      <family val="2"/>
      <charset val="1"/>
    </font>
    <font>
      <sz val="10"/>
      <name val="Calibri"/>
      <family val="2"/>
      <charset val="1"/>
    </font>
    <font>
      <b/>
      <sz val="11"/>
      <color rgb="FFFFFFFF"/>
      <name val="Calibri"/>
      <family val="2"/>
      <charset val="1"/>
    </font>
    <font>
      <b/>
      <sz val="11"/>
      <color rgb="FF666666"/>
      <name val="Calibri"/>
      <family val="2"/>
      <charset val="1"/>
    </font>
    <font>
      <b/>
      <sz val="15"/>
      <color rgb="FF44546A"/>
      <name val="Calibri"/>
      <family val="2"/>
      <charset val="1"/>
    </font>
    <font>
      <sz val="11"/>
      <color rgb="FF000000"/>
      <name val="Calibri"/>
      <family val="2"/>
      <charset val="1"/>
    </font>
    <font>
      <sz val="11"/>
      <color rgb="FF000000"/>
      <name val="Calibri1"/>
      <family val="2"/>
    </font>
    <font>
      <sz val="11"/>
      <color rgb="FFDDDDDD"/>
      <name val="Calibri1"/>
      <family val="2"/>
    </font>
    <font>
      <b/>
      <sz val="11"/>
      <color rgb="FF000000"/>
      <name val="Calibri1"/>
      <family val="2"/>
    </font>
    <font>
      <sz val="10"/>
      <color rgb="FFDDDDDD"/>
      <name val="Arial"/>
      <family val="2"/>
    </font>
    <font>
      <b/>
      <sz val="15"/>
      <color rgb="FF44546A"/>
      <name val="Calibri1"/>
      <family val="2"/>
    </font>
    <font>
      <b/>
      <sz val="11"/>
      <color rgb="FF000000"/>
      <name val="Calibri1"/>
    </font>
    <font>
      <sz val="11"/>
      <color rgb="FFEEEEEE"/>
      <name val="Calibri"/>
      <family val="2"/>
    </font>
    <font>
      <sz val="11"/>
      <color rgb="FF000000"/>
      <name val="Calibri"/>
      <family val="2"/>
    </font>
    <font>
      <sz val="11"/>
      <color theme="0" tint="-0.14999847407452621"/>
      <name val="Calibri1"/>
    </font>
    <font>
      <b/>
      <sz val="14"/>
      <color rgb="FF000000"/>
      <name val="Arial"/>
      <family val="2"/>
    </font>
    <font>
      <b/>
      <sz val="11"/>
      <color rgb="FF000000"/>
      <name val="Calibri"/>
      <family val="2"/>
    </font>
    <font>
      <sz val="10"/>
      <color rgb="FFDDDDDD"/>
      <name val="Liberation Sans"/>
    </font>
    <font>
      <sz val="8"/>
      <color theme="1"/>
      <name val="Liberation Sans"/>
    </font>
    <font>
      <sz val="11"/>
      <color rgb="FFDDDDDD"/>
      <name val="Calibri"/>
      <family val="2"/>
    </font>
    <font>
      <b/>
      <sz val="9"/>
      <color rgb="FFFFFFFF"/>
      <name val="Calibri"/>
      <family val="2"/>
    </font>
    <font>
      <b/>
      <sz val="18"/>
      <color theme="1"/>
      <name val="Arial"/>
      <family val="2"/>
    </font>
    <font>
      <sz val="10"/>
      <color theme="1"/>
      <name val="Arial"/>
      <family val="2"/>
    </font>
    <font>
      <b/>
      <sz val="10"/>
      <color theme="1"/>
      <name val="Liberation Sans"/>
    </font>
    <font>
      <sz val="10"/>
      <color theme="1"/>
      <name val="Liberation Sans"/>
    </font>
    <font>
      <b/>
      <sz val="16"/>
      <color rgb="FF000000"/>
      <name val="Calibri"/>
      <family val="2"/>
    </font>
    <font>
      <sz val="11"/>
      <color rgb="FFFFFFFF"/>
      <name val="Calibri"/>
      <family val="2"/>
    </font>
    <font>
      <b/>
      <sz val="11"/>
      <color rgb="FFFFFFFF"/>
      <name val="Calibri"/>
      <family val="2"/>
    </font>
    <font>
      <b/>
      <sz val="16"/>
      <color rgb="FF000000"/>
      <name val="Calibri"/>
      <family val="2"/>
      <scheme val="minor"/>
    </font>
    <font>
      <b/>
      <sz val="10"/>
      <color rgb="FF000000"/>
      <name val="Liberation Sans"/>
    </font>
    <font>
      <sz val="10"/>
      <color rgb="FFFFFFFF"/>
      <name val="Liberation Sans"/>
    </font>
    <font>
      <sz val="10"/>
      <color rgb="FFCC0000"/>
      <name val="Liberation Sans"/>
    </font>
    <font>
      <sz val="10"/>
      <color rgb="FF9C0006"/>
      <name val="Calibri"/>
      <family val="2"/>
    </font>
    <font>
      <b/>
      <sz val="10"/>
      <color rgb="FFFFFFFF"/>
      <name val="Liberation Sans"/>
    </font>
    <font>
      <b/>
      <sz val="13"/>
      <color rgb="FF44546A"/>
      <name val="Calibri1"/>
      <family val="2"/>
    </font>
    <font>
      <i/>
      <sz val="10"/>
      <color rgb="FF808080"/>
      <name val="Liberation Sans"/>
    </font>
    <font>
      <sz val="10"/>
      <color rgb="FF006600"/>
      <name val="Liberation Sans"/>
    </font>
    <font>
      <b/>
      <sz val="24"/>
      <color rgb="FF000000"/>
      <name val="Liberation Sans"/>
    </font>
    <font>
      <sz val="18"/>
      <color rgb="FF000000"/>
      <name val="Liberation Sans"/>
    </font>
    <font>
      <sz val="12"/>
      <color rgb="FF000000"/>
      <name val="Liberation Sans"/>
    </font>
    <font>
      <u/>
      <sz val="10"/>
      <color rgb="FF0000EE"/>
      <name val="Liberation Sans"/>
    </font>
    <font>
      <sz val="10"/>
      <color rgb="FF996600"/>
      <name val="Liberation Sans"/>
    </font>
    <font>
      <sz val="10"/>
      <color rgb="FF333333"/>
      <name val="Liberation Sans"/>
    </font>
    <font>
      <b/>
      <i/>
      <u/>
      <sz val="10"/>
      <color rgb="FF000000"/>
      <name val="Liberation Sans"/>
    </font>
    <font>
      <b/>
      <sz val="14"/>
      <color rgb="FF000000"/>
      <name val="Calibri1"/>
    </font>
    <font>
      <sz val="8"/>
      <name val="Calibri"/>
      <family val="2"/>
      <charset val="1"/>
    </font>
    <font>
      <b/>
      <sz val="15"/>
      <color rgb="FF44546A"/>
      <name val="Calibri"/>
      <family val="2"/>
    </font>
    <font>
      <b/>
      <sz val="13"/>
      <color rgb="FF44546A"/>
      <name val="Calibri"/>
      <family val="2"/>
    </font>
    <font>
      <b/>
      <sz val="18"/>
      <color theme="1"/>
      <name val="Liberation Sans"/>
    </font>
    <font>
      <b/>
      <sz val="7"/>
      <color rgb="FFFFFFFF"/>
      <name val="Calibri"/>
      <family val="2"/>
    </font>
    <font>
      <b/>
      <sz val="18"/>
      <color rgb="FF000000"/>
      <name val="Calibri"/>
      <family val="2"/>
    </font>
    <font>
      <b/>
      <sz val="16"/>
      <color theme="1"/>
      <name val="Liberation Sans"/>
    </font>
    <font>
      <b/>
      <sz val="12"/>
      <color theme="1"/>
      <name val="Arial"/>
      <family val="2"/>
    </font>
    <font>
      <sz val="10"/>
      <color rgb="FFDDDDDD"/>
      <name val="Liberation Serif"/>
    </font>
    <font>
      <sz val="8"/>
      <color rgb="FF000000"/>
      <name val="Calibri"/>
      <family val="2"/>
      <charset val="1"/>
    </font>
    <font>
      <b/>
      <sz val="11"/>
      <color theme="0"/>
      <name val="Calibri"/>
      <family val="2"/>
    </font>
    <font>
      <sz val="9"/>
      <color theme="1"/>
      <name val="Arial"/>
      <family val="2"/>
    </font>
    <font>
      <b/>
      <sz val="12"/>
      <color rgb="FF000000"/>
      <name val="Calibri"/>
      <family val="2"/>
    </font>
    <font>
      <b/>
      <sz val="9"/>
      <color theme="1"/>
      <name val="Arial"/>
      <family val="2"/>
    </font>
    <font>
      <sz val="11"/>
      <color rgb="FFFFFFFF"/>
      <name val="Calibri"/>
      <family val="2"/>
      <charset val="1"/>
    </font>
    <font>
      <b/>
      <sz val="11"/>
      <color rgb="FFFF0000"/>
      <name val="Calibri"/>
      <family val="2"/>
    </font>
    <font>
      <b/>
      <sz val="14"/>
      <color rgb="FF44546A"/>
      <name val="Calibri1"/>
      <family val="2"/>
    </font>
    <font>
      <b/>
      <sz val="16"/>
      <color theme="1"/>
      <name val="Arial"/>
      <family val="2"/>
    </font>
    <font>
      <sz val="12"/>
      <color rgb="FF000000"/>
      <name val="Calibri"/>
      <family val="2"/>
    </font>
    <font>
      <sz val="11"/>
      <color rgb="FF000000"/>
      <name val="Calibri1"/>
    </font>
    <font>
      <sz val="12"/>
      <color rgb="FF002060"/>
      <name val="Calibri"/>
      <family val="2"/>
    </font>
    <font>
      <b/>
      <sz val="11"/>
      <color rgb="FFFF0000"/>
      <name val="Calibri1"/>
    </font>
  </fonts>
  <fills count="29">
    <fill>
      <patternFill patternType="none"/>
    </fill>
    <fill>
      <patternFill patternType="gray125"/>
    </fill>
    <fill>
      <patternFill patternType="solid">
        <fgColor rgb="FF00B0F0"/>
        <bgColor rgb="FF008080"/>
      </patternFill>
    </fill>
    <fill>
      <patternFill patternType="solid">
        <fgColor rgb="FF4472C4"/>
        <bgColor rgb="FF4F81BD"/>
      </patternFill>
    </fill>
    <fill>
      <patternFill patternType="solid">
        <fgColor rgb="FFB4C7DC"/>
        <bgColor rgb="FF95B3D7"/>
      </patternFill>
    </fill>
    <fill>
      <patternFill patternType="solid">
        <fgColor rgb="FFB4C7DC"/>
        <bgColor rgb="FFB4C7DC"/>
      </patternFill>
    </fill>
    <fill>
      <patternFill patternType="solid">
        <fgColor rgb="FF4F81BD"/>
        <bgColor rgb="FF558ED5"/>
      </patternFill>
    </fill>
    <fill>
      <patternFill patternType="solid">
        <fgColor rgb="FFEEEEEE"/>
        <bgColor rgb="FFEEEEEE"/>
      </patternFill>
    </fill>
    <fill>
      <patternFill patternType="solid">
        <fgColor rgb="FFB4C7DC"/>
        <bgColor rgb="FFDDDDDD"/>
      </patternFill>
    </fill>
    <fill>
      <patternFill patternType="solid">
        <fgColor rgb="FF4472C4"/>
        <bgColor rgb="FF4472C4"/>
      </patternFill>
    </fill>
    <fill>
      <patternFill patternType="solid">
        <fgColor rgb="FFEEEEEE"/>
        <bgColor rgb="FFF2F2F2"/>
      </patternFill>
    </fill>
    <fill>
      <patternFill patternType="solid">
        <fgColor rgb="FF4472C4"/>
        <bgColor rgb="FF5B9BD5"/>
      </patternFill>
    </fill>
    <fill>
      <patternFill patternType="solid">
        <fgColor rgb="FF00A933"/>
        <bgColor rgb="FF00B050"/>
      </patternFill>
    </fill>
    <fill>
      <patternFill patternType="solid">
        <fgColor rgb="FF0080FF"/>
        <bgColor rgb="FF0066B3"/>
      </patternFill>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FFC7CE"/>
        <bgColor rgb="FFFFC7CE"/>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theme="9" tint="0.79998168889431442"/>
        <bgColor indexed="64"/>
      </patternFill>
    </fill>
    <fill>
      <patternFill patternType="solid">
        <fgColor rgb="FFFFFFFF"/>
        <bgColor rgb="FFFFFFFF"/>
      </patternFill>
    </fill>
    <fill>
      <patternFill patternType="solid">
        <fgColor theme="8"/>
        <bgColor indexed="64"/>
      </patternFill>
    </fill>
    <fill>
      <patternFill patternType="solid">
        <fgColor rgb="FF404040"/>
        <bgColor indexed="64"/>
      </patternFill>
    </fill>
    <fill>
      <patternFill patternType="solid">
        <fgColor rgb="FF00A933"/>
        <bgColor indexed="64"/>
      </patternFill>
    </fill>
    <fill>
      <patternFill patternType="solid">
        <fgColor rgb="FFFFFF00"/>
        <bgColor indexed="64"/>
      </patternFill>
    </fill>
    <fill>
      <patternFill patternType="solid">
        <fgColor rgb="FFFF9300"/>
        <bgColor indexed="64"/>
      </patternFill>
    </fill>
  </fills>
  <borders count="11">
    <border>
      <left/>
      <right/>
      <top/>
      <bottom/>
      <diagonal/>
    </border>
    <border>
      <left/>
      <right/>
      <top/>
      <bottom style="thick">
        <color rgb="FF5B9BD5"/>
      </bottom>
      <diagonal/>
    </border>
    <border>
      <left style="thin">
        <color rgb="FF8FAADC"/>
      </left>
      <right/>
      <top/>
      <bottom style="thin">
        <color rgb="FF8FAADC"/>
      </bottom>
      <diagonal/>
    </border>
    <border>
      <left/>
      <right/>
      <top/>
      <bottom style="thin">
        <color rgb="FF8EA9DB"/>
      </bottom>
      <diagonal/>
    </border>
    <border>
      <left/>
      <right style="thin">
        <color rgb="FFA6A6A6"/>
      </right>
      <top/>
      <bottom/>
      <diagonal/>
    </border>
    <border>
      <left style="thin">
        <color rgb="FF000000"/>
      </left>
      <right style="thin">
        <color rgb="FF000000"/>
      </right>
      <top style="thin">
        <color rgb="FF000000"/>
      </top>
      <bottom style="thin">
        <color rgb="FF000000"/>
      </bottom>
      <diagonal/>
    </border>
    <border>
      <left/>
      <right/>
      <top/>
      <bottom style="medium">
        <color rgb="FF5B9BD5"/>
      </bottom>
      <diagonal/>
    </border>
    <border>
      <left/>
      <right/>
      <top style="thin">
        <color rgb="FF95B3D7"/>
      </top>
      <bottom style="thin">
        <color rgb="FF95B3D7"/>
      </bottom>
      <diagonal/>
    </border>
    <border>
      <left style="hair">
        <color auto="1"/>
      </left>
      <right style="hair">
        <color auto="1"/>
      </right>
      <top style="hair">
        <color auto="1"/>
      </top>
      <bottom style="hair">
        <color auto="1"/>
      </bottom>
      <diagonal/>
    </border>
    <border>
      <left/>
      <right/>
      <top/>
      <bottom style="medium">
        <color rgb="FFADCDEA"/>
      </bottom>
      <diagonal/>
    </border>
    <border>
      <left style="thin">
        <color rgb="FF808080"/>
      </left>
      <right style="thin">
        <color rgb="FF808080"/>
      </right>
      <top style="thin">
        <color rgb="FF808080"/>
      </top>
      <bottom style="thin">
        <color rgb="FF808080"/>
      </bottom>
      <diagonal/>
    </border>
  </borders>
  <cellStyleXfs count="44">
    <xf numFmtId="0" fontId="0" fillId="0" borderId="0"/>
    <xf numFmtId="0" fontId="5" fillId="0" borderId="0"/>
    <xf numFmtId="0" fontId="5" fillId="0" borderId="0"/>
    <xf numFmtId="0" fontId="4" fillId="0" borderId="1" applyProtection="0"/>
    <xf numFmtId="0" fontId="6" fillId="0" borderId="0"/>
    <xf numFmtId="0" fontId="8" fillId="5" borderId="5">
      <alignment horizontal="center" vertical="center" wrapText="1"/>
    </xf>
    <xf numFmtId="0" fontId="10" fillId="0" borderId="6"/>
    <xf numFmtId="0" fontId="6" fillId="0" borderId="0"/>
    <xf numFmtId="0" fontId="13" fillId="0" borderId="0"/>
    <xf numFmtId="0" fontId="13" fillId="8" borderId="8" applyProtection="0">
      <alignment horizontal="center" vertical="center" wrapText="1"/>
    </xf>
    <xf numFmtId="0" fontId="13" fillId="0" borderId="0"/>
    <xf numFmtId="0" fontId="13" fillId="0" borderId="0"/>
    <xf numFmtId="0" fontId="24" fillId="0" borderId="0"/>
    <xf numFmtId="0" fontId="38" fillId="0" borderId="0"/>
    <xf numFmtId="0" fontId="39" fillId="0" borderId="0"/>
    <xf numFmtId="0" fontId="36" fillId="20" borderId="0"/>
    <xf numFmtId="0" fontId="31" fillId="17" borderId="0"/>
    <xf numFmtId="0" fontId="41" fillId="21" borderId="0"/>
    <xf numFmtId="0" fontId="42" fillId="21" borderId="10"/>
    <xf numFmtId="0" fontId="29" fillId="0" borderId="0"/>
    <xf numFmtId="0" fontId="30" fillId="14" borderId="0"/>
    <xf numFmtId="0" fontId="30" fillId="15" borderId="0"/>
    <xf numFmtId="0" fontId="29" fillId="16" borderId="0"/>
    <xf numFmtId="0" fontId="32" fillId="18" borderId="0"/>
    <xf numFmtId="0" fontId="6" fillId="0" borderId="0" applyNumberFormat="0" applyFill="0" applyBorder="0" applyProtection="0"/>
    <xf numFmtId="0" fontId="33" fillId="19" borderId="0"/>
    <xf numFmtId="0" fontId="34" fillId="0" borderId="9"/>
    <xf numFmtId="165" fontId="6" fillId="0" borderId="0"/>
    <xf numFmtId="165" fontId="6" fillId="0" borderId="0"/>
    <xf numFmtId="0" fontId="35" fillId="0" borderId="0"/>
    <xf numFmtId="0" fontId="37" fillId="0" borderId="0"/>
    <xf numFmtId="0" fontId="40" fillId="0" borderId="0"/>
    <xf numFmtId="0" fontId="6" fillId="0" borderId="0"/>
    <xf numFmtId="0" fontId="43" fillId="0" borderId="0"/>
    <xf numFmtId="0" fontId="24" fillId="0" borderId="0"/>
    <xf numFmtId="0" fontId="23" fillId="5" borderId="5">
      <alignment horizontal="center" vertical="center" wrapText="1"/>
    </xf>
    <xf numFmtId="0" fontId="24" fillId="0" borderId="0"/>
    <xf numFmtId="0" fontId="31" fillId="0" borderId="0"/>
    <xf numFmtId="0" fontId="13" fillId="0" borderId="0" applyNumberFormat="0" applyFill="0" applyBorder="0" applyProtection="0"/>
    <xf numFmtId="0" fontId="46" fillId="0" borderId="6"/>
    <xf numFmtId="0" fontId="47" fillId="0" borderId="9"/>
    <xf numFmtId="165" fontId="13" fillId="0" borderId="0"/>
    <xf numFmtId="165" fontId="13" fillId="0" borderId="0"/>
    <xf numFmtId="0" fontId="13" fillId="0" borderId="0"/>
  </cellStyleXfs>
  <cellXfs count="179">
    <xf numFmtId="0" fontId="0" fillId="0" borderId="0" xfId="0"/>
    <xf numFmtId="0" fontId="0" fillId="0" borderId="0" xfId="0" applyAlignment="1">
      <alignment horizontal="center"/>
    </xf>
    <xf numFmtId="164" fontId="0" fillId="0" borderId="0" xfId="0" applyNumberFormat="1" applyAlignment="1">
      <alignment horizontal="center"/>
    </xf>
    <xf numFmtId="164" fontId="0" fillId="0" borderId="0" xfId="0" applyNumberFormat="1" applyAlignment="1">
      <alignment horizontal="right"/>
    </xf>
    <xf numFmtId="0" fontId="2" fillId="3" borderId="2" xfId="2" applyFont="1" applyFill="1" applyBorder="1" applyAlignment="1">
      <alignment horizontal="center" vertical="center"/>
    </xf>
    <xf numFmtId="0" fontId="2" fillId="3" borderId="2" xfId="0" applyFont="1" applyFill="1" applyBorder="1" applyAlignment="1">
      <alignment horizontal="center" vertical="center" wrapText="1"/>
    </xf>
    <xf numFmtId="164" fontId="2" fillId="3" borderId="2"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6" fillId="0" borderId="0" xfId="4"/>
    <xf numFmtId="0" fontId="6" fillId="0" borderId="0" xfId="4" applyAlignment="1">
      <alignment horizontal="left" vertical="center"/>
    </xf>
    <xf numFmtId="0" fontId="6" fillId="0" borderId="0" xfId="4" applyAlignment="1">
      <alignment horizontal="left" vertical="center" wrapText="1"/>
    </xf>
    <xf numFmtId="0" fontId="7" fillId="0" borderId="0" xfId="4" applyFont="1" applyAlignment="1">
      <alignment horizontal="left" vertical="top"/>
    </xf>
    <xf numFmtId="0" fontId="7" fillId="0" borderId="0" xfId="4" applyFont="1" applyAlignment="1">
      <alignment horizontal="center" vertical="top"/>
    </xf>
    <xf numFmtId="0" fontId="6" fillId="0" borderId="0" xfId="4" applyAlignment="1">
      <alignment horizontal="left" vertical="top"/>
    </xf>
    <xf numFmtId="0" fontId="6" fillId="0" borderId="0" xfId="4" applyAlignment="1">
      <alignment horizontal="center" vertical="center"/>
    </xf>
    <xf numFmtId="0" fontId="6" fillId="0" borderId="0" xfId="4" applyAlignment="1">
      <alignment horizontal="center" vertical="top"/>
    </xf>
    <xf numFmtId="14" fontId="6" fillId="0" borderId="0" xfId="4" applyNumberFormat="1"/>
    <xf numFmtId="0" fontId="2" fillId="6" borderId="7" xfId="0" applyFont="1" applyFill="1" applyBorder="1" applyAlignment="1">
      <alignment horizontal="center" vertical="center" wrapText="1"/>
    </xf>
    <xf numFmtId="0" fontId="14" fillId="0" borderId="0" xfId="4" applyFont="1"/>
    <xf numFmtId="0" fontId="15" fillId="0" borderId="0" xfId="4" applyFont="1" applyAlignment="1">
      <alignment horizontal="left" vertical="center"/>
    </xf>
    <xf numFmtId="2" fontId="17" fillId="0" borderId="0" xfId="0" applyNumberFormat="1" applyFont="1" applyAlignment="1">
      <alignment horizontal="left"/>
    </xf>
    <xf numFmtId="0" fontId="17" fillId="0" borderId="0" xfId="0" applyFont="1" applyAlignment="1">
      <alignment horizontal="left"/>
    </xf>
    <xf numFmtId="2" fontId="18" fillId="7" borderId="0" xfId="0" applyNumberFormat="1" applyFont="1" applyFill="1" applyAlignment="1">
      <alignment horizontal="left"/>
    </xf>
    <xf numFmtId="2" fontId="0" fillId="0" borderId="0" xfId="0" applyNumberFormat="1" applyAlignment="1">
      <alignment horizontal="left"/>
    </xf>
    <xf numFmtId="0" fontId="0" fillId="0" borderId="0" xfId="0" applyAlignment="1">
      <alignment horizontal="left"/>
    </xf>
    <xf numFmtId="0" fontId="13" fillId="0" borderId="0" xfId="8"/>
    <xf numFmtId="0" fontId="13" fillId="10" borderId="0" xfId="11" applyFill="1"/>
    <xf numFmtId="49" fontId="13" fillId="7" borderId="0" xfId="11" applyNumberFormat="1" applyFill="1"/>
    <xf numFmtId="0" fontId="13" fillId="7" borderId="0" xfId="11" applyFill="1"/>
    <xf numFmtId="0" fontId="12" fillId="0" borderId="4" xfId="11" applyFont="1" applyBorder="1" applyAlignment="1">
      <alignment vertical="center" wrapText="1"/>
    </xf>
    <xf numFmtId="0" fontId="13" fillId="0" borderId="0" xfId="11"/>
    <xf numFmtId="0" fontId="13" fillId="0" borderId="0" xfId="11" applyAlignment="1">
      <alignment horizontal="center"/>
    </xf>
    <xf numFmtId="0" fontId="13" fillId="0" borderId="0" xfId="11" applyAlignment="1">
      <alignment horizontal="center" wrapText="1"/>
    </xf>
    <xf numFmtId="0" fontId="13" fillId="0" borderId="0" xfId="11" applyAlignment="1">
      <alignment horizontal="left" wrapText="1"/>
    </xf>
    <xf numFmtId="0" fontId="13" fillId="0" borderId="0" xfId="11" applyAlignment="1">
      <alignment horizontal="left"/>
    </xf>
    <xf numFmtId="0" fontId="13" fillId="0" borderId="0" xfId="11" applyAlignment="1">
      <alignment horizontal="center" vertical="top"/>
    </xf>
    <xf numFmtId="0" fontId="13" fillId="0" borderId="0" xfId="11" applyAlignment="1">
      <alignment vertical="top"/>
    </xf>
    <xf numFmtId="49" fontId="13" fillId="0" borderId="0" xfId="11" applyNumberFormat="1" applyAlignment="1">
      <alignment horizontal="center" vertical="top"/>
    </xf>
    <xf numFmtId="0" fontId="13" fillId="0" borderId="0" xfId="11" applyAlignment="1">
      <alignment horizontal="left" vertical="top" wrapText="1"/>
    </xf>
    <xf numFmtId="0" fontId="26" fillId="12" borderId="0" xfId="11" applyFont="1" applyFill="1" applyAlignment="1">
      <alignment horizontal="left" vertical="top"/>
    </xf>
    <xf numFmtId="0" fontId="26" fillId="12" borderId="0" xfId="11" applyFont="1" applyFill="1" applyAlignment="1">
      <alignment vertical="top"/>
    </xf>
    <xf numFmtId="0" fontId="13" fillId="0" borderId="0" xfId="11" applyAlignment="1">
      <alignment horizontal="left" vertical="top"/>
    </xf>
    <xf numFmtId="0" fontId="26" fillId="13" borderId="0" xfId="11" applyFont="1" applyFill="1" applyAlignment="1">
      <alignment horizontal="left" vertical="top"/>
    </xf>
    <xf numFmtId="0" fontId="26" fillId="13" borderId="0" xfId="11" applyFont="1" applyFill="1" applyAlignment="1">
      <alignment vertical="top"/>
    </xf>
    <xf numFmtId="0" fontId="27" fillId="11" borderId="3" xfId="11" applyFont="1" applyFill="1" applyBorder="1" applyAlignment="1">
      <alignment horizontal="center" vertical="center" wrapText="1"/>
    </xf>
    <xf numFmtId="0" fontId="27" fillId="11" borderId="3" xfId="11" applyFont="1" applyFill="1" applyBorder="1" applyAlignment="1">
      <alignment horizontal="left" vertical="center" wrapText="1"/>
    </xf>
    <xf numFmtId="0" fontId="13" fillId="10" borderId="0" xfId="11" applyFill="1" applyAlignment="1">
      <alignment horizontal="center"/>
    </xf>
    <xf numFmtId="0" fontId="13" fillId="10" borderId="0" xfId="11" applyFill="1" applyAlignment="1">
      <alignment horizontal="center" wrapText="1"/>
    </xf>
    <xf numFmtId="0" fontId="13" fillId="10" borderId="0" xfId="11" applyFill="1" applyAlignment="1">
      <alignment horizontal="left" wrapText="1"/>
    </xf>
    <xf numFmtId="0" fontId="13" fillId="10" borderId="0" xfId="11" applyFill="1" applyAlignment="1">
      <alignment horizontal="left"/>
    </xf>
    <xf numFmtId="0" fontId="19" fillId="0" borderId="0" xfId="11" applyFont="1" applyAlignment="1">
      <alignment horizontal="center"/>
    </xf>
    <xf numFmtId="0" fontId="19" fillId="0" borderId="0" xfId="11" applyFont="1"/>
    <xf numFmtId="0" fontId="19" fillId="0" borderId="0" xfId="11" applyFont="1" applyAlignment="1">
      <alignment horizontal="center" wrapText="1"/>
    </xf>
    <xf numFmtId="0" fontId="19" fillId="0" borderId="0" xfId="11" applyFont="1" applyAlignment="1">
      <alignment horizontal="left" wrapText="1"/>
    </xf>
    <xf numFmtId="0" fontId="19" fillId="0" borderId="0" xfId="11" applyFont="1" applyAlignment="1">
      <alignment horizontal="left"/>
    </xf>
    <xf numFmtId="0" fontId="28" fillId="7" borderId="0" xfId="11" applyFont="1" applyFill="1" applyAlignment="1">
      <alignment horizontal="left" vertical="center"/>
    </xf>
    <xf numFmtId="0" fontId="25" fillId="10" borderId="0" xfId="11" applyFont="1" applyFill="1" applyAlignment="1">
      <alignment horizontal="left" vertical="center"/>
    </xf>
    <xf numFmtId="0" fontId="0" fillId="0" borderId="0" xfId="0" applyAlignment="1">
      <alignment vertical="top"/>
    </xf>
    <xf numFmtId="49" fontId="0" fillId="0" borderId="0" xfId="0" applyNumberFormat="1" applyAlignment="1">
      <alignment horizontal="left"/>
    </xf>
    <xf numFmtId="49" fontId="17" fillId="0" borderId="0" xfId="0" applyNumberFormat="1" applyFont="1" applyAlignment="1">
      <alignment horizontal="left" vertical="center"/>
    </xf>
    <xf numFmtId="49" fontId="0" fillId="0" borderId="0" xfId="0" applyNumberFormat="1" applyAlignment="1">
      <alignment horizontal="center"/>
    </xf>
    <xf numFmtId="0" fontId="6" fillId="0" borderId="0" xfId="4" applyAlignment="1">
      <alignment vertical="top"/>
    </xf>
    <xf numFmtId="49" fontId="6" fillId="0" borderId="0" xfId="4" applyNumberFormat="1" applyAlignment="1">
      <alignment horizontal="left"/>
    </xf>
    <xf numFmtId="166" fontId="6" fillId="0" borderId="0" xfId="4" applyNumberFormat="1" applyAlignment="1">
      <alignment horizontal="left"/>
    </xf>
    <xf numFmtId="166" fontId="0" fillId="0" borderId="0" xfId="0" applyNumberFormat="1" applyAlignment="1">
      <alignment horizontal="left"/>
    </xf>
    <xf numFmtId="1" fontId="20" fillId="9" borderId="2" xfId="10" applyNumberFormat="1" applyFont="1" applyFill="1" applyBorder="1" applyAlignment="1">
      <alignment horizontal="left" vertical="center" wrapText="1"/>
    </xf>
    <xf numFmtId="2" fontId="20" fillId="9" borderId="2" xfId="10" applyNumberFormat="1" applyFont="1" applyFill="1" applyBorder="1" applyAlignment="1">
      <alignment horizontal="left" vertical="center" wrapText="1"/>
    </xf>
    <xf numFmtId="1" fontId="17" fillId="0" borderId="0" xfId="0" applyNumberFormat="1" applyFont="1" applyAlignment="1">
      <alignment horizontal="left" vertical="center"/>
    </xf>
    <xf numFmtId="0" fontId="0" fillId="7" borderId="0" xfId="0" applyFill="1"/>
    <xf numFmtId="0" fontId="17" fillId="0" borderId="0" xfId="0" applyFont="1"/>
    <xf numFmtId="49" fontId="20" fillId="9" borderId="2" xfId="10" applyNumberFormat="1" applyFont="1" applyFill="1" applyBorder="1" applyAlignment="1">
      <alignment horizontal="left" vertical="center" wrapText="1"/>
    </xf>
    <xf numFmtId="0" fontId="22" fillId="7" borderId="0" xfId="0" applyFont="1" applyFill="1" applyAlignment="1">
      <alignment vertical="center" wrapText="1"/>
    </xf>
    <xf numFmtId="0" fontId="13" fillId="7" borderId="0" xfId="10" applyFill="1" applyAlignment="1">
      <alignment horizontal="center"/>
    </xf>
    <xf numFmtId="0" fontId="52" fillId="23" borderId="0" xfId="0" applyFont="1" applyFill="1" applyAlignment="1">
      <alignment vertical="center"/>
    </xf>
    <xf numFmtId="0" fontId="0" fillId="23" borderId="0" xfId="0" applyFill="1"/>
    <xf numFmtId="49" fontId="17" fillId="0" borderId="0" xfId="0" applyNumberFormat="1" applyFont="1" applyAlignment="1">
      <alignment horizontal="left"/>
    </xf>
    <xf numFmtId="49" fontId="48" fillId="7" borderId="0" xfId="0" applyNumberFormat="1" applyFont="1" applyFill="1" applyAlignment="1">
      <alignment horizontal="left" vertical="center"/>
    </xf>
    <xf numFmtId="49" fontId="20" fillId="9" borderId="3" xfId="0" applyNumberFormat="1" applyFont="1" applyFill="1" applyBorder="1" applyAlignment="1">
      <alignment horizontal="left" vertical="center" wrapText="1"/>
    </xf>
    <xf numFmtId="49" fontId="0" fillId="7" borderId="0" xfId="0" applyNumberFormat="1" applyFill="1" applyAlignment="1">
      <alignment horizontal="left"/>
    </xf>
    <xf numFmtId="49" fontId="18" fillId="7" borderId="0" xfId="0" applyNumberFormat="1" applyFont="1" applyFill="1" applyAlignment="1">
      <alignment horizontal="left"/>
    </xf>
    <xf numFmtId="49" fontId="17" fillId="0" borderId="0" xfId="0" applyNumberFormat="1" applyFont="1" applyAlignment="1">
      <alignment horizontal="left" wrapText="1"/>
    </xf>
    <xf numFmtId="49" fontId="17" fillId="0" borderId="0" xfId="0" applyNumberFormat="1" applyFont="1" applyAlignment="1">
      <alignment horizontal="center" wrapText="1"/>
    </xf>
    <xf numFmtId="49" fontId="20" fillId="9" borderId="2" xfId="10" applyNumberFormat="1" applyFont="1" applyFill="1" applyBorder="1" applyAlignment="1">
      <alignment horizontal="center" vertical="center" wrapText="1"/>
    </xf>
    <xf numFmtId="49" fontId="17" fillId="0" borderId="0" xfId="0" applyNumberFormat="1" applyFont="1" applyAlignment="1">
      <alignment horizontal="center"/>
    </xf>
    <xf numFmtId="166" fontId="17" fillId="0" borderId="0" xfId="0" applyNumberFormat="1" applyFont="1" applyAlignment="1">
      <alignment horizontal="left"/>
    </xf>
    <xf numFmtId="166" fontId="18" fillId="7" borderId="0" xfId="0" applyNumberFormat="1" applyFont="1" applyFill="1" applyAlignment="1">
      <alignment horizontal="left"/>
    </xf>
    <xf numFmtId="166" fontId="20" fillId="9" borderId="2" xfId="10" applyNumberFormat="1" applyFont="1" applyFill="1" applyBorder="1" applyAlignment="1">
      <alignment horizontal="left" vertical="center" wrapText="1"/>
    </xf>
    <xf numFmtId="49" fontId="49" fillId="9" borderId="2" xfId="10" applyNumberFormat="1" applyFont="1" applyFill="1" applyBorder="1" applyAlignment="1">
      <alignment horizontal="left" vertical="center" wrapText="1"/>
    </xf>
    <xf numFmtId="49" fontId="17" fillId="0" borderId="0" xfId="0" applyNumberFormat="1" applyFont="1" applyAlignment="1">
      <alignment horizontal="left" vertical="center" wrapText="1"/>
    </xf>
    <xf numFmtId="0" fontId="16" fillId="0" borderId="0" xfId="0" applyFont="1"/>
    <xf numFmtId="0" fontId="16" fillId="0" borderId="0" xfId="0" applyFont="1" applyAlignment="1">
      <alignment horizontal="center"/>
    </xf>
    <xf numFmtId="14" fontId="16" fillId="0" borderId="0" xfId="0" applyNumberFormat="1" applyFont="1"/>
    <xf numFmtId="22" fontId="16" fillId="0" borderId="0" xfId="0" applyNumberFormat="1" applyFont="1"/>
    <xf numFmtId="49" fontId="21" fillId="7" borderId="0" xfId="0" applyNumberFormat="1" applyFont="1" applyFill="1" applyAlignment="1">
      <alignment horizontal="left" vertical="center"/>
    </xf>
    <xf numFmtId="49" fontId="12" fillId="0" borderId="4" xfId="11" applyNumberFormat="1" applyFont="1" applyBorder="1" applyAlignment="1">
      <alignment horizontal="left" vertical="center" wrapText="1"/>
    </xf>
    <xf numFmtId="49" fontId="50" fillId="7" borderId="0" xfId="11" applyNumberFormat="1" applyFont="1" applyFill="1" applyAlignment="1">
      <alignment horizontal="left" vertical="center"/>
    </xf>
    <xf numFmtId="49" fontId="13" fillId="7" borderId="0" xfId="11" applyNumberFormat="1" applyFill="1" applyAlignment="1">
      <alignment horizontal="left"/>
    </xf>
    <xf numFmtId="166" fontId="12" fillId="0" borderId="4" xfId="11" applyNumberFormat="1" applyFont="1" applyBorder="1" applyAlignment="1">
      <alignment horizontal="left" vertical="center" wrapText="1"/>
    </xf>
    <xf numFmtId="166" fontId="13" fillId="7" borderId="0" xfId="11" applyNumberFormat="1" applyFill="1" applyAlignment="1">
      <alignment horizontal="left"/>
    </xf>
    <xf numFmtId="166" fontId="12" fillId="0" borderId="4" xfId="11" applyNumberFormat="1" applyFont="1" applyBorder="1" applyAlignment="1">
      <alignment horizontal="left" vertical="top" wrapText="1"/>
    </xf>
    <xf numFmtId="166" fontId="13" fillId="7" borderId="0" xfId="11" applyNumberFormat="1" applyFill="1" applyAlignment="1">
      <alignment horizontal="left" vertical="top"/>
    </xf>
    <xf numFmtId="49" fontId="0" fillId="7" borderId="0" xfId="0" applyNumberFormat="1" applyFill="1" applyAlignment="1">
      <alignment horizontal="left" vertical="center" wrapText="1"/>
    </xf>
    <xf numFmtId="49" fontId="0" fillId="7" borderId="0" xfId="0" applyNumberFormat="1" applyFill="1" applyAlignment="1">
      <alignment horizontal="left" vertical="center"/>
    </xf>
    <xf numFmtId="49" fontId="50" fillId="7" borderId="0" xfId="10" applyNumberFormat="1" applyFont="1" applyFill="1" applyAlignment="1">
      <alignment horizontal="left" vertical="center"/>
    </xf>
    <xf numFmtId="49" fontId="13" fillId="7" borderId="0" xfId="10" applyNumberFormat="1" applyFill="1" applyAlignment="1">
      <alignment horizontal="left"/>
    </xf>
    <xf numFmtId="49" fontId="13" fillId="7" borderId="0" xfId="10" applyNumberFormat="1" applyFill="1" applyAlignment="1">
      <alignment horizontal="center"/>
    </xf>
    <xf numFmtId="2" fontId="13" fillId="7" borderId="0" xfId="10" applyNumberFormat="1" applyFill="1" applyAlignment="1">
      <alignment horizontal="left"/>
    </xf>
    <xf numFmtId="166" fontId="13" fillId="7" borderId="0" xfId="10" applyNumberFormat="1" applyFill="1" applyAlignment="1">
      <alignment horizontal="left"/>
    </xf>
    <xf numFmtId="49" fontId="54" fillId="0" borderId="0" xfId="0" applyNumberFormat="1" applyFont="1" applyAlignment="1">
      <alignment horizontal="left"/>
    </xf>
    <xf numFmtId="2" fontId="17" fillId="0" borderId="0" xfId="0" applyNumberFormat="1" applyFont="1" applyAlignment="1">
      <alignment horizontal="left" wrapText="1"/>
    </xf>
    <xf numFmtId="2" fontId="18" fillId="7" borderId="0" xfId="0" applyNumberFormat="1" applyFont="1" applyFill="1" applyAlignment="1">
      <alignment horizontal="left" wrapText="1"/>
    </xf>
    <xf numFmtId="2" fontId="0" fillId="0" borderId="0" xfId="0" applyNumberFormat="1" applyAlignment="1">
      <alignment horizontal="left" wrapText="1"/>
    </xf>
    <xf numFmtId="49" fontId="20" fillId="9" borderId="3" xfId="0" applyNumberFormat="1" applyFont="1" applyFill="1" applyBorder="1" applyAlignment="1">
      <alignment horizontal="center" vertical="center" wrapText="1"/>
    </xf>
    <xf numFmtId="49" fontId="17" fillId="0" borderId="0" xfId="0" applyNumberFormat="1" applyFont="1" applyAlignment="1">
      <alignment horizontal="center" vertical="center"/>
    </xf>
    <xf numFmtId="49" fontId="0" fillId="0" borderId="0" xfId="0" applyNumberFormat="1" applyAlignment="1">
      <alignment horizontal="left" vertical="center" wrapText="1"/>
    </xf>
    <xf numFmtId="49" fontId="9" fillId="0" borderId="0" xfId="0" applyNumberFormat="1" applyFont="1" applyAlignment="1">
      <alignment horizontal="left"/>
    </xf>
    <xf numFmtId="166" fontId="20" fillId="9" borderId="3" xfId="0" applyNumberFormat="1" applyFont="1" applyFill="1" applyBorder="1" applyAlignment="1">
      <alignment horizontal="left" vertical="center" wrapText="1"/>
    </xf>
    <xf numFmtId="2" fontId="20" fillId="9" borderId="3" xfId="0" applyNumberFormat="1" applyFont="1" applyFill="1" applyBorder="1" applyAlignment="1">
      <alignment horizontal="left" vertical="center" wrapText="1"/>
    </xf>
    <xf numFmtId="49" fontId="56" fillId="7" borderId="0" xfId="0" applyNumberFormat="1" applyFont="1" applyFill="1" applyAlignment="1">
      <alignment horizontal="left" vertical="center"/>
    </xf>
    <xf numFmtId="49" fontId="21" fillId="7" borderId="0" xfId="0" applyNumberFormat="1" applyFont="1" applyFill="1" applyAlignment="1">
      <alignment horizontal="center" vertical="center"/>
    </xf>
    <xf numFmtId="49" fontId="58" fillId="7" borderId="0" xfId="0" applyNumberFormat="1" applyFont="1" applyFill="1" applyAlignment="1">
      <alignment horizontal="left" vertical="center"/>
    </xf>
    <xf numFmtId="49" fontId="57" fillId="0" borderId="0" xfId="0" applyNumberFormat="1" applyFont="1" applyAlignment="1">
      <alignment horizontal="center"/>
    </xf>
    <xf numFmtId="2" fontId="17" fillId="0" borderId="0" xfId="0" applyNumberFormat="1" applyFont="1" applyAlignment="1">
      <alignment horizontal="left" vertical="center"/>
    </xf>
    <xf numFmtId="166" fontId="17" fillId="0" borderId="0" xfId="0" applyNumberFormat="1" applyFont="1" applyAlignment="1">
      <alignment horizontal="left" vertical="center"/>
    </xf>
    <xf numFmtId="2" fontId="53" fillId="0" borderId="0" xfId="0" applyNumberFormat="1" applyFont="1" applyAlignment="1">
      <alignment horizontal="left" vertical="center"/>
    </xf>
    <xf numFmtId="2" fontId="0" fillId="0" borderId="0" xfId="0" applyNumberFormat="1" applyAlignment="1">
      <alignment horizontal="center"/>
    </xf>
    <xf numFmtId="49" fontId="0" fillId="0" borderId="0" xfId="0" applyNumberFormat="1" applyAlignment="1">
      <alignment horizontal="left" vertical="top"/>
    </xf>
    <xf numFmtId="166" fontId="0" fillId="0" borderId="0" xfId="0" applyNumberFormat="1" applyAlignment="1">
      <alignment horizontal="left" vertical="center" wrapText="1"/>
    </xf>
    <xf numFmtId="0" fontId="25" fillId="0" borderId="0" xfId="8" applyFont="1"/>
    <xf numFmtId="0" fontId="60" fillId="0" borderId="0" xfId="8" applyFont="1"/>
    <xf numFmtId="0" fontId="13" fillId="22" borderId="0" xfId="8" applyFill="1"/>
    <xf numFmtId="0" fontId="44" fillId="22" borderId="0" xfId="4" applyFont="1" applyFill="1"/>
    <xf numFmtId="0" fontId="28" fillId="22" borderId="0" xfId="4" applyFont="1" applyFill="1"/>
    <xf numFmtId="0" fontId="6" fillId="22" borderId="0" xfId="4" applyFill="1"/>
    <xf numFmtId="0" fontId="11" fillId="22" borderId="5" xfId="4" applyFont="1" applyFill="1" applyBorder="1"/>
    <xf numFmtId="0" fontId="0" fillId="22" borderId="5" xfId="0" applyFill="1" applyBorder="1"/>
    <xf numFmtId="49" fontId="6" fillId="0" borderId="0" xfId="4" applyNumberFormat="1" applyAlignment="1">
      <alignment vertical="top"/>
    </xf>
    <xf numFmtId="166" fontId="6" fillId="0" borderId="0" xfId="4" applyNumberFormat="1" applyAlignment="1">
      <alignment vertical="top"/>
    </xf>
    <xf numFmtId="49" fontId="51" fillId="7" borderId="0" xfId="0" applyNumberFormat="1" applyFont="1" applyFill="1" applyAlignment="1">
      <alignment horizontal="left" vertical="center"/>
    </xf>
    <xf numFmtId="49" fontId="62" fillId="7" borderId="0" xfId="0" applyNumberFormat="1" applyFont="1" applyFill="1" applyAlignment="1">
      <alignment horizontal="left" vertical="center"/>
    </xf>
    <xf numFmtId="22" fontId="0" fillId="0" borderId="0" xfId="0" applyNumberFormat="1"/>
    <xf numFmtId="0" fontId="63" fillId="7" borderId="0" xfId="8" applyFont="1" applyFill="1"/>
    <xf numFmtId="4" fontId="17" fillId="0" borderId="0" xfId="0" applyNumberFormat="1" applyFont="1" applyAlignment="1">
      <alignment horizontal="left"/>
    </xf>
    <xf numFmtId="4" fontId="18" fillId="7" borderId="0" xfId="0" applyNumberFormat="1" applyFont="1" applyFill="1" applyAlignment="1">
      <alignment horizontal="left"/>
    </xf>
    <xf numFmtId="4" fontId="20" fillId="9" borderId="2" xfId="10" applyNumberFormat="1" applyFont="1" applyFill="1" applyBorder="1" applyAlignment="1">
      <alignment horizontal="left" vertical="center" wrapText="1"/>
    </xf>
    <xf numFmtId="4" fontId="0" fillId="0" borderId="0" xfId="0" applyNumberFormat="1" applyAlignment="1">
      <alignment horizontal="left"/>
    </xf>
    <xf numFmtId="4" fontId="17" fillId="0" borderId="0" xfId="0" applyNumberFormat="1" applyFont="1" applyAlignment="1">
      <alignment horizontal="left" vertical="center"/>
    </xf>
    <xf numFmtId="2" fontId="17" fillId="0" borderId="0" xfId="0" applyNumberFormat="1" applyFont="1" applyAlignment="1">
      <alignment horizontal="center" vertical="center"/>
    </xf>
    <xf numFmtId="2" fontId="20" fillId="9" borderId="3" xfId="0" applyNumberFormat="1" applyFont="1" applyFill="1" applyBorder="1" applyAlignment="1">
      <alignment horizontal="center" vertical="center" wrapText="1"/>
    </xf>
    <xf numFmtId="166" fontId="20" fillId="9" borderId="0" xfId="0" applyNumberFormat="1" applyFont="1" applyFill="1" applyAlignment="1">
      <alignment horizontal="left" vertical="center" wrapText="1"/>
    </xf>
    <xf numFmtId="2" fontId="55" fillId="24" borderId="0" xfId="0" applyNumberFormat="1" applyFont="1" applyFill="1" applyAlignment="1">
      <alignment horizontal="left" vertical="center"/>
    </xf>
    <xf numFmtId="4" fontId="13" fillId="7" borderId="0" xfId="10" applyNumberFormat="1" applyFill="1" applyAlignment="1">
      <alignment horizontal="left"/>
    </xf>
    <xf numFmtId="49" fontId="13" fillId="0" borderId="0" xfId="0" applyNumberFormat="1" applyFont="1" applyAlignment="1">
      <alignment horizontal="left" vertical="top"/>
    </xf>
    <xf numFmtId="2" fontId="13" fillId="0" borderId="0" xfId="0" applyNumberFormat="1" applyFont="1" applyAlignment="1">
      <alignment horizontal="left" vertical="top"/>
    </xf>
    <xf numFmtId="4" fontId="13" fillId="0" borderId="0" xfId="0" applyNumberFormat="1" applyFont="1" applyAlignment="1">
      <alignment horizontal="left" vertical="top"/>
    </xf>
    <xf numFmtId="166" fontId="13" fillId="0" borderId="0" xfId="0" applyNumberFormat="1" applyFont="1" applyAlignment="1">
      <alignment horizontal="left" vertical="top"/>
    </xf>
    <xf numFmtId="49" fontId="26" fillId="25" borderId="0" xfId="0" applyNumberFormat="1" applyFont="1" applyFill="1" applyAlignment="1">
      <alignment horizontal="left" vertical="top"/>
    </xf>
    <xf numFmtId="49" fontId="26" fillId="26" borderId="0" xfId="0" applyNumberFormat="1" applyFont="1" applyFill="1" applyAlignment="1">
      <alignment horizontal="left" vertical="top"/>
    </xf>
    <xf numFmtId="2" fontId="13" fillId="0" borderId="0" xfId="0" applyNumberFormat="1" applyFont="1" applyAlignment="1">
      <alignment horizontal="left" vertical="top" wrapText="1"/>
    </xf>
    <xf numFmtId="0" fontId="59" fillId="25" borderId="0" xfId="0" applyFont="1" applyFill="1" applyAlignment="1">
      <alignment vertical="top"/>
    </xf>
    <xf numFmtId="0" fontId="59" fillId="26" borderId="0" xfId="0" applyFont="1" applyFill="1" applyAlignment="1">
      <alignment vertical="top"/>
    </xf>
    <xf numFmtId="14" fontId="0" fillId="0" borderId="0" xfId="0" applyNumberFormat="1" applyAlignment="1">
      <alignment vertical="top"/>
    </xf>
    <xf numFmtId="0" fontId="65" fillId="27" borderId="0" xfId="8" applyFont="1" applyFill="1" applyAlignment="1">
      <alignment horizontal="center" vertical="center"/>
    </xf>
    <xf numFmtId="49" fontId="26" fillId="28" borderId="0" xfId="0" applyNumberFormat="1" applyFont="1" applyFill="1" applyAlignment="1">
      <alignment horizontal="left" vertical="top"/>
    </xf>
    <xf numFmtId="166" fontId="64" fillId="0" borderId="0" xfId="4" applyNumberFormat="1" applyFont="1" applyAlignment="1">
      <alignment horizontal="left" vertical="top"/>
    </xf>
    <xf numFmtId="49" fontId="64" fillId="0" borderId="0" xfId="4" applyNumberFormat="1" applyFont="1" applyAlignment="1">
      <alignment horizontal="left" vertical="top"/>
    </xf>
    <xf numFmtId="166" fontId="66" fillId="0" borderId="0" xfId="4" applyNumberFormat="1" applyFont="1" applyAlignment="1">
      <alignment horizontal="left" vertical="top"/>
    </xf>
    <xf numFmtId="49" fontId="13" fillId="0" borderId="0" xfId="0" applyNumberFormat="1" applyFont="1" applyAlignment="1">
      <alignment horizontal="center" vertical="top"/>
    </xf>
    <xf numFmtId="0" fontId="1" fillId="2" borderId="0" xfId="0" applyFont="1" applyFill="1" applyAlignment="1">
      <alignment horizontal="center" vertical="center"/>
    </xf>
    <xf numFmtId="0" fontId="61" fillId="22" borderId="6" xfId="6" applyFont="1" applyFill="1" applyAlignment="1">
      <alignment vertical="top"/>
    </xf>
    <xf numFmtId="14" fontId="0" fillId="0" borderId="0" xfId="0" applyNumberFormat="1"/>
    <xf numFmtId="49" fontId="14" fillId="0" borderId="0" xfId="4" applyNumberFormat="1" applyFont="1" applyAlignment="1">
      <alignment horizontal="left"/>
    </xf>
    <xf numFmtId="2" fontId="0" fillId="0" borderId="0" xfId="0" applyNumberFormat="1" applyAlignment="1">
      <alignment horizontal="left" vertical="top"/>
    </xf>
    <xf numFmtId="166" fontId="0" fillId="0" borderId="0" xfId="0" applyNumberFormat="1" applyAlignment="1">
      <alignment horizontal="left" vertical="top"/>
    </xf>
    <xf numFmtId="4" fontId="0" fillId="0" borderId="0" xfId="0" applyNumberFormat="1" applyAlignment="1">
      <alignment horizontal="left" vertical="top"/>
    </xf>
    <xf numFmtId="49" fontId="13" fillId="0" borderId="0" xfId="0" applyNumberFormat="1" applyFont="1" applyFill="1" applyAlignment="1">
      <alignment horizontal="left" vertical="top"/>
    </xf>
    <xf numFmtId="0" fontId="0" fillId="0" borderId="0" xfId="0" applyFont="1" applyFill="1" applyAlignment="1">
      <alignment vertical="top"/>
    </xf>
    <xf numFmtId="0" fontId="59" fillId="28" borderId="0" xfId="0" applyFont="1" applyFill="1" applyAlignment="1">
      <alignment vertical="top"/>
    </xf>
  </cellXfs>
  <cellStyles count="44">
    <cellStyle name="Accent" xfId="19" xr:uid="{6EB6DBC6-3ABD-4757-AE22-503BBECED831}"/>
    <cellStyle name="Accent 1" xfId="20" xr:uid="{D1D28A78-9989-44C3-9CD7-8EF0F2994C11}"/>
    <cellStyle name="Accent 2" xfId="21" xr:uid="{5A0321B7-8B06-4E45-8EF7-D90982931E12}"/>
    <cellStyle name="Accent 3" xfId="22" xr:uid="{33D0185D-A8C6-482F-A3F5-2947F3964C92}"/>
    <cellStyle name="Bad 2" xfId="16" xr:uid="{7F0DDD55-94BC-4A03-B7C8-99F89B6E5517}"/>
    <cellStyle name="ConditionalStyle_1" xfId="23" xr:uid="{940D7687-D730-40E6-9135-5CE52805C190}"/>
    <cellStyle name="Default" xfId="24" xr:uid="{AF85ED1D-8C27-49D5-86EA-7CF9AA7614CD}"/>
    <cellStyle name="Default 2" xfId="38" xr:uid="{9C611C59-9240-4558-A535-F64ADD81F630}"/>
    <cellStyle name="Error" xfId="25" xr:uid="{05B0DB8C-7FA8-472E-B7F9-4B9E4016838C}"/>
    <cellStyle name="Excel Built-in Explanatory Text" xfId="2" xr:uid="{00000000-0005-0000-0000-000007000000}"/>
    <cellStyle name="Excel Built-in Explanatory Text 2" xfId="7" xr:uid="{C8C0DE7F-2255-4E07-9BDC-F6DAFA42DAD5}"/>
    <cellStyle name="Excel Built-in Explanatory Text 3" xfId="10" xr:uid="{BE237E68-1029-41B7-AAAD-E8AC16A6A302}"/>
    <cellStyle name="Excel Built-in Heading 1" xfId="3" xr:uid="{00000000-0005-0000-0000-000008000000}"/>
    <cellStyle name="Excel Built-in Heading 1 2" xfId="6" xr:uid="{E332D766-DD2D-420B-AEC0-D50E5BB581CD}"/>
    <cellStyle name="Excel Built-in Heading 1 3" xfId="39" xr:uid="{226A90C7-095D-4C4B-8F56-D23783FA3C76}"/>
    <cellStyle name="Excel Built-in Heading 2" xfId="26" xr:uid="{35A8B86E-A08A-4DCC-B656-3A6077822614}"/>
    <cellStyle name="Excel Built-in Heading 2 2" xfId="40" xr:uid="{1F0615FE-4A68-41B0-830F-456319D9401E}"/>
    <cellStyle name="Excel Built-in Normal" xfId="27" xr:uid="{F59A17D3-EEF9-4054-A873-FF12799E987E}"/>
    <cellStyle name="Excel Built-in Normal 2" xfId="28" xr:uid="{C0468905-2A48-4D0F-B64A-CB3B8961D499}"/>
    <cellStyle name="Excel Built-in Normal 2 2" xfId="42" xr:uid="{A7D8F4E5-2232-4612-BD81-DB9D91FE85F8}"/>
    <cellStyle name="Excel Built-in Normal 3" xfId="41" xr:uid="{C3D8B145-B1B6-45F8-8373-ED431A6111DA}"/>
    <cellStyle name="Footnote" xfId="29" xr:uid="{2A17D51F-B19B-4D1B-B5E8-A6271597DB95}"/>
    <cellStyle name="Good 2" xfId="15" xr:uid="{B1EFA368-1C59-4834-B86E-69F46A38FB88}"/>
    <cellStyle name="Heading" xfId="30" xr:uid="{3DEAFF95-4A63-4390-ADFD-CC661BBB2275}"/>
    <cellStyle name="Heading 1 2" xfId="13" xr:uid="{BFB7A2A6-64AD-4AE0-ADA4-4DD81026996D}"/>
    <cellStyle name="Heading 2 2" xfId="14" xr:uid="{2FE2178C-8984-4B10-B3AA-99369056EEF8}"/>
    <cellStyle name="Hyperlink" xfId="31" xr:uid="{48C6031F-2FAB-4EA7-B795-7BE7ACB40BE4}"/>
    <cellStyle name="Neutral 2" xfId="17" xr:uid="{F6BBA989-DDAC-42B6-AACA-FA72C7C704F8}"/>
    <cellStyle name="Normal" xfId="0" builtinId="0"/>
    <cellStyle name="Normal 2" xfId="4" xr:uid="{CE597505-25E0-4E90-B9F8-3B0F9A3D2EC9}"/>
    <cellStyle name="Normal 2 2" xfId="11" xr:uid="{771E58DA-1F1F-4E75-BE2D-ABB1F26DD108}"/>
    <cellStyle name="Normal 3" xfId="1" xr:uid="{00000000-0005-0000-0000-000006000000}"/>
    <cellStyle name="Normal 3 2" xfId="32" xr:uid="{00C6CF0B-1089-4287-9CFB-F0D5E2C21E89}"/>
    <cellStyle name="Normal 3 3" xfId="43" xr:uid="{4015AE67-DB5B-4A13-9010-ADE14588B55F}"/>
    <cellStyle name="Normal 4" xfId="8" xr:uid="{41248231-5D81-4768-B057-EA20F2E753AF}"/>
    <cellStyle name="Normal 5" xfId="12" xr:uid="{B06F523E-5043-4988-B5FF-EC50201BFBA1}"/>
    <cellStyle name="Note 2" xfId="18" xr:uid="{32AF042C-1AF6-40FD-912B-F7E0245666FD}"/>
    <cellStyle name="Result" xfId="33" xr:uid="{04292811-2622-4661-9D01-51DF974E5F89}"/>
    <cellStyle name="Status" xfId="34" xr:uid="{66233254-1111-4AF5-A4DB-612904E84DC0}"/>
    <cellStyle name="tbFieldHeading" xfId="5" xr:uid="{D488BC28-6E19-474F-ADB7-004FFBEC2DDC}"/>
    <cellStyle name="tbFieldHeading 2" xfId="9" xr:uid="{391EBD54-EBBA-457A-BE3A-277CA1ACFF89}"/>
    <cellStyle name="tbFieldHeading 3" xfId="35" xr:uid="{FCEB88FD-1801-432B-B95A-AA84DB48040A}"/>
    <cellStyle name="Text" xfId="36" xr:uid="{FD309CF6-008F-4B70-913F-70505DFB1481}"/>
    <cellStyle name="Warning" xfId="37" xr:uid="{826F77AD-BA4E-435D-95A1-88910B39D58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376092"/>
      <rgbColor rgb="FFB4C7DC"/>
      <rgbColor rgb="FF4F81BD"/>
      <rgbColor rgb="FF8EA9DB"/>
      <rgbColor rgb="FF993366"/>
      <rgbColor rgb="FFF2F2F2"/>
      <rgbColor rgb="FFCCFFFF"/>
      <rgbColor rgb="FF660066"/>
      <rgbColor rgb="FFFF8080"/>
      <rgbColor rgb="FF2A6099"/>
      <rgbColor rgb="FF8BB3DB"/>
      <rgbColor rgb="FF000080"/>
      <rgbColor rgb="FFFF00FF"/>
      <rgbColor rgb="FFFFFF00"/>
      <rgbColor rgb="FF00FFFF"/>
      <rgbColor rgb="FF800080"/>
      <rgbColor rgb="FF800000"/>
      <rgbColor rgb="FF008080"/>
      <rgbColor rgb="FF0000FF"/>
      <rgbColor rgb="FF00B0F0"/>
      <rgbColor rgb="FFCCFFFF"/>
      <rgbColor rgb="FFCCFFCC"/>
      <rgbColor rgb="FFFFFF99"/>
      <rgbColor rgb="FF95B3D7"/>
      <rgbColor rgb="FFFF99CC"/>
      <rgbColor rgb="FF8FAADC"/>
      <rgbColor rgb="FFFFC7CE"/>
      <rgbColor rgb="FF4472C4"/>
      <rgbColor rgb="FF5B9BD5"/>
      <rgbColor rgb="FF99CC00"/>
      <rgbColor rgb="FFFFCC00"/>
      <rgbColor rgb="FFFF9900"/>
      <rgbColor rgb="FFFF6600"/>
      <rgbColor rgb="FF666666"/>
      <rgbColor rgb="FFA6A6A6"/>
      <rgbColor rgb="FF003366"/>
      <rgbColor rgb="FF00B050"/>
      <rgbColor rgb="FF003300"/>
      <rgbColor rgb="FF333300"/>
      <rgbColor rgb="FFC9211E"/>
      <rgbColor rgb="FF993366"/>
      <rgbColor rgb="FF44546A"/>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862560</xdr:colOff>
      <xdr:row>0</xdr:row>
      <xdr:rowOff>61560</xdr:rowOff>
    </xdr:from>
    <xdr:to>
      <xdr:col>2</xdr:col>
      <xdr:colOff>571377</xdr:colOff>
      <xdr:row>0</xdr:row>
      <xdr:rowOff>357120</xdr:rowOff>
    </xdr:to>
    <xdr:sp macro="[0]!GetData" textlink="">
      <xdr:nvSpPr>
        <xdr:cNvPr id="2" name="CustomShape 1">
          <a:extLst>
            <a:ext uri="{FF2B5EF4-FFF2-40B4-BE49-F238E27FC236}">
              <a16:creationId xmlns:a16="http://schemas.microsoft.com/office/drawing/2014/main" id="{00000000-0008-0000-0C00-000002000000}"/>
            </a:ext>
          </a:extLst>
        </xdr:cNvPr>
        <xdr:cNvSpPr/>
      </xdr:nvSpPr>
      <xdr:spPr>
        <a:xfrm>
          <a:off x="1454760" y="61560"/>
          <a:ext cx="1160280" cy="29556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200" b="0" strike="noStrike" spc="-1">
              <a:solidFill>
                <a:srgbClr val="000000"/>
              </a:solidFill>
              <a:latin typeface="Times New Roman"/>
            </a:rPr>
            <a:t>Get Data</a:t>
          </a:r>
          <a:endParaRPr lang="en-CA" sz="12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43967</xdr:colOff>
      <xdr:row>4</xdr:row>
      <xdr:rowOff>30751</xdr:rowOff>
    </xdr:from>
    <xdr:to>
      <xdr:col>3</xdr:col>
      <xdr:colOff>599654</xdr:colOff>
      <xdr:row>8</xdr:row>
      <xdr:rowOff>112076</xdr:rowOff>
    </xdr:to>
    <xdr:grpSp>
      <xdr:nvGrpSpPr>
        <xdr:cNvPr id="5" name="Group 4">
          <a:extLst>
            <a:ext uri="{FF2B5EF4-FFF2-40B4-BE49-F238E27FC236}">
              <a16:creationId xmlns:a16="http://schemas.microsoft.com/office/drawing/2014/main" id="{B61CD3A3-8DC3-A63A-A86B-A87421DECCE0}"/>
            </a:ext>
          </a:extLst>
        </xdr:cNvPr>
        <xdr:cNvGrpSpPr/>
      </xdr:nvGrpSpPr>
      <xdr:grpSpPr>
        <a:xfrm>
          <a:off x="1725130" y="864189"/>
          <a:ext cx="4184712" cy="843325"/>
          <a:chOff x="7513976" y="597425"/>
          <a:chExt cx="3942716" cy="888468"/>
        </a:xfrm>
      </xdr:grpSpPr>
      <xdr:sp macro="[0]!FormatAllSheetsV1" textlink="">
        <xdr:nvSpPr>
          <xdr:cNvPr id="2" name="CustomShape 1_ 11">
            <a:extLst>
              <a:ext uri="{FF2B5EF4-FFF2-40B4-BE49-F238E27FC236}">
                <a16:creationId xmlns:a16="http://schemas.microsoft.com/office/drawing/2014/main" id="{0847A16F-8F29-4A13-84F5-C35BD630770E}"/>
              </a:ext>
            </a:extLst>
          </xdr:cNvPr>
          <xdr:cNvSpPr/>
        </xdr:nvSpPr>
        <xdr:spPr>
          <a:xfrm>
            <a:off x="9832147" y="597425"/>
            <a:ext cx="1624545" cy="347136"/>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000" b="0" strike="noStrike" spc="-1">
                <a:solidFill>
                  <a:schemeClr val="accent1">
                    <a:lumMod val="50000"/>
                  </a:schemeClr>
                </a:solidFill>
                <a:latin typeface="+mn-lt"/>
              </a:rPr>
              <a:t>Format Only All Sheets</a:t>
            </a:r>
            <a:br>
              <a:rPr lang="en-CA" sz="1000" b="0" strike="noStrike" spc="-1">
                <a:solidFill>
                  <a:schemeClr val="accent1">
                    <a:lumMod val="50000"/>
                  </a:schemeClr>
                </a:solidFill>
                <a:latin typeface="+mn-lt"/>
              </a:rPr>
            </a:br>
            <a:r>
              <a:rPr lang="en-CA" sz="1000" b="0">
                <a:solidFill>
                  <a:schemeClr val="accent1">
                    <a:lumMod val="50000"/>
                  </a:schemeClr>
                </a:solidFill>
                <a:effectLst/>
                <a:latin typeface="+mn-lt"/>
                <a:ea typeface="+mn-ea"/>
                <a:cs typeface="+mn-cs"/>
              </a:rPr>
              <a:t>(based on left hand table)</a:t>
            </a:r>
            <a:endParaRPr lang="en-US" sz="1000" b="0" strike="noStrike" spc="-1">
              <a:solidFill>
                <a:schemeClr val="accent1">
                  <a:lumMod val="50000"/>
                </a:schemeClr>
              </a:solidFill>
              <a:latin typeface="+mn-lt"/>
            </a:endParaRPr>
          </a:p>
        </xdr:txBody>
      </xdr:sp>
      <xdr:sp macro="[0]!FormatAllSheetsV1" textlink="">
        <xdr:nvSpPr>
          <xdr:cNvPr id="3" name="CustomShape 1_ 11">
            <a:extLst>
              <a:ext uri="{FF2B5EF4-FFF2-40B4-BE49-F238E27FC236}">
                <a16:creationId xmlns:a16="http://schemas.microsoft.com/office/drawing/2014/main" id="{B8CD4AA9-6237-4B39-BB77-845296E714BE}"/>
              </a:ext>
            </a:extLst>
          </xdr:cNvPr>
          <xdr:cNvSpPr/>
        </xdr:nvSpPr>
        <xdr:spPr>
          <a:xfrm>
            <a:off x="7517344" y="599014"/>
            <a:ext cx="2208739" cy="346078"/>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000" b="0" strike="noStrike" spc="-1">
                <a:solidFill>
                  <a:schemeClr val="accent1">
                    <a:lumMod val="50000"/>
                  </a:schemeClr>
                </a:solidFill>
                <a:latin typeface="+mn-lt"/>
              </a:rPr>
              <a:t>Format</a:t>
            </a:r>
            <a:r>
              <a:rPr lang="en-CA" sz="1000" b="0" strike="noStrike" spc="-1" baseline="0">
                <a:solidFill>
                  <a:schemeClr val="accent1">
                    <a:lumMod val="50000"/>
                  </a:schemeClr>
                </a:solidFill>
                <a:latin typeface="+mn-lt"/>
              </a:rPr>
              <a:t> and </a:t>
            </a:r>
            <a:r>
              <a:rPr lang="en-CA" sz="1000" b="0" strike="noStrike" spc="-1">
                <a:solidFill>
                  <a:schemeClr val="accent1">
                    <a:lumMod val="50000"/>
                  </a:schemeClr>
                </a:solidFill>
                <a:latin typeface="+mn-lt"/>
              </a:rPr>
              <a:t>Validate All Sheets</a:t>
            </a:r>
            <a:br>
              <a:rPr lang="en-CA" sz="1000" b="0" strike="noStrike" spc="-1">
                <a:solidFill>
                  <a:schemeClr val="accent1">
                    <a:lumMod val="50000"/>
                  </a:schemeClr>
                </a:solidFill>
                <a:latin typeface="+mn-lt"/>
              </a:rPr>
            </a:br>
            <a:r>
              <a:rPr lang="en-CA" sz="1000" b="0" strike="noStrike" spc="-1">
                <a:solidFill>
                  <a:schemeClr val="accent1">
                    <a:lumMod val="50000"/>
                  </a:schemeClr>
                </a:solidFill>
                <a:latin typeface="+mn-lt"/>
              </a:rPr>
              <a:t>(based on left hand table)</a:t>
            </a:r>
            <a:endParaRPr lang="en-US" sz="1000" b="0" strike="noStrike" spc="-1">
              <a:solidFill>
                <a:schemeClr val="accent1">
                  <a:lumMod val="50000"/>
                </a:schemeClr>
              </a:solidFill>
              <a:latin typeface="+mn-lt"/>
            </a:endParaRPr>
          </a:p>
        </xdr:txBody>
      </xdr:sp>
      <xdr:sp macro="[0]!ApplyAllPickLists" textlink="">
        <xdr:nvSpPr>
          <xdr:cNvPr id="9" name="CustomShape 1_ 4">
            <a:extLst>
              <a:ext uri="{FF2B5EF4-FFF2-40B4-BE49-F238E27FC236}">
                <a16:creationId xmlns:a16="http://schemas.microsoft.com/office/drawing/2014/main" id="{1914CA9D-067C-47D7-955B-E153ECF66629}"/>
              </a:ext>
            </a:extLst>
          </xdr:cNvPr>
          <xdr:cNvSpPr/>
        </xdr:nvSpPr>
        <xdr:spPr>
          <a:xfrm>
            <a:off x="7513976" y="1175802"/>
            <a:ext cx="1283277" cy="310091"/>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US" sz="1000" b="0" strike="noStrike" spc="-1">
                <a:solidFill>
                  <a:schemeClr val="accent1">
                    <a:lumMod val="50000"/>
                  </a:schemeClr>
                </a:solidFill>
                <a:latin typeface="+mn-lt"/>
              </a:rPr>
              <a:t>Enable</a:t>
            </a:r>
            <a:r>
              <a:rPr lang="en-US" sz="1000" b="0" strike="noStrike" spc="-1" baseline="0">
                <a:solidFill>
                  <a:schemeClr val="accent1">
                    <a:lumMod val="50000"/>
                  </a:schemeClr>
                </a:solidFill>
                <a:latin typeface="+mn-lt"/>
              </a:rPr>
              <a:t> Picklists</a:t>
            </a:r>
            <a:endParaRPr lang="en-US" sz="1000" b="0" strike="noStrike" spc="-1">
              <a:solidFill>
                <a:schemeClr val="accent1">
                  <a:lumMod val="50000"/>
                </a:schemeClr>
              </a:solidFill>
              <a:latin typeface="+mn-lt"/>
            </a:endParaRPr>
          </a:p>
        </xdr:txBody>
      </xdr:sp>
    </xdr:grpSp>
    <xdr:clientData/>
  </xdr:twoCellAnchor>
  <xdr:twoCellAnchor editAs="oneCell">
    <xdr:from>
      <xdr:col>1</xdr:col>
      <xdr:colOff>46337</xdr:colOff>
      <xdr:row>13</xdr:row>
      <xdr:rowOff>43630</xdr:rowOff>
    </xdr:from>
    <xdr:to>
      <xdr:col>3</xdr:col>
      <xdr:colOff>289560</xdr:colOff>
      <xdr:row>17</xdr:row>
      <xdr:rowOff>116518</xdr:rowOff>
    </xdr:to>
    <xdr:grpSp>
      <xdr:nvGrpSpPr>
        <xdr:cNvPr id="6" name="Group 5">
          <a:extLst>
            <a:ext uri="{FF2B5EF4-FFF2-40B4-BE49-F238E27FC236}">
              <a16:creationId xmlns:a16="http://schemas.microsoft.com/office/drawing/2014/main" id="{EA1603F6-9EE3-BD01-EBD8-7EE2DC7561CE}"/>
            </a:ext>
          </a:extLst>
        </xdr:cNvPr>
        <xdr:cNvGrpSpPr/>
      </xdr:nvGrpSpPr>
      <xdr:grpSpPr>
        <a:xfrm>
          <a:off x="1727500" y="2591568"/>
          <a:ext cx="3872248" cy="834888"/>
          <a:chOff x="7773260" y="2309204"/>
          <a:chExt cx="3802148" cy="877584"/>
        </a:xfrm>
      </xdr:grpSpPr>
      <xdr:sp macro="[0]!ExportAllSheetsYesNo" textlink="">
        <xdr:nvSpPr>
          <xdr:cNvPr id="10" name="CustomShape 1_ 3">
            <a:extLst>
              <a:ext uri="{FF2B5EF4-FFF2-40B4-BE49-F238E27FC236}">
                <a16:creationId xmlns:a16="http://schemas.microsoft.com/office/drawing/2014/main" id="{7E2BED66-5D7D-4A0B-B175-222C54DBBE10}"/>
              </a:ext>
            </a:extLst>
          </xdr:cNvPr>
          <xdr:cNvSpPr/>
        </xdr:nvSpPr>
        <xdr:spPr>
          <a:xfrm>
            <a:off x="7789679" y="2843719"/>
            <a:ext cx="2256423" cy="343069"/>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 (No format or validation)</a:t>
            </a:r>
            <a:endParaRPr lang="en-US" sz="1100" b="0" strike="noStrike" spc="-1">
              <a:latin typeface="+mn-lt"/>
            </a:endParaRPr>
          </a:p>
        </xdr:txBody>
      </xdr:sp>
      <xdr:sp macro="[0]!ExportAllSheetsYesNo" textlink="">
        <xdr:nvSpPr>
          <xdr:cNvPr id="11" name="CustomShape 1_ 11">
            <a:extLst>
              <a:ext uri="{FF2B5EF4-FFF2-40B4-BE49-F238E27FC236}">
                <a16:creationId xmlns:a16="http://schemas.microsoft.com/office/drawing/2014/main" id="{AC165273-2F98-47CE-9D33-2EBDB4391860}"/>
              </a:ext>
            </a:extLst>
          </xdr:cNvPr>
          <xdr:cNvSpPr/>
        </xdr:nvSpPr>
        <xdr:spPr>
          <a:xfrm>
            <a:off x="10307604" y="2311924"/>
            <a:ext cx="1267804" cy="343068"/>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Export</a:t>
            </a:r>
            <a:r>
              <a:rPr lang="en-CA" sz="1100" b="0" strike="noStrike" spc="-1" baseline="0">
                <a:solidFill>
                  <a:srgbClr val="000000"/>
                </a:solidFill>
                <a:latin typeface="+mn-lt"/>
              </a:rPr>
              <a:t> Sheets)</a:t>
            </a:r>
            <a:endParaRPr lang="en-US" sz="1100" b="0" strike="noStrike" spc="-1">
              <a:latin typeface="+mn-lt"/>
            </a:endParaRPr>
          </a:p>
        </xdr:txBody>
      </xdr:sp>
      <xdr:sp macro="[0]!ExportAllSheetsYesNo" textlink="">
        <xdr:nvSpPr>
          <xdr:cNvPr id="12" name="CustomShape 1_ 3">
            <a:extLst>
              <a:ext uri="{FF2B5EF4-FFF2-40B4-BE49-F238E27FC236}">
                <a16:creationId xmlns:a16="http://schemas.microsoft.com/office/drawing/2014/main" id="{7C63CDEA-DD6F-480D-BE4B-4F39021281D6}"/>
              </a:ext>
            </a:extLst>
          </xdr:cNvPr>
          <xdr:cNvSpPr/>
        </xdr:nvSpPr>
        <xdr:spPr>
          <a:xfrm>
            <a:off x="7773260" y="2309204"/>
            <a:ext cx="2386543" cy="352593"/>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 Format &amp; Validate Sheets</a:t>
            </a:r>
            <a:endParaRPr lang="en-US" sz="1100" b="0" strike="noStrike" spc="-1">
              <a:latin typeface="+mn-lt"/>
            </a:endParaRPr>
          </a:p>
        </xdr:txBody>
      </xdr:sp>
    </xdr:grpSp>
    <xdr:clientData fLocksWithSheet="0" fPrintsWithSheet="0"/>
  </xdr:twoCellAnchor>
  <xdr:twoCellAnchor editAs="oneCell">
    <xdr:from>
      <xdr:col>2</xdr:col>
      <xdr:colOff>28575</xdr:colOff>
      <xdr:row>19</xdr:row>
      <xdr:rowOff>138112</xdr:rowOff>
    </xdr:from>
    <xdr:to>
      <xdr:col>2</xdr:col>
      <xdr:colOff>1080135</xdr:colOff>
      <xdr:row>20</xdr:row>
      <xdr:rowOff>138112</xdr:rowOff>
    </xdr:to>
    <xdr:sp macro="[0]!PopulateDownloadsPaths" textlink="" fLocksText="0">
      <xdr:nvSpPr>
        <xdr:cNvPr id="4" name="CustomShape 1_ 4">
          <a:extLst>
            <a:ext uri="{FF2B5EF4-FFF2-40B4-BE49-F238E27FC236}">
              <a16:creationId xmlns:a16="http://schemas.microsoft.com/office/drawing/2014/main" id="{31773083-70FB-47A1-8F58-573324DE95F1}"/>
            </a:ext>
          </a:extLst>
        </xdr:cNvPr>
        <xdr:cNvSpPr/>
      </xdr:nvSpPr>
      <xdr:spPr>
        <a:xfrm>
          <a:off x="10182225" y="3829050"/>
          <a:ext cx="1051560" cy="193357"/>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US" sz="1000" b="0" strike="noStrike" spc="-1">
              <a:solidFill>
                <a:schemeClr val="accent1">
                  <a:lumMod val="50000"/>
                </a:schemeClr>
              </a:solidFill>
              <a:latin typeface="+mn-lt"/>
            </a:rPr>
            <a:t>Set</a:t>
          </a:r>
          <a:r>
            <a:rPr lang="en-US" sz="1000" b="0" strike="noStrike" spc="-1" baseline="0">
              <a:solidFill>
                <a:schemeClr val="accent1">
                  <a:lumMod val="50000"/>
                </a:schemeClr>
              </a:solidFill>
              <a:latin typeface="+mn-lt"/>
            </a:rPr>
            <a:t> Default Path</a:t>
          </a:r>
          <a:endParaRPr lang="en-US" sz="1000" b="0" strike="noStrike" spc="-1">
            <a:solidFill>
              <a:schemeClr val="accent1">
                <a:lumMod val="50000"/>
              </a:schemeClr>
            </a:solidFill>
            <a:latin typeface="+mn-lt"/>
          </a:endParaRPr>
        </a:p>
      </xdr:txBody>
    </xdr:sp>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2</xdr:col>
      <xdr:colOff>730250</xdr:colOff>
      <xdr:row>1</xdr:row>
      <xdr:rowOff>17463</xdr:rowOff>
    </xdr:from>
    <xdr:to>
      <xdr:col>3</xdr:col>
      <xdr:colOff>1306512</xdr:colOff>
      <xdr:row>1</xdr:row>
      <xdr:rowOff>423863</xdr:rowOff>
    </xdr:to>
    <xdr:sp macro="[0]!Import_AdminPanel" textlink="">
      <xdr:nvSpPr>
        <xdr:cNvPr id="4" name="CustomShape 1_ 3">
          <a:extLst>
            <a:ext uri="{FF2B5EF4-FFF2-40B4-BE49-F238E27FC236}">
              <a16:creationId xmlns:a16="http://schemas.microsoft.com/office/drawing/2014/main" id="{E5468699-ECED-544F-A655-60F2095E0DB9}"/>
            </a:ext>
          </a:extLst>
        </xdr:cNvPr>
        <xdr:cNvSpPr/>
      </xdr:nvSpPr>
      <xdr:spPr>
        <a:xfrm>
          <a:off x="3530600" y="265113"/>
          <a:ext cx="1905000" cy="406400"/>
        </a:xfrm>
        <a:prstGeom prst="rect">
          <a:avLst/>
        </a:prstGeom>
        <a:solidFill>
          <a:srgbClr val="729FCF">
            <a:alpha val="100000"/>
          </a:srgbClr>
        </a:solidFill>
        <a:ln w="12700">
          <a:solidFill>
            <a:srgbClr val="3465A4"/>
          </a:solidFill>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0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0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twoCellAnchor>
  <xdr:twoCellAnchor editAs="absolute">
    <xdr:from>
      <xdr:col>4</xdr:col>
      <xdr:colOff>12700</xdr:colOff>
      <xdr:row>1</xdr:row>
      <xdr:rowOff>17463</xdr:rowOff>
    </xdr:from>
    <xdr:to>
      <xdr:col>5</xdr:col>
      <xdr:colOff>588962</xdr:colOff>
      <xdr:row>1</xdr:row>
      <xdr:rowOff>423863</xdr:rowOff>
    </xdr:to>
    <xdr:sp macro="[0]!FormatAndThenValidateAdminPanelV1" textlink="">
      <xdr:nvSpPr>
        <xdr:cNvPr id="3" name="CustomShape 1_ 11">
          <a:extLst>
            <a:ext uri="{FF2B5EF4-FFF2-40B4-BE49-F238E27FC236}">
              <a16:creationId xmlns:a16="http://schemas.microsoft.com/office/drawing/2014/main" id="{D782D1EB-60B0-4F9B-8101-3F1087FE8546}"/>
            </a:ext>
          </a:extLst>
        </xdr:cNvPr>
        <xdr:cNvSpPr/>
      </xdr:nvSpPr>
      <xdr:spPr>
        <a:xfrm>
          <a:off x="5613400" y="265113"/>
          <a:ext cx="1905000" cy="406400"/>
        </a:xfrm>
        <a:prstGeom prst="rect">
          <a:avLst/>
        </a:prstGeom>
        <a:solidFill>
          <a:srgbClr val="729FCF">
            <a:alpha val="100000"/>
          </a:srgbClr>
        </a:solidFill>
        <a:ln w="12700">
          <a:solidFill>
            <a:srgbClr val="3465A4"/>
          </a:solidFill>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000" b="1" i="0" u="none" strike="noStrike" kern="0" cap="none" spc="-1" normalizeH="0" baseline="0" noProof="0">
              <a:ln>
                <a:noFill/>
              </a:ln>
              <a:solidFill>
                <a:srgbClr val="FFFFFF"/>
              </a:solidFill>
              <a:effectLst/>
              <a:uLnTx/>
              <a:uFillTx/>
              <a:latin typeface="Calibri"/>
              <a:ea typeface="Calibri"/>
              <a:cs typeface="Calibri"/>
            </a:rPr>
            <a:t>Format/Validate</a:t>
          </a:r>
          <a:endParaRPr kumimoji="0" lang="en-US" sz="10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2251075</xdr:colOff>
      <xdr:row>1</xdr:row>
      <xdr:rowOff>19050</xdr:rowOff>
    </xdr:from>
    <xdr:to>
      <xdr:col>3</xdr:col>
      <xdr:colOff>541337</xdr:colOff>
      <xdr:row>1</xdr:row>
      <xdr:rowOff>425450</xdr:rowOff>
    </xdr:to>
    <xdr:sp macro="[0]!Import_Timebars" textlink="">
      <xdr:nvSpPr>
        <xdr:cNvPr id="6" name="CustomShape 1_ 3">
          <a:extLst>
            <a:ext uri="{FF2B5EF4-FFF2-40B4-BE49-F238E27FC236}">
              <a16:creationId xmlns:a16="http://schemas.microsoft.com/office/drawing/2014/main" id="{3F5B0009-4C3A-84ED-20C5-F8AC69A0EB5D}"/>
            </a:ext>
          </a:extLst>
        </xdr:cNvPr>
        <xdr:cNvSpPr/>
      </xdr:nvSpPr>
      <xdr:spPr>
        <a:xfrm>
          <a:off x="3479800" y="228600"/>
          <a:ext cx="1905000" cy="406400"/>
        </a:xfrm>
        <a:prstGeom prst="rect">
          <a:avLst/>
        </a:prstGeom>
        <a:solidFill>
          <a:srgbClr val="729FCF">
            <a:alpha val="100000"/>
          </a:srgbClr>
        </a:solidFill>
        <a:ln w="12700">
          <a:solidFill>
            <a:srgbClr val="3465A4"/>
          </a:solidFill>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000" b="1" i="0" u="none" strike="noStrike" kern="0" cap="none" spc="-1" normalizeH="0" baseline="0" noProof="0">
              <a:ln>
                <a:noFill/>
              </a:ln>
              <a:solidFill>
                <a:srgbClr val="FFFFFF"/>
              </a:solidFill>
              <a:effectLst/>
              <a:uLnTx/>
              <a:uFillTx/>
              <a:latin typeface="Calibri"/>
              <a:ea typeface="Calibri"/>
              <a:cs typeface="Calibri"/>
            </a:rPr>
            <a:t>Import</a:t>
          </a:r>
          <a:endParaRPr kumimoji="0" lang="en-US" sz="10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twoCellAnchor>
  <xdr:twoCellAnchor editAs="absolute">
    <xdr:from>
      <xdr:col>3</xdr:col>
      <xdr:colOff>719137</xdr:colOff>
      <xdr:row>1</xdr:row>
      <xdr:rowOff>19050</xdr:rowOff>
    </xdr:from>
    <xdr:to>
      <xdr:col>6</xdr:col>
      <xdr:colOff>138112</xdr:colOff>
      <xdr:row>1</xdr:row>
      <xdr:rowOff>425450</xdr:rowOff>
    </xdr:to>
    <xdr:sp macro="[0]!FormatAndThenValidateTimebarsV1" textlink="">
      <xdr:nvSpPr>
        <xdr:cNvPr id="2" name="CustomShape 1_ 11">
          <a:extLst>
            <a:ext uri="{FF2B5EF4-FFF2-40B4-BE49-F238E27FC236}">
              <a16:creationId xmlns:a16="http://schemas.microsoft.com/office/drawing/2014/main" id="{1EF2110C-557D-4711-9282-486615D5B7B1}"/>
            </a:ext>
          </a:extLst>
        </xdr:cNvPr>
        <xdr:cNvSpPr/>
      </xdr:nvSpPr>
      <xdr:spPr>
        <a:xfrm>
          <a:off x="5562600" y="228600"/>
          <a:ext cx="1905000" cy="406400"/>
        </a:xfrm>
        <a:prstGeom prst="rect">
          <a:avLst/>
        </a:prstGeom>
        <a:solidFill>
          <a:srgbClr val="729FCF">
            <a:alpha val="100000"/>
          </a:srgbClr>
        </a:solidFill>
        <a:ln w="12700">
          <a:solidFill>
            <a:srgbClr val="3465A4"/>
          </a:solidFill>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000" b="1" i="0" u="none" strike="noStrike" kern="0" cap="none" spc="-1" normalizeH="0" baseline="0" noProof="0">
              <a:ln>
                <a:noFill/>
              </a:ln>
              <a:solidFill>
                <a:srgbClr val="FFFFFF"/>
              </a:solidFill>
              <a:effectLst/>
              <a:uLnTx/>
              <a:uFillTx/>
              <a:latin typeface="Calibri"/>
              <a:ea typeface="Calibri"/>
              <a:cs typeface="Calibri"/>
            </a:rPr>
            <a:t>Format/Validate</a:t>
          </a:r>
          <a:endParaRPr kumimoji="0" lang="en-US" sz="10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twoCellAnchor>
  <xdr:twoCellAnchor editAs="absolute">
    <xdr:from>
      <xdr:col>9</xdr:col>
      <xdr:colOff>341312</xdr:colOff>
      <xdr:row>1</xdr:row>
      <xdr:rowOff>19050</xdr:rowOff>
    </xdr:from>
    <xdr:to>
      <xdr:col>13</xdr:col>
      <xdr:colOff>146050</xdr:colOff>
      <xdr:row>1</xdr:row>
      <xdr:rowOff>425450</xdr:rowOff>
    </xdr:to>
    <xdr:sp macro="[0]!SetSequentialNumbers" textlink="" fLocksText="0">
      <xdr:nvSpPr>
        <xdr:cNvPr id="3" name="CustomShape 1_ 4">
          <a:extLst>
            <a:ext uri="{FF2B5EF4-FFF2-40B4-BE49-F238E27FC236}">
              <a16:creationId xmlns:a16="http://schemas.microsoft.com/office/drawing/2014/main" id="{8E683BCD-4B86-4CB6-A671-B90734A7EAC9}"/>
            </a:ext>
          </a:extLst>
        </xdr:cNvPr>
        <xdr:cNvSpPr/>
      </xdr:nvSpPr>
      <xdr:spPr>
        <a:xfrm>
          <a:off x="9728200" y="228600"/>
          <a:ext cx="1905000" cy="406400"/>
        </a:xfrm>
        <a:prstGeom prst="rect">
          <a:avLst/>
        </a:prstGeom>
        <a:solidFill>
          <a:srgbClr val="729FCF">
            <a:alpha val="100000"/>
          </a:srgbClr>
        </a:solidFill>
        <a:ln w="12700">
          <a:solidFill>
            <a:srgbClr val="3465A4"/>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US" sz="1000" b="1" i="0" u="none" strike="noStrike" kern="0" cap="none" spc="-1" normalizeH="0" baseline="0" noProof="0">
              <a:ln>
                <a:noFill/>
              </a:ln>
              <a:solidFill>
                <a:srgbClr val="FFFFFF"/>
              </a:solidFill>
              <a:effectLst/>
              <a:uLnTx/>
              <a:uFillTx/>
              <a:latin typeface="Calibri"/>
              <a:ea typeface="Calibri"/>
              <a:cs typeface="Calibri"/>
            </a:rPr>
            <a:t>Generate Custon &amp; Kanban</a:t>
          </a:r>
          <a:br>
            <a:rPr kumimoji="0" lang="en-US" sz="1000" b="1" i="0" u="none" strike="noStrike" kern="0" cap="none" spc="-1" normalizeH="0" baseline="0" noProof="0">
              <a:ln>
                <a:noFill/>
              </a:ln>
              <a:solidFill>
                <a:srgbClr val="FFFFFF"/>
              </a:solidFill>
              <a:effectLst/>
              <a:uLnTx/>
              <a:uFillTx/>
              <a:latin typeface="Calibri"/>
              <a:ea typeface="Calibri"/>
              <a:cs typeface="Calibri"/>
            </a:rPr>
          </a:br>
          <a:r>
            <a:rPr kumimoji="0" lang="en-US" sz="1000" b="1" i="0" u="none" strike="noStrike" kern="0" cap="none" spc="-1" normalizeH="0" baseline="0" noProof="0">
              <a:ln>
                <a:noFill/>
              </a:ln>
              <a:solidFill>
                <a:srgbClr val="FFFFFF"/>
              </a:solidFill>
              <a:effectLst/>
              <a:uLnTx/>
              <a:uFillTx/>
              <a:latin typeface="Calibri"/>
              <a:ea typeface="Calibri"/>
              <a:cs typeface="Calibri"/>
            </a:rPr>
            <a:t>Coordinates</a:t>
          </a:r>
        </a:p>
      </xdr:txBody>
    </xdr:sp>
    <xdr:clientData fLocksWithSheet="0" fPrintsWithSheet="0"/>
  </xdr:twoCellAnchor>
  <xdr:twoCellAnchor editAs="absolute">
    <xdr:from>
      <xdr:col>6</xdr:col>
      <xdr:colOff>315912</xdr:colOff>
      <xdr:row>1</xdr:row>
      <xdr:rowOff>19050</xdr:rowOff>
    </xdr:from>
    <xdr:to>
      <xdr:col>9</xdr:col>
      <xdr:colOff>163512</xdr:colOff>
      <xdr:row>1</xdr:row>
      <xdr:rowOff>425450</xdr:rowOff>
    </xdr:to>
    <xdr:sp macro="[0]!ShowColumnManagerTimebars" textlink="">
      <xdr:nvSpPr>
        <xdr:cNvPr id="9" name="CustomShape 1_ 3">
          <a:extLst>
            <a:ext uri="{FF2B5EF4-FFF2-40B4-BE49-F238E27FC236}">
              <a16:creationId xmlns:a16="http://schemas.microsoft.com/office/drawing/2014/main" id="{394C4B25-3F41-49EC-A2E5-DCCDB94EB6F9}"/>
            </a:ext>
          </a:extLst>
        </xdr:cNvPr>
        <xdr:cNvSpPr/>
      </xdr:nvSpPr>
      <xdr:spPr>
        <a:xfrm>
          <a:off x="7645400" y="228600"/>
          <a:ext cx="1905000" cy="406400"/>
        </a:xfrm>
        <a:prstGeom prst="rect">
          <a:avLst/>
        </a:prstGeom>
        <a:solidFill>
          <a:srgbClr val="729FCF">
            <a:alpha val="100000"/>
          </a:srgbClr>
        </a:solidFill>
        <a:ln w="12700">
          <a:solidFill>
            <a:srgbClr val="3465A4"/>
          </a:solidFill>
        </a:ln>
        <a:effectLst>
          <a:outerShdw blurRad="50800" dist="50800" dir="5400000" sx="15000" sy="15000" algn="ctr" rotWithShape="0">
            <a:srgbClr val="000000">
              <a:alpha val="43137"/>
            </a:srgbClr>
          </a:outerShdw>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000" b="1" i="0" u="none" strike="noStrike" kern="0" cap="none" spc="-1" normalizeH="0" noProof="0">
              <a:ln>
                <a:noFill/>
              </a:ln>
              <a:solidFill>
                <a:srgbClr val="FFFFFF"/>
              </a:solidFill>
              <a:effectLst/>
              <a:uLnTx/>
              <a:uFillTx/>
              <a:latin typeface="Calibri"/>
              <a:ea typeface="Calibri"/>
              <a:cs typeface="Calibri"/>
            </a:rPr>
            <a:t>Toggle</a:t>
          </a:r>
          <a:r>
            <a:rPr kumimoji="0" lang="en-CA" sz="1000" b="1" i="0" u="none" strike="noStrike" kern="0" cap="none" spc="-1" normalizeH="0" baseline="0" noProof="0">
              <a:ln>
                <a:noFill/>
              </a:ln>
              <a:solidFill>
                <a:srgbClr val="FFFFFF"/>
              </a:solidFill>
              <a:effectLst/>
              <a:uLnTx/>
              <a:uFillTx/>
              <a:latin typeface="Calibri"/>
              <a:ea typeface="Calibri"/>
              <a:cs typeface="Calibri"/>
            </a:rPr>
            <a:t> Columns</a:t>
          </a:r>
          <a:endParaRPr kumimoji="0" lang="en-US" sz="1000" b="1" i="0" u="none" strike="noStrike" kern="0" cap="none" spc="-1" normalizeH="0" noProof="0">
            <a:ln>
              <a:noFill/>
            </a:ln>
            <a:solidFill>
              <a:srgbClr val="FFFFFF"/>
            </a:solidFill>
            <a:effectLst/>
            <a:uLnTx/>
            <a:uFillTx/>
            <a:latin typeface="Calibri"/>
            <a:ea typeface="Calibri"/>
            <a:cs typeface="Calibri"/>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485775</xdr:colOff>
      <xdr:row>1</xdr:row>
      <xdr:rowOff>69850</xdr:rowOff>
    </xdr:from>
    <xdr:to>
      <xdr:col>2</xdr:col>
      <xdr:colOff>2390775</xdr:colOff>
      <xdr:row>1</xdr:row>
      <xdr:rowOff>476250</xdr:rowOff>
    </xdr:to>
    <xdr:sp macro="[0]!Import_MetaData" textlink="">
      <xdr:nvSpPr>
        <xdr:cNvPr id="3" name="CustomShape 1_ 3">
          <a:extLst>
            <a:ext uri="{FF2B5EF4-FFF2-40B4-BE49-F238E27FC236}">
              <a16:creationId xmlns:a16="http://schemas.microsoft.com/office/drawing/2014/main" id="{9D0F4A5B-9AFF-4671-9B92-DEFDC8F1556A}"/>
            </a:ext>
          </a:extLst>
        </xdr:cNvPr>
        <xdr:cNvSpPr/>
      </xdr:nvSpPr>
      <xdr:spPr>
        <a:xfrm>
          <a:off x="1714500" y="317500"/>
          <a:ext cx="1905000" cy="406400"/>
        </a:xfrm>
        <a:prstGeom prst="rect">
          <a:avLst/>
        </a:prstGeom>
        <a:solidFill>
          <a:srgbClr val="729FCF">
            <a:alpha val="100000"/>
          </a:srgbClr>
        </a:solidFill>
        <a:ln w="12700">
          <a:solidFill>
            <a:srgbClr val="3465A4"/>
          </a:solidFill>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000" b="1" i="0" u="none" strike="noStrike" kern="0" cap="none" spc="-1" normalizeH="0" baseline="0" noProof="0">
              <a:ln>
                <a:noFill/>
              </a:ln>
              <a:solidFill>
                <a:srgbClr val="FFFFFF"/>
              </a:solidFill>
              <a:effectLst/>
              <a:uLnTx/>
              <a:uFillTx/>
              <a:latin typeface="Calibri"/>
              <a:ea typeface="Calibri"/>
              <a:cs typeface="Calibri"/>
            </a:rPr>
            <a:t>Import</a:t>
          </a:r>
        </a:p>
      </xdr:txBody>
    </xdr:sp>
    <xdr:clientData/>
  </xdr:twoCellAnchor>
  <xdr:twoCellAnchor editAs="absolute">
    <xdr:from>
      <xdr:col>2</xdr:col>
      <xdr:colOff>2568575</xdr:colOff>
      <xdr:row>1</xdr:row>
      <xdr:rowOff>69850</xdr:rowOff>
    </xdr:from>
    <xdr:to>
      <xdr:col>5</xdr:col>
      <xdr:colOff>201612</xdr:colOff>
      <xdr:row>1</xdr:row>
      <xdr:rowOff>476250</xdr:rowOff>
    </xdr:to>
    <xdr:sp macro="[0]!FormatAndThenValidateMetaDataV1" textlink="">
      <xdr:nvSpPr>
        <xdr:cNvPr id="7" name="CustomShape 1_ 11">
          <a:extLst>
            <a:ext uri="{FF2B5EF4-FFF2-40B4-BE49-F238E27FC236}">
              <a16:creationId xmlns:a16="http://schemas.microsoft.com/office/drawing/2014/main" id="{6E812911-6ECB-41CA-9680-52D4306789D8}"/>
            </a:ext>
          </a:extLst>
        </xdr:cNvPr>
        <xdr:cNvSpPr/>
      </xdr:nvSpPr>
      <xdr:spPr>
        <a:xfrm>
          <a:off x="3797300" y="317500"/>
          <a:ext cx="1905000" cy="406400"/>
        </a:xfrm>
        <a:prstGeom prst="rect">
          <a:avLst/>
        </a:prstGeom>
        <a:solidFill>
          <a:srgbClr val="729FCF">
            <a:alpha val="100000"/>
          </a:srgbClr>
        </a:solidFill>
        <a:ln w="12700">
          <a:solidFill>
            <a:srgbClr val="3465A4"/>
          </a:solidFill>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000" b="1" i="0" u="none" strike="noStrike" kern="0" cap="none" spc="-1" normalizeH="0" baseline="0" noProof="0">
              <a:ln>
                <a:noFill/>
              </a:ln>
              <a:solidFill>
                <a:srgbClr val="FFFFFF"/>
              </a:solidFill>
              <a:effectLst/>
              <a:uLnTx/>
              <a:uFillTx/>
              <a:latin typeface="Calibri"/>
              <a:ea typeface="Calibri"/>
              <a:cs typeface="Calibri"/>
            </a:rPr>
            <a:t>Format/Validate</a:t>
          </a:r>
          <a:endParaRPr kumimoji="0" lang="en-US" sz="1000" b="1" i="0" u="none" strike="noStrike" kern="0" cap="none" spc="-1" normalizeH="0" baseline="0" noProof="0">
            <a:ln>
              <a:noFill/>
            </a:ln>
            <a:solidFill>
              <a:srgbClr val="FFFFFF"/>
            </a:solidFill>
            <a:effectLst/>
            <a:uLnTx/>
            <a:uFillTx/>
            <a:latin typeface="Calibri"/>
            <a:ea typeface="Calibri"/>
            <a:cs typeface="Calibri"/>
          </a:endParaRPr>
        </a:p>
      </xdr:txBody>
    </xdr:sp>
    <xdr:clientData/>
  </xdr:twoCellAnchor>
  <xdr:twoCellAnchor editAs="absolute">
    <xdr:from>
      <xdr:col>5</xdr:col>
      <xdr:colOff>379412</xdr:colOff>
      <xdr:row>1</xdr:row>
      <xdr:rowOff>69850</xdr:rowOff>
    </xdr:from>
    <xdr:to>
      <xdr:col>7</xdr:col>
      <xdr:colOff>555625</xdr:colOff>
      <xdr:row>1</xdr:row>
      <xdr:rowOff>476250</xdr:rowOff>
    </xdr:to>
    <xdr:sp macro="[0]!ShowColumnManager" textlink="">
      <xdr:nvSpPr>
        <xdr:cNvPr id="2" name="CustomShape 1_ 3">
          <a:extLst>
            <a:ext uri="{FF2B5EF4-FFF2-40B4-BE49-F238E27FC236}">
              <a16:creationId xmlns:a16="http://schemas.microsoft.com/office/drawing/2014/main" id="{25AD6D4E-E47A-42C9-B8C6-AEA60D5E805E}"/>
            </a:ext>
          </a:extLst>
        </xdr:cNvPr>
        <xdr:cNvSpPr/>
      </xdr:nvSpPr>
      <xdr:spPr>
        <a:xfrm>
          <a:off x="5880100" y="317500"/>
          <a:ext cx="1905000" cy="406400"/>
        </a:xfrm>
        <a:prstGeom prst="rect">
          <a:avLst/>
        </a:prstGeom>
        <a:solidFill>
          <a:srgbClr val="729FCF">
            <a:alpha val="100000"/>
          </a:srgbClr>
        </a:solidFill>
        <a:ln w="12700">
          <a:solidFill>
            <a:srgbClr val="3465A4"/>
          </a:solidFill>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000" b="1" i="0" u="none" strike="noStrike" kern="0" cap="none" spc="-1" normalizeH="0" noProof="0">
              <a:ln>
                <a:noFill/>
              </a:ln>
              <a:solidFill>
                <a:srgbClr val="FFFFFF"/>
              </a:solidFill>
              <a:effectLst/>
              <a:uLnTx/>
              <a:uFillTx/>
              <a:latin typeface="Calibri"/>
              <a:ea typeface="Calibri"/>
              <a:cs typeface="Calibri"/>
            </a:rPr>
            <a:t>Toggle</a:t>
          </a:r>
          <a:r>
            <a:rPr kumimoji="0" lang="en-CA" sz="1000" b="1" i="0" u="none" strike="noStrike" kern="0" cap="none" spc="-1" normalizeH="0" baseline="0" noProof="0">
              <a:ln>
                <a:noFill/>
              </a:ln>
              <a:solidFill>
                <a:srgbClr val="FFFFFF"/>
              </a:solidFill>
              <a:effectLst/>
              <a:uLnTx/>
              <a:uFillTx/>
              <a:latin typeface="Calibri"/>
              <a:ea typeface="Calibri"/>
              <a:cs typeface="Calibri"/>
            </a:rPr>
            <a:t> Columns</a:t>
          </a:r>
          <a:endParaRPr kumimoji="0" lang="en-US" sz="1000" b="1" i="0" u="none" strike="noStrike" kern="0" cap="none" spc="-1" normalizeH="0" noProof="0">
            <a:ln>
              <a:noFill/>
            </a:ln>
            <a:solidFill>
              <a:srgbClr val="FFFFFF"/>
            </a:solidFill>
            <a:effectLst/>
            <a:uLnTx/>
            <a:uFillTx/>
            <a:latin typeface="Calibri"/>
            <a:ea typeface="Calibri"/>
            <a:cs typeface="Calibri"/>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938213</xdr:colOff>
          <xdr:row>0</xdr:row>
          <xdr:rowOff>61913</xdr:rowOff>
        </xdr:from>
        <xdr:to>
          <xdr:col>1</xdr:col>
          <xdr:colOff>785813</xdr:colOff>
          <xdr:row>0</xdr:row>
          <xdr:rowOff>381000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ea typeface="Calibri"/>
                  <a:cs typeface="Calibri"/>
                </a:rPr>
                <a:t>Refresh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2</xdr:col>
      <xdr:colOff>977477</xdr:colOff>
      <xdr:row>1</xdr:row>
      <xdr:rowOff>189973</xdr:rowOff>
    </xdr:from>
    <xdr:to>
      <xdr:col>3</xdr:col>
      <xdr:colOff>203367</xdr:colOff>
      <xdr:row>1</xdr:row>
      <xdr:rowOff>387616</xdr:rowOff>
    </xdr:to>
    <xdr:grpSp>
      <xdr:nvGrpSpPr>
        <xdr:cNvPr id="2" name="Group 1">
          <a:extLst>
            <a:ext uri="{FF2B5EF4-FFF2-40B4-BE49-F238E27FC236}">
              <a16:creationId xmlns:a16="http://schemas.microsoft.com/office/drawing/2014/main" id="{67130E6B-EA15-4D41-8D13-2B66ADE1C238}"/>
            </a:ext>
          </a:extLst>
        </xdr:cNvPr>
        <xdr:cNvGrpSpPr/>
      </xdr:nvGrpSpPr>
      <xdr:grpSpPr>
        <a:xfrm>
          <a:off x="2206202" y="437623"/>
          <a:ext cx="1411878" cy="197643"/>
          <a:chOff x="1135043" y="73787"/>
          <a:chExt cx="1662193" cy="244440"/>
        </a:xfrm>
      </xdr:grpSpPr>
      <xdr:sp macro="[0]!Import_Baseline" textlink="">
        <xdr:nvSpPr>
          <xdr:cNvPr id="3" name="CustomShape 1_ 3">
            <a:extLst>
              <a:ext uri="{FF2B5EF4-FFF2-40B4-BE49-F238E27FC236}">
                <a16:creationId xmlns:a16="http://schemas.microsoft.com/office/drawing/2014/main" id="{7EA056C0-D05A-B1A7-7A62-8D8FFD22BB50}"/>
              </a:ext>
            </a:extLst>
          </xdr:cNvPr>
          <xdr:cNvSpPr/>
        </xdr:nvSpPr>
        <xdr:spPr>
          <a:xfrm>
            <a:off x="1135043" y="73787"/>
            <a:ext cx="830880" cy="24444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 Data</a:t>
            </a:r>
            <a:endParaRPr lang="en-US" sz="1100" b="0" strike="noStrike" spc="-1">
              <a:latin typeface="+mn-lt"/>
            </a:endParaRPr>
          </a:p>
        </xdr:txBody>
      </xdr:sp>
      <xdr:sp macro="[0]!FormatAndThenValidateBaselineV1" textlink="">
        <xdr:nvSpPr>
          <xdr:cNvPr id="4" name="CustomShape 1_ 11">
            <a:extLst>
              <a:ext uri="{FF2B5EF4-FFF2-40B4-BE49-F238E27FC236}">
                <a16:creationId xmlns:a16="http://schemas.microsoft.com/office/drawing/2014/main" id="{BF9F62A7-6874-8A5C-8DD5-E0AEAB256D33}"/>
              </a:ext>
            </a:extLst>
          </xdr:cNvPr>
          <xdr:cNvSpPr/>
        </xdr:nvSpPr>
        <xdr:spPr>
          <a:xfrm>
            <a:off x="2116532" y="73787"/>
            <a:ext cx="680704" cy="24444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Format</a:t>
            </a:r>
            <a:endParaRPr lang="en-US" sz="1100" b="0" strike="noStrike" spc="-1">
              <a:latin typeface="+mn-lt"/>
            </a:endParaRPr>
          </a:p>
        </xdr:txBody>
      </xdr:sp>
    </xdr:grpSp>
    <xdr:clientData fLocksWithSheet="0"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2</xdr:col>
      <xdr:colOff>2366010</xdr:colOff>
      <xdr:row>1</xdr:row>
      <xdr:rowOff>143827</xdr:rowOff>
    </xdr:from>
    <xdr:to>
      <xdr:col>3</xdr:col>
      <xdr:colOff>321019</xdr:colOff>
      <xdr:row>1</xdr:row>
      <xdr:rowOff>341470</xdr:rowOff>
    </xdr:to>
    <xdr:sp macro="[0]!FormatAndThenValidateTBMDJoinedV1" textlink="" fLocksText="0">
      <xdr:nvSpPr>
        <xdr:cNvPr id="3" name="CustomShape 1_ 3">
          <a:extLst>
            <a:ext uri="{FF2B5EF4-FFF2-40B4-BE49-F238E27FC236}">
              <a16:creationId xmlns:a16="http://schemas.microsoft.com/office/drawing/2014/main" id="{84048B06-E99D-4E6B-A681-D275B2645636}"/>
            </a:ext>
          </a:extLst>
        </xdr:cNvPr>
        <xdr:cNvSpPr/>
      </xdr:nvSpPr>
      <xdr:spPr>
        <a:xfrm>
          <a:off x="3594735" y="362902"/>
          <a:ext cx="855372" cy="197643"/>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Format Data</a:t>
          </a:r>
          <a:endParaRPr lang="en-US" sz="1100" b="0" strike="noStrike" spc="-1">
            <a:latin typeface="+mn-lt"/>
          </a:endParaRPr>
        </a:p>
      </xdr:txBody>
    </xdr:sp>
    <xdr:clientData fLocksWithSheet="0" fPrintsWithSheet="0"/>
  </xdr:twoCellAnchor>
  <xdr:twoCellAnchor editAs="absolute">
    <xdr:from>
      <xdr:col>2</xdr:col>
      <xdr:colOff>1392555</xdr:colOff>
      <xdr:row>1</xdr:row>
      <xdr:rowOff>142874</xdr:rowOff>
    </xdr:from>
    <xdr:to>
      <xdr:col>2</xdr:col>
      <xdr:colOff>2289836</xdr:colOff>
      <xdr:row>1</xdr:row>
      <xdr:rowOff>340517</xdr:rowOff>
    </xdr:to>
    <xdr:sp macro="[0]!Import_TBMDJoined" textlink="" fLocksText="0">
      <xdr:nvSpPr>
        <xdr:cNvPr id="5" name="CustomShape 1_ 3">
          <a:extLst>
            <a:ext uri="{FF2B5EF4-FFF2-40B4-BE49-F238E27FC236}">
              <a16:creationId xmlns:a16="http://schemas.microsoft.com/office/drawing/2014/main" id="{0C97B6D0-8EF5-454F-AA8F-2A34CDE84617}"/>
            </a:ext>
          </a:extLst>
        </xdr:cNvPr>
        <xdr:cNvSpPr/>
      </xdr:nvSpPr>
      <xdr:spPr>
        <a:xfrm>
          <a:off x="2621280" y="361949"/>
          <a:ext cx="897281" cy="197643"/>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 Data</a:t>
          </a:r>
          <a:endParaRPr lang="en-US" sz="1100" b="0" strike="noStrike" spc="-1">
            <a:latin typeface="+mn-lt"/>
          </a:endParaRPr>
        </a:p>
      </xdr:txBody>
    </xdr:sp>
    <xdr:clientData fLocksWithSheet="0"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3</xdr:col>
      <xdr:colOff>262466</xdr:colOff>
      <xdr:row>1</xdr:row>
      <xdr:rowOff>88373</xdr:rowOff>
    </xdr:from>
    <xdr:to>
      <xdr:col>4</xdr:col>
      <xdr:colOff>35258</xdr:colOff>
      <xdr:row>1</xdr:row>
      <xdr:rowOff>286017</xdr:rowOff>
    </xdr:to>
    <xdr:sp macro="[0]!Import_Charts" textlink="">
      <xdr:nvSpPr>
        <xdr:cNvPr id="3" name="CustomShape 1_ 3">
          <a:extLst>
            <a:ext uri="{FF2B5EF4-FFF2-40B4-BE49-F238E27FC236}">
              <a16:creationId xmlns:a16="http://schemas.microsoft.com/office/drawing/2014/main" id="{0EEC2DAF-1A8B-D8B7-DA97-C964FC0F64DF}"/>
            </a:ext>
          </a:extLst>
        </xdr:cNvPr>
        <xdr:cNvSpPr/>
      </xdr:nvSpPr>
      <xdr:spPr>
        <a:xfrm>
          <a:off x="3491441" y="297923"/>
          <a:ext cx="868167" cy="197644"/>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 Data</a:t>
          </a:r>
          <a:endParaRPr lang="en-US" sz="1100" b="0" strike="noStrike" spc="-1">
            <a:latin typeface="+mn-lt"/>
          </a:endParaRPr>
        </a:p>
      </xdr:txBody>
    </xdr:sp>
    <xdr:clientData fLocksWithSheet="0"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4</xdr:col>
      <xdr:colOff>18097</xdr:colOff>
      <xdr:row>1</xdr:row>
      <xdr:rowOff>22860</xdr:rowOff>
    </xdr:from>
    <xdr:to>
      <xdr:col>6</xdr:col>
      <xdr:colOff>428458</xdr:colOff>
      <xdr:row>1</xdr:row>
      <xdr:rowOff>213639</xdr:rowOff>
    </xdr:to>
    <xdr:grpSp>
      <xdr:nvGrpSpPr>
        <xdr:cNvPr id="2" name="Group 1" descr="Make sure import is set to yes in bulk operations sheet">
          <a:extLst>
            <a:ext uri="{FF2B5EF4-FFF2-40B4-BE49-F238E27FC236}">
              <a16:creationId xmlns:a16="http://schemas.microsoft.com/office/drawing/2014/main" id="{5F01AA2E-0E6F-45CF-BCDC-2FDB1D25464E}"/>
            </a:ext>
          </a:extLst>
        </xdr:cNvPr>
        <xdr:cNvGrpSpPr/>
      </xdr:nvGrpSpPr>
      <xdr:grpSpPr>
        <a:xfrm>
          <a:off x="1975485" y="237173"/>
          <a:ext cx="2496336" cy="190779"/>
          <a:chOff x="2071677" y="41922"/>
          <a:chExt cx="2338960" cy="178531"/>
        </a:xfrm>
      </xdr:grpSpPr>
      <xdr:sp macro="[0]!Import_Resources" textlink="">
        <xdr:nvSpPr>
          <xdr:cNvPr id="3" name="CustomShape 1_ 3" descr="FafSDFsdd">
            <a:extLst>
              <a:ext uri="{FF2B5EF4-FFF2-40B4-BE49-F238E27FC236}">
                <a16:creationId xmlns:a16="http://schemas.microsoft.com/office/drawing/2014/main" id="{5ECE4DDD-427D-F040-236B-4B670ADBCD45}"/>
              </a:ext>
            </a:extLst>
          </xdr:cNvPr>
          <xdr:cNvSpPr/>
        </xdr:nvSpPr>
        <xdr:spPr>
          <a:xfrm>
            <a:off x="2071677" y="41922"/>
            <a:ext cx="829780" cy="17683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a:t>
            </a:r>
            <a:endParaRPr lang="en-US" sz="1100" b="0" strike="noStrike" spc="-1">
              <a:latin typeface="+mn-lt"/>
            </a:endParaRPr>
          </a:p>
        </xdr:txBody>
      </xdr:sp>
      <xdr:sp macro="[0]!FormatAndThenValidateResourcesV1" textlink="">
        <xdr:nvSpPr>
          <xdr:cNvPr id="4" name="CustomShape 1_ 11">
            <a:extLst>
              <a:ext uri="{FF2B5EF4-FFF2-40B4-BE49-F238E27FC236}">
                <a16:creationId xmlns:a16="http://schemas.microsoft.com/office/drawing/2014/main" id="{B64B1710-8770-790D-86CF-F92A3332F7D1}"/>
              </a:ext>
            </a:extLst>
          </xdr:cNvPr>
          <xdr:cNvSpPr/>
        </xdr:nvSpPr>
        <xdr:spPr>
          <a:xfrm>
            <a:off x="2982789" y="43618"/>
            <a:ext cx="1427848" cy="176835"/>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Format/Validate</a:t>
            </a:r>
            <a:endParaRPr lang="en-US" sz="1100" b="0" strike="noStrike" spc="-1">
              <a:latin typeface="+mn-lt"/>
            </a:endParaRPr>
          </a:p>
        </xdr:txBody>
      </xdr:sp>
    </xdr:grpSp>
    <xdr:clientData fLocksWithSheet="0" fPrintsWithSheet="0"/>
  </xdr:twoCellAnchor>
  <xdr:twoCellAnchor editAs="absolute">
    <xdr:from>
      <xdr:col>8</xdr:col>
      <xdr:colOff>37148</xdr:colOff>
      <xdr:row>1</xdr:row>
      <xdr:rowOff>45720</xdr:rowOff>
    </xdr:from>
    <xdr:to>
      <xdr:col>8</xdr:col>
      <xdr:colOff>914400</xdr:colOff>
      <xdr:row>1</xdr:row>
      <xdr:rowOff>251460</xdr:rowOff>
    </xdr:to>
    <xdr:sp macro="[0]!BuildHumanGenericFTEChart" textlink="">
      <xdr:nvSpPr>
        <xdr:cNvPr id="5" name="CustomShape 1_ 3">
          <a:extLst>
            <a:ext uri="{FF2B5EF4-FFF2-40B4-BE49-F238E27FC236}">
              <a16:creationId xmlns:a16="http://schemas.microsoft.com/office/drawing/2014/main" id="{B3EA0F27-D1BB-49C8-AF3D-43755472DDDC}"/>
            </a:ext>
          </a:extLst>
        </xdr:cNvPr>
        <xdr:cNvSpPr/>
      </xdr:nvSpPr>
      <xdr:spPr>
        <a:xfrm>
          <a:off x="6408420" y="259080"/>
          <a:ext cx="830580" cy="20574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Supply Chart</a:t>
          </a:r>
          <a:endParaRPr lang="en-US" sz="1100" b="0" strike="noStrike" spc="-1">
            <a:latin typeface="+mn-lt"/>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1506855</xdr:colOff>
      <xdr:row>1</xdr:row>
      <xdr:rowOff>0</xdr:rowOff>
    </xdr:from>
    <xdr:to>
      <xdr:col>3</xdr:col>
      <xdr:colOff>653140</xdr:colOff>
      <xdr:row>1</xdr:row>
      <xdr:rowOff>188961</xdr:rowOff>
    </xdr:to>
    <xdr:sp macro="[0]!Import_Schema" textlink="">
      <xdr:nvSpPr>
        <xdr:cNvPr id="3" name="CustomShape 1_ 3">
          <a:extLst>
            <a:ext uri="{FF2B5EF4-FFF2-40B4-BE49-F238E27FC236}">
              <a16:creationId xmlns:a16="http://schemas.microsoft.com/office/drawing/2014/main" id="{1E5C3EDD-98DA-735A-2919-5B7C7A6C516F}"/>
            </a:ext>
          </a:extLst>
        </xdr:cNvPr>
        <xdr:cNvSpPr/>
      </xdr:nvSpPr>
      <xdr:spPr>
        <a:xfrm>
          <a:off x="3135630" y="180975"/>
          <a:ext cx="884598" cy="188961"/>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a:t>
          </a:r>
          <a:endParaRPr lang="en-US" sz="1100" b="0" strike="noStrike" spc="-1">
            <a:latin typeface="+mn-lt"/>
          </a:endParaRPr>
        </a:p>
      </xdr:txBody>
    </xdr:sp>
    <xdr:clientData fLocksWithSheet="0"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1049655</xdr:colOff>
      <xdr:row>1</xdr:row>
      <xdr:rowOff>0</xdr:rowOff>
    </xdr:from>
    <xdr:to>
      <xdr:col>5</xdr:col>
      <xdr:colOff>128421</xdr:colOff>
      <xdr:row>1</xdr:row>
      <xdr:rowOff>190779</xdr:rowOff>
    </xdr:to>
    <xdr:grpSp>
      <xdr:nvGrpSpPr>
        <xdr:cNvPr id="2" name="Group 1">
          <a:extLst>
            <a:ext uri="{FF2B5EF4-FFF2-40B4-BE49-F238E27FC236}">
              <a16:creationId xmlns:a16="http://schemas.microsoft.com/office/drawing/2014/main" id="{639D2F8C-D49C-4C57-98F2-FAA8289C170B}"/>
            </a:ext>
          </a:extLst>
        </xdr:cNvPr>
        <xdr:cNvGrpSpPr/>
      </xdr:nvGrpSpPr>
      <xdr:grpSpPr>
        <a:xfrm>
          <a:off x="3135630" y="180975"/>
          <a:ext cx="2493479" cy="190779"/>
          <a:chOff x="2071677" y="41922"/>
          <a:chExt cx="2338960" cy="178531"/>
        </a:xfrm>
      </xdr:grpSpPr>
      <xdr:sp macro="[0]!Import_Tags" textlink="">
        <xdr:nvSpPr>
          <xdr:cNvPr id="3" name="CustomShape 1_ 3">
            <a:extLst>
              <a:ext uri="{FF2B5EF4-FFF2-40B4-BE49-F238E27FC236}">
                <a16:creationId xmlns:a16="http://schemas.microsoft.com/office/drawing/2014/main" id="{DBE1920B-7D78-7DB8-916E-2821F5E97B2A}"/>
              </a:ext>
            </a:extLst>
          </xdr:cNvPr>
          <xdr:cNvSpPr/>
        </xdr:nvSpPr>
        <xdr:spPr>
          <a:xfrm>
            <a:off x="2071677" y="41922"/>
            <a:ext cx="829780" cy="17683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a:t>
            </a:r>
            <a:endParaRPr lang="en-US" sz="1100" b="0" strike="noStrike" spc="-1">
              <a:latin typeface="+mn-lt"/>
            </a:endParaRPr>
          </a:p>
        </xdr:txBody>
      </xdr:sp>
      <xdr:sp macro="[0]!FormatAndThenValidateTagsV1" textlink="">
        <xdr:nvSpPr>
          <xdr:cNvPr id="4" name="CustomShape 1_ 11">
            <a:extLst>
              <a:ext uri="{FF2B5EF4-FFF2-40B4-BE49-F238E27FC236}">
                <a16:creationId xmlns:a16="http://schemas.microsoft.com/office/drawing/2014/main" id="{98816845-9A38-0EFE-67A8-8FA9CA37C9EB}"/>
              </a:ext>
            </a:extLst>
          </xdr:cNvPr>
          <xdr:cNvSpPr/>
        </xdr:nvSpPr>
        <xdr:spPr>
          <a:xfrm>
            <a:off x="2982789" y="43618"/>
            <a:ext cx="1427848" cy="176835"/>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Format/Validate</a:t>
            </a:r>
            <a:endParaRPr lang="en-US" sz="1100" b="0" strike="noStrike" spc="-1">
              <a:latin typeface="+mn-lt"/>
            </a:endParaRPr>
          </a:p>
        </xdr:txBody>
      </xdr:sp>
    </xdr:grpSp>
    <xdr:clientData fLocksWithSheet="0" fPrintsWithSheet="0"/>
  </xdr:twoCellAnchor>
</xdr:wsDr>
</file>

<file path=xl/drawings/drawing13.xml><?xml version="1.0" encoding="utf-8"?>
<xdr:wsDr xmlns:xdr="http://schemas.openxmlformats.org/drawingml/2006/spreadsheetDrawing" xmlns:a="http://schemas.openxmlformats.org/drawingml/2006/main">
  <xdr:absoluteAnchor>
    <xdr:pos x="2750945" y="384425"/>
    <xdr:ext cx="901440" cy="194359"/>
    <xdr:sp macro="" textlink="">
      <xdr:nvSpPr>
        <xdr:cNvPr id="2" name="CustomShape 5">
          <a:extLst>
            <a:ext uri="{FF2B5EF4-FFF2-40B4-BE49-F238E27FC236}">
              <a16:creationId xmlns:a16="http://schemas.microsoft.com/office/drawing/2014/main" id="{22BB5458-2E26-4C2D-A283-13027E5D50CB}"/>
            </a:ext>
          </a:extLst>
        </xdr:cNvPr>
        <xdr:cNvSpPr/>
      </xdr:nvSpPr>
      <xdr:spPr>
        <a:xfrm>
          <a:off x="2750945" y="384425"/>
          <a:ext cx="901440" cy="194359"/>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200" b="0" strike="noStrike" spc="-1">
              <a:solidFill>
                <a:srgbClr val="000000"/>
              </a:solidFill>
              <a:latin typeface="Times New Roman"/>
            </a:rPr>
            <a:t>Import Data</a:t>
          </a:r>
          <a:endParaRPr lang="en-US" sz="1200" b="0" strike="noStrike" spc="-1">
            <a:latin typeface="Times New Roman"/>
          </a:endParaRPr>
        </a:p>
      </xdr:txBody>
    </xdr:sp>
    <xdr:clientData/>
  </xdr:absoluteAnchor>
</xdr:wsDr>
</file>

<file path=xl/drawings/drawing14.xml><?xml version="1.0" encoding="utf-8"?>
<xdr:wsDr xmlns:xdr="http://schemas.openxmlformats.org/drawingml/2006/spreadsheetDrawing" xmlns:a="http://schemas.openxmlformats.org/drawingml/2006/main">
  <xdr:twoCellAnchor editAs="absolute">
    <xdr:from>
      <xdr:col>4</xdr:col>
      <xdr:colOff>1185863</xdr:colOff>
      <xdr:row>1</xdr:row>
      <xdr:rowOff>0</xdr:rowOff>
    </xdr:from>
    <xdr:to>
      <xdr:col>5</xdr:col>
      <xdr:colOff>649631</xdr:colOff>
      <xdr:row>1</xdr:row>
      <xdr:rowOff>197643</xdr:rowOff>
    </xdr:to>
    <xdr:sp macro="[0]!Import_Fields" textlink="" fLocksText="0">
      <xdr:nvSpPr>
        <xdr:cNvPr id="2" name="CustomShape 1_ 3">
          <a:extLst>
            <a:ext uri="{FF2B5EF4-FFF2-40B4-BE49-F238E27FC236}">
              <a16:creationId xmlns:a16="http://schemas.microsoft.com/office/drawing/2014/main" id="{31AD27FF-1263-4754-90C4-D371835719DD}"/>
            </a:ext>
          </a:extLst>
        </xdr:cNvPr>
        <xdr:cNvSpPr/>
      </xdr:nvSpPr>
      <xdr:spPr>
        <a:xfrm>
          <a:off x="3627120" y="182880"/>
          <a:ext cx="830606" cy="197643"/>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 Data</a:t>
          </a:r>
          <a:endParaRPr lang="en-US" sz="1100" b="0" strike="noStrike" spc="-1">
            <a:latin typeface="+mn-lt"/>
          </a:endParaRPr>
        </a:p>
      </xdr:txBody>
    </xdr:sp>
    <xdr:clientData fLocksWithSheet="0" fPrintsWithSheet="0"/>
  </xdr:twoCellAnchor>
  <xdr:twoCellAnchor editAs="absolute">
    <xdr:from>
      <xdr:col>5</xdr:col>
      <xdr:colOff>947737</xdr:colOff>
      <xdr:row>1</xdr:row>
      <xdr:rowOff>0</xdr:rowOff>
    </xdr:from>
    <xdr:to>
      <xdr:col>6</xdr:col>
      <xdr:colOff>907732</xdr:colOff>
      <xdr:row>1</xdr:row>
      <xdr:rowOff>228600</xdr:rowOff>
    </xdr:to>
    <xdr:sp macro="[0]!FormatAndThenValidateFieldsV1" textlink="">
      <xdr:nvSpPr>
        <xdr:cNvPr id="3" name="CustomShape 1_ 11">
          <a:extLst>
            <a:ext uri="{FF2B5EF4-FFF2-40B4-BE49-F238E27FC236}">
              <a16:creationId xmlns:a16="http://schemas.microsoft.com/office/drawing/2014/main" id="{A79339AC-9441-4071-B986-3CD4F4B2363B}"/>
            </a:ext>
          </a:extLst>
        </xdr:cNvPr>
        <xdr:cNvSpPr/>
      </xdr:nvSpPr>
      <xdr:spPr>
        <a:xfrm>
          <a:off x="4709160" y="182880"/>
          <a:ext cx="1074420" cy="22860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Format/Validate</a:t>
          </a:r>
          <a:endParaRPr lang="en-US" sz="1100" b="0" strike="noStrike" spc="-1">
            <a:latin typeface="+mn-lt"/>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1206499</xdr:colOff>
      <xdr:row>1</xdr:row>
      <xdr:rowOff>143407</xdr:rowOff>
    </xdr:from>
    <xdr:to>
      <xdr:col>4</xdr:col>
      <xdr:colOff>134999</xdr:colOff>
      <xdr:row>1</xdr:row>
      <xdr:rowOff>341050</xdr:rowOff>
    </xdr:to>
    <xdr:sp macro="[0]!Import_ResCalcs" textlink="">
      <xdr:nvSpPr>
        <xdr:cNvPr id="3" name="CustomShape 1_ 3">
          <a:extLst>
            <a:ext uri="{FF2B5EF4-FFF2-40B4-BE49-F238E27FC236}">
              <a16:creationId xmlns:a16="http://schemas.microsoft.com/office/drawing/2014/main" id="{50AA14A4-F0B8-7659-0605-CE625E6281F9}"/>
            </a:ext>
          </a:extLst>
        </xdr:cNvPr>
        <xdr:cNvSpPr/>
      </xdr:nvSpPr>
      <xdr:spPr>
        <a:xfrm>
          <a:off x="4206874" y="372007"/>
          <a:ext cx="895413" cy="197643"/>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 Data</a:t>
          </a:r>
          <a:endParaRPr lang="en-US" sz="1100" b="0" strike="noStrike" spc="-1">
            <a:latin typeface="+mn-lt"/>
          </a:endParaRPr>
        </a:p>
      </xdr:txBody>
    </xdr:sp>
    <xdr:clientData fLocksWithSheet="0"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3</xdr:col>
      <xdr:colOff>419100</xdr:colOff>
      <xdr:row>1</xdr:row>
      <xdr:rowOff>134940</xdr:rowOff>
    </xdr:from>
    <xdr:to>
      <xdr:col>4</xdr:col>
      <xdr:colOff>553168</xdr:colOff>
      <xdr:row>1</xdr:row>
      <xdr:rowOff>332583</xdr:rowOff>
    </xdr:to>
    <xdr:sp macro="[0]!Import_ResCalcs2" textlink="">
      <xdr:nvSpPr>
        <xdr:cNvPr id="3" name="CustomShape 1_ 3">
          <a:extLst>
            <a:ext uri="{FF2B5EF4-FFF2-40B4-BE49-F238E27FC236}">
              <a16:creationId xmlns:a16="http://schemas.microsoft.com/office/drawing/2014/main" id="{1858794B-E846-AEAE-0080-98215EAD5385}"/>
            </a:ext>
          </a:extLst>
        </xdr:cNvPr>
        <xdr:cNvSpPr/>
      </xdr:nvSpPr>
      <xdr:spPr>
        <a:xfrm>
          <a:off x="4052888" y="354015"/>
          <a:ext cx="1419943" cy="197643"/>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 Data</a:t>
          </a:r>
          <a:endParaRPr lang="en-US" sz="1100" b="0" strike="noStrike" spc="-1">
            <a:latin typeface="+mn-l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4</xdr:col>
      <xdr:colOff>0</xdr:colOff>
      <xdr:row>0</xdr:row>
      <xdr:rowOff>33341</xdr:rowOff>
    </xdr:from>
    <xdr:to>
      <xdr:col>4</xdr:col>
      <xdr:colOff>860496</xdr:colOff>
      <xdr:row>0</xdr:row>
      <xdr:rowOff>230984</xdr:rowOff>
    </xdr:to>
    <xdr:sp macro="[0]!Import_ResCalcsUsage" textlink="">
      <xdr:nvSpPr>
        <xdr:cNvPr id="7" name="CustomShape 1_ 3">
          <a:extLst>
            <a:ext uri="{FF2B5EF4-FFF2-40B4-BE49-F238E27FC236}">
              <a16:creationId xmlns:a16="http://schemas.microsoft.com/office/drawing/2014/main" id="{AF115571-87A2-B7BF-D845-1B4317DAFDAC}"/>
            </a:ext>
          </a:extLst>
        </xdr:cNvPr>
        <xdr:cNvSpPr/>
      </xdr:nvSpPr>
      <xdr:spPr>
        <a:xfrm>
          <a:off x="4752975" y="33341"/>
          <a:ext cx="860496" cy="197643"/>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100" b="0" strike="noStrike" spc="-1">
              <a:solidFill>
                <a:srgbClr val="000000"/>
              </a:solidFill>
              <a:latin typeface="+mn-lt"/>
            </a:rPr>
            <a:t>Import Data</a:t>
          </a:r>
          <a:endParaRPr lang="en-US" sz="1100" b="0" strike="noStrike" spc="-1">
            <a:latin typeface="+mn-lt"/>
          </a:endParaRPr>
        </a:p>
      </xdr:txBody>
    </xdr:sp>
    <xdr:clientData fLocksWithSheet="0"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1224471</xdr:colOff>
      <xdr:row>1</xdr:row>
      <xdr:rowOff>90360</xdr:rowOff>
    </xdr:from>
    <xdr:to>
      <xdr:col>2</xdr:col>
      <xdr:colOff>2289711</xdr:colOff>
      <xdr:row>1</xdr:row>
      <xdr:rowOff>334800</xdr:rowOff>
    </xdr:to>
    <xdr:sp macro="" textlink="">
      <xdr:nvSpPr>
        <xdr:cNvPr id="2" name="CustomShape 1_ 6">
          <a:extLst>
            <a:ext uri="{FF2B5EF4-FFF2-40B4-BE49-F238E27FC236}">
              <a16:creationId xmlns:a16="http://schemas.microsoft.com/office/drawing/2014/main" id="{117FBA1C-78DE-43F1-83CB-471BFAE275CE}"/>
            </a:ext>
          </a:extLst>
        </xdr:cNvPr>
        <xdr:cNvSpPr/>
      </xdr:nvSpPr>
      <xdr:spPr>
        <a:xfrm>
          <a:off x="2077650" y="90360"/>
          <a:ext cx="1065240" cy="24444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200" b="0" strike="noStrike" spc="-1">
              <a:solidFill>
                <a:srgbClr val="000000"/>
              </a:solidFill>
              <a:latin typeface="Times New Roman"/>
            </a:rPr>
            <a:t>Import Data</a:t>
          </a:r>
          <a:endParaRPr lang="en-US" sz="1200" b="0" strike="noStrike" spc="-1">
            <a:latin typeface="Times New Roman"/>
          </a:endParaRPr>
        </a:p>
      </xdr:txBody>
    </xdr:sp>
    <xdr:clientData fLocksWithSheet="0" fPrintsWithSheet="0"/>
  </xdr:twoCellAnchor>
  <xdr:twoCellAnchor editAs="absolute">
    <xdr:from>
      <xdr:col>2</xdr:col>
      <xdr:colOff>2413551</xdr:colOff>
      <xdr:row>1</xdr:row>
      <xdr:rowOff>95040</xdr:rowOff>
    </xdr:from>
    <xdr:to>
      <xdr:col>3</xdr:col>
      <xdr:colOff>2572</xdr:colOff>
      <xdr:row>1</xdr:row>
      <xdr:rowOff>339480</xdr:rowOff>
    </xdr:to>
    <xdr:sp macro="" textlink="">
      <xdr:nvSpPr>
        <xdr:cNvPr id="3" name="CustomShape 1_ 7">
          <a:extLst>
            <a:ext uri="{FF2B5EF4-FFF2-40B4-BE49-F238E27FC236}">
              <a16:creationId xmlns:a16="http://schemas.microsoft.com/office/drawing/2014/main" id="{5B75E24E-F172-4618-BDC6-A0161CDE76D8}"/>
            </a:ext>
          </a:extLst>
        </xdr:cNvPr>
        <xdr:cNvSpPr/>
      </xdr:nvSpPr>
      <xdr:spPr>
        <a:xfrm>
          <a:off x="3266730" y="95040"/>
          <a:ext cx="874740" cy="24444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200" b="0" strike="noStrike" spc="-1">
              <a:solidFill>
                <a:srgbClr val="000000"/>
              </a:solidFill>
              <a:latin typeface="Times New Roman"/>
            </a:rPr>
            <a:t>Format</a:t>
          </a:r>
          <a:endParaRPr lang="en-US" sz="1200" b="0" strike="noStrike" spc="-1">
            <a:latin typeface="Times New Roman"/>
          </a:endParaRPr>
        </a:p>
      </xdr:txBody>
    </xdr:sp>
    <xdr:clientData fLocksWithSheet="0" fPrintsWithSheet="0"/>
  </xdr:twoCellAnchor>
  <xdr:twoCellAnchor editAs="absolute">
    <xdr:from>
      <xdr:col>3</xdr:col>
      <xdr:colOff>114926</xdr:colOff>
      <xdr:row>1</xdr:row>
      <xdr:rowOff>101753</xdr:rowOff>
    </xdr:from>
    <xdr:to>
      <xdr:col>5</xdr:col>
      <xdr:colOff>339943</xdr:colOff>
      <xdr:row>1</xdr:row>
      <xdr:rowOff>347251</xdr:rowOff>
    </xdr:to>
    <xdr:sp macro="" textlink="">
      <xdr:nvSpPr>
        <xdr:cNvPr id="4" name="CustomShape 1_ 9">
          <a:extLst>
            <a:ext uri="{FF2B5EF4-FFF2-40B4-BE49-F238E27FC236}">
              <a16:creationId xmlns:a16="http://schemas.microsoft.com/office/drawing/2014/main" id="{D8A51C8B-C5D8-4B55-95EA-2F2F482A0FCF}"/>
            </a:ext>
          </a:extLst>
        </xdr:cNvPr>
        <xdr:cNvSpPr/>
      </xdr:nvSpPr>
      <xdr:spPr>
        <a:xfrm>
          <a:off x="4258301" y="101753"/>
          <a:ext cx="1009811" cy="24444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200" b="0" strike="noStrike" spc="-1">
              <a:solidFill>
                <a:srgbClr val="000000"/>
              </a:solidFill>
              <a:latin typeface="Times New Roman"/>
            </a:rPr>
            <a:t>Renumber Ids</a:t>
          </a:r>
          <a:endParaRPr lang="en-US" sz="1200" b="0" strike="noStrike" spc="-1">
            <a:latin typeface="Times New Roman"/>
          </a:endParaRPr>
        </a:p>
      </xdr:txBody>
    </xdr:sp>
    <xdr:clientData fLocksWithSheet="0" fPrintsWithSheet="0"/>
  </xdr:twoCellAnchor>
  <xdr:twoCellAnchor editAs="absolute">
    <xdr:from>
      <xdr:col>5</xdr:col>
      <xdr:colOff>420096</xdr:colOff>
      <xdr:row>1</xdr:row>
      <xdr:rowOff>112383</xdr:rowOff>
    </xdr:from>
    <xdr:to>
      <xdr:col>6</xdr:col>
      <xdr:colOff>489296</xdr:colOff>
      <xdr:row>1</xdr:row>
      <xdr:rowOff>356823</xdr:rowOff>
    </xdr:to>
    <xdr:sp macro="" textlink="">
      <xdr:nvSpPr>
        <xdr:cNvPr id="5" name="CustomShape 1_ 10">
          <a:extLst>
            <a:ext uri="{FF2B5EF4-FFF2-40B4-BE49-F238E27FC236}">
              <a16:creationId xmlns:a16="http://schemas.microsoft.com/office/drawing/2014/main" id="{99B8C091-CBDD-4E00-B21D-451525AEB1BB}"/>
            </a:ext>
          </a:extLst>
        </xdr:cNvPr>
        <xdr:cNvSpPr/>
      </xdr:nvSpPr>
      <xdr:spPr>
        <a:xfrm>
          <a:off x="5343788" y="112383"/>
          <a:ext cx="1013560" cy="24444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CA" sz="1200" b="0" strike="noStrike" spc="-1">
              <a:solidFill>
                <a:srgbClr val="000000"/>
              </a:solidFill>
              <a:latin typeface="Times New Roman"/>
            </a:rPr>
            <a:t>Calc Finish</a:t>
          </a:r>
          <a:endParaRPr lang="en-US" sz="1200" b="0" strike="noStrike" spc="-1">
            <a:latin typeface="Times New Roman"/>
          </a:endParaRPr>
        </a:p>
      </xdr:txBody>
    </xdr:sp>
    <xdr:clientData fLocksWithSheet="0"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50040</xdr:colOff>
      <xdr:row>0</xdr:row>
      <xdr:rowOff>0</xdr:rowOff>
    </xdr:from>
    <xdr:to>
      <xdr:col>0</xdr:col>
      <xdr:colOff>1550458</xdr:colOff>
      <xdr:row>0</xdr:row>
      <xdr:rowOff>370417</xdr:rowOff>
    </xdr:to>
    <xdr:sp macro="[0]!ClearLog" textlink="">
      <xdr:nvSpPr>
        <xdr:cNvPr id="11" name="CustomShape 1">
          <a:extLst>
            <a:ext uri="{FF2B5EF4-FFF2-40B4-BE49-F238E27FC236}">
              <a16:creationId xmlns:a16="http://schemas.microsoft.com/office/drawing/2014/main" id="{00000000-0008-0000-0D00-00000B000000}"/>
            </a:ext>
          </a:extLst>
        </xdr:cNvPr>
        <xdr:cNvSpPr/>
      </xdr:nvSpPr>
      <xdr:spPr>
        <a:xfrm>
          <a:off x="50040" y="0"/>
          <a:ext cx="1500418" cy="370417"/>
        </a:xfrm>
        <a:custGeom>
          <a:avLst/>
          <a:gdLst/>
          <a:ahLst/>
          <a:cxnLst/>
          <a:rect l="l" t="t" r="r" b="b"/>
          <a:pathLst>
            <a:path w="26997" h="1605">
              <a:moveTo>
                <a:pt x="267" y="0"/>
              </a:moveTo>
              <a:lnTo>
                <a:pt x="267" y="0"/>
              </a:lnTo>
              <a:cubicBezTo>
                <a:pt x="220" y="0"/>
                <a:pt x="174" y="12"/>
                <a:pt x="134" y="36"/>
              </a:cubicBezTo>
              <a:cubicBezTo>
                <a:pt x="93" y="59"/>
                <a:pt x="59" y="93"/>
                <a:pt x="36" y="134"/>
              </a:cubicBezTo>
              <a:cubicBezTo>
                <a:pt x="12" y="174"/>
                <a:pt x="0" y="220"/>
                <a:pt x="0" y="267"/>
              </a:cubicBezTo>
              <a:lnTo>
                <a:pt x="0" y="1336"/>
              </a:lnTo>
              <a:lnTo>
                <a:pt x="0" y="1337"/>
              </a:lnTo>
              <a:cubicBezTo>
                <a:pt x="0" y="1384"/>
                <a:pt x="12" y="1430"/>
                <a:pt x="36" y="1470"/>
              </a:cubicBezTo>
              <a:cubicBezTo>
                <a:pt x="59" y="1511"/>
                <a:pt x="93" y="1545"/>
                <a:pt x="134" y="1568"/>
              </a:cubicBezTo>
              <a:cubicBezTo>
                <a:pt x="174" y="1592"/>
                <a:pt x="220" y="1604"/>
                <a:pt x="267" y="1604"/>
              </a:cubicBezTo>
              <a:lnTo>
                <a:pt x="26728" y="1604"/>
              </a:lnTo>
              <a:lnTo>
                <a:pt x="26729" y="1604"/>
              </a:lnTo>
              <a:cubicBezTo>
                <a:pt x="26776" y="1604"/>
                <a:pt x="26822" y="1592"/>
                <a:pt x="26862" y="1568"/>
              </a:cubicBezTo>
              <a:cubicBezTo>
                <a:pt x="26903" y="1545"/>
                <a:pt x="26937" y="1511"/>
                <a:pt x="26960" y="1470"/>
              </a:cubicBezTo>
              <a:cubicBezTo>
                <a:pt x="26984" y="1430"/>
                <a:pt x="26996" y="1384"/>
                <a:pt x="26996" y="1337"/>
              </a:cubicBezTo>
              <a:lnTo>
                <a:pt x="26996" y="267"/>
              </a:lnTo>
              <a:lnTo>
                <a:pt x="26996" y="267"/>
              </a:lnTo>
              <a:lnTo>
                <a:pt x="26996" y="267"/>
              </a:lnTo>
              <a:cubicBezTo>
                <a:pt x="26996" y="220"/>
                <a:pt x="26984" y="174"/>
                <a:pt x="26960" y="134"/>
              </a:cubicBezTo>
              <a:cubicBezTo>
                <a:pt x="26937" y="93"/>
                <a:pt x="26903" y="59"/>
                <a:pt x="26862" y="36"/>
              </a:cubicBezTo>
              <a:cubicBezTo>
                <a:pt x="26822" y="12"/>
                <a:pt x="26776" y="0"/>
                <a:pt x="26729" y="0"/>
              </a:cubicBezTo>
              <a:lnTo>
                <a:pt x="267" y="0"/>
              </a:lnTo>
            </a:path>
          </a:pathLst>
        </a:custGeom>
        <a:solidFill>
          <a:srgbClr val="C9211E"/>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lang="en-US" sz="1800" b="1" strike="noStrike" spc="-1">
              <a:latin typeface="Calibri"/>
            </a:rPr>
            <a:t>Clear Log!</a:t>
          </a:r>
          <a:endParaRPr lang="en-CA" sz="1800" b="0" strike="noStrike" spc="-1">
            <a:latin typeface="Times New Roman"/>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Jim Cox" id="{0660380D-D060-40C9-83EB-4C2B98DD559B}" userId="7b461f1022f73b5b" providerId="Windows Live"/>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3" dT="2025-09-28T15:17:59.86" personId="{0660380D-D060-40C9-83EB-4C2B98DD559B}" id="{3B6FE760-43EA-4711-B512-4A32C4E9F940}">
    <text>Must be in this format: Jan25-2, Feb25-2</text>
  </threadedComment>
  <threadedComment ref="O3" dT="2025-09-28T15:20:34.98" personId="{0660380D-D060-40C9-83EB-4C2B98DD559B}" id="{1FCEAA6F-7903-4A2D-A70B-3A5CCCA0CD3D}">
    <text>Use for hiring plan</text>
  </threadedComment>
  <threadedComment ref="P3" dT="2025-09-28T15:21:50.59" personId="{0660380D-D060-40C9-83EB-4C2B98DD559B}" id="{3CF7B3BE-A679-4D62-9C8A-4A1E27C945EC}">
    <text>For resources leaving the organisation or other scenarios that may affect resource supply.</text>
  </threadedComment>
</ThreadedComments>
</file>

<file path=xl/threadedComments/threadedComment2.xml><?xml version="1.0" encoding="utf-8"?>
<ThreadedComments xmlns="http://schemas.microsoft.com/office/spreadsheetml/2018/threadedcomments" xmlns:x="http://schemas.openxmlformats.org/spreadsheetml/2006/main">
  <threadedComment ref="G3" dT="2026-08-13T13:51:48.40" personId="{0660380D-D060-40C9-83EB-4C2B98DD559B}" id="{86B5BCF9-89F9-48B2-9C57-7332EC64ED55}">
    <text xml:space="preserve">List must be sorted by for picklists to work. tbTagTbInternalName
</text>
  </threadedComment>
</ThreadedComments>
</file>

<file path=xl/threadedComments/threadedComment3.xml><?xml version="1.0" encoding="utf-8"?>
<ThreadedComments xmlns="http://schemas.microsoft.com/office/spreadsheetml/2018/threadedcomments" xmlns:x="http://schemas.openxmlformats.org/spreadsheetml/2006/main">
  <threadedComment ref="E3" dT="2026-08-13T13:51:48.40" personId="{0660380D-D060-40C9-83EB-4C2B98DD559B}" id="{5CE29FC1-3E01-4183-85BB-683BB7BB0DC5}">
    <text xml:space="preserve">List must be sorted by for picklists to work. tbTagTbInternalName
</text>
  </threadedComment>
  <threadedComment ref="J3" dT="2026-08-22T16:00:42.24" personId="{0660380D-D060-40C9-83EB-4C2B98DD559B}" id="{C540C8C8-A895-49A2-AAA7-5B19311ED53C}">
    <text>System means the value is controlled and used by the system. Certain features in the app rely on the exact value of Tag Name and should not be changed unless you decide not to use the report that depends on it.</text>
  </threadedComment>
</ThreadedComments>
</file>

<file path=xl/threadedComments/threadedComment4.xml><?xml version="1.0" encoding="utf-8"?>
<ThreadedComments xmlns="http://schemas.microsoft.com/office/spreadsheetml/2018/threadedcomments" xmlns:x="http://schemas.openxmlformats.org/spreadsheetml/2006/main">
  <threadedComment ref="J3" dT="2026-08-14T15:00:59.20" personId="{0660380D-D060-40C9-83EB-4C2B98DD559B}" id="{899A8232-A184-4519-A863-E8513923E617}">
    <text xml:space="preserve">The form is 4 columns wide, set to 1 to take up one column, 2 so the field is 2 columns wide etc. Change the order by adding a decimal point to the CRID to suit. Add the word “show” at the L1 to L5 levels to have the field appear in the report, blank or any other value will hide the filed in the form.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43"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7745A31-CE58-4F74-A4C1-BF3DCECE91AC}">
  <we:reference id="wa200009404" version="1.0.0.8" store="en-US" storeType="OMEX"/>
  <we:alternateReferences>
    <we:reference id="WA200009404" version="1.0.0.8" store="" storeType="OMEX"/>
  </we:alternateReferences>
  <we:properties>
    <we:property name="claude.fileId" value="&quot;04a54a56-804a-4055-ae6d-643618fe501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7.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microsoft.com/office/2017/10/relationships/threadedComment" Target="../threadedComments/threadedComment4.xml"/><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ortSht"/>
  <dimension ref="A1:X67"/>
  <sheetViews>
    <sheetView zoomScale="120" zoomScaleNormal="120" workbookViewId="0">
      <selection activeCell="A3" sqref="A3:XFD11"/>
    </sheetView>
  </sheetViews>
  <sheetFormatPr defaultColWidth="11.53125" defaultRowHeight="14.25"/>
  <cols>
    <col min="1" max="1" width="8.33203125" customWidth="1"/>
    <col min="2" max="2" width="20.53125" customWidth="1"/>
    <col min="3" max="3" width="11.1328125" customWidth="1"/>
    <col min="4" max="4" width="13.46484375" customWidth="1"/>
    <col min="5" max="5" width="21.86328125" customWidth="1"/>
    <col min="6" max="6" width="9.33203125" customWidth="1"/>
    <col min="7" max="7" width="10.33203125" style="1" customWidth="1"/>
    <col min="8" max="8" width="10.33203125" customWidth="1"/>
    <col min="9" max="9" width="21" customWidth="1"/>
    <col min="10" max="10" width="19.6640625" style="1" customWidth="1"/>
    <col min="11" max="11" width="16" customWidth="1"/>
    <col min="12" max="12" width="24" customWidth="1"/>
    <col min="13" max="16" width="7" customWidth="1"/>
    <col min="17" max="19" width="11" customWidth="1"/>
    <col min="21" max="21" width="20" customWidth="1"/>
    <col min="22" max="22" width="19.53125" customWidth="1"/>
    <col min="25" max="25" width="21.46484375" customWidth="1"/>
    <col min="26" max="26" width="24" customWidth="1"/>
  </cols>
  <sheetData>
    <row r="1" spans="1:24" ht="30.75" customHeight="1">
      <c r="G1" s="2"/>
      <c r="H1" s="3"/>
      <c r="U1" s="169" t="s">
        <v>0</v>
      </c>
      <c r="V1" s="169"/>
      <c r="W1" s="169"/>
      <c r="X1" s="169"/>
    </row>
    <row r="2" spans="1:24" ht="25.25" customHeight="1">
      <c r="A2" s="4" t="s">
        <v>1</v>
      </c>
      <c r="B2" s="5" t="s">
        <v>2</v>
      </c>
      <c r="C2" s="5" t="s">
        <v>3</v>
      </c>
      <c r="D2" s="5" t="s">
        <v>4</v>
      </c>
      <c r="E2" s="5" t="s">
        <v>5</v>
      </c>
      <c r="F2" s="5" t="s">
        <v>6</v>
      </c>
      <c r="G2" s="6" t="s">
        <v>7</v>
      </c>
      <c r="H2" s="6" t="s">
        <v>8</v>
      </c>
      <c r="I2" s="6" t="s">
        <v>9</v>
      </c>
      <c r="J2" s="6" t="s">
        <v>10</v>
      </c>
      <c r="K2" s="6" t="s">
        <v>11</v>
      </c>
      <c r="L2" s="6" t="s">
        <v>12</v>
      </c>
      <c r="M2" s="6" t="s">
        <v>13</v>
      </c>
      <c r="N2" s="6" t="s">
        <v>14</v>
      </c>
      <c r="O2" s="6" t="s">
        <v>15</v>
      </c>
      <c r="P2" s="6" t="s">
        <v>16</v>
      </c>
      <c r="Q2" s="6" t="s">
        <v>17</v>
      </c>
      <c r="R2" s="6" t="s">
        <v>18</v>
      </c>
      <c r="S2" s="6" t="s">
        <v>19</v>
      </c>
      <c r="T2" s="6" t="s">
        <v>20</v>
      </c>
      <c r="U2" s="7" t="s">
        <v>21</v>
      </c>
      <c r="V2" s="7" t="s">
        <v>22</v>
      </c>
      <c r="W2" s="8"/>
      <c r="X2" s="8"/>
    </row>
    <row r="3" spans="1:24">
      <c r="A3" s="90" t="s">
        <v>1627</v>
      </c>
      <c r="B3" s="90" t="s">
        <v>1628</v>
      </c>
      <c r="C3" s="90" t="s">
        <v>86</v>
      </c>
      <c r="D3" s="90"/>
      <c r="E3" s="90"/>
      <c r="F3" s="90"/>
      <c r="G3" s="91"/>
      <c r="H3" s="90"/>
      <c r="I3" s="90"/>
      <c r="J3" s="91"/>
      <c r="K3" s="92">
        <v>45959</v>
      </c>
      <c r="L3" s="92">
        <v>46651</v>
      </c>
      <c r="M3" s="90"/>
      <c r="N3" s="90"/>
      <c r="O3" s="90"/>
      <c r="P3" s="90"/>
      <c r="Q3" s="90"/>
      <c r="R3" s="90"/>
      <c r="S3" s="90"/>
      <c r="T3" s="90"/>
      <c r="U3" s="90" t="s">
        <v>1546</v>
      </c>
      <c r="V3" s="93">
        <v>45978.353206018517</v>
      </c>
    </row>
    <row r="4" spans="1:24">
      <c r="A4" s="90" t="s">
        <v>1629</v>
      </c>
      <c r="B4" s="90" t="s">
        <v>1630</v>
      </c>
      <c r="C4" s="90" t="s">
        <v>79</v>
      </c>
      <c r="D4" s="90"/>
      <c r="E4" s="90"/>
      <c r="F4" s="90"/>
      <c r="G4" s="91"/>
      <c r="H4" s="90"/>
      <c r="I4" s="90"/>
      <c r="J4" s="91"/>
      <c r="K4" s="92">
        <v>46261</v>
      </c>
      <c r="L4" s="92">
        <v>46490</v>
      </c>
      <c r="M4" s="90"/>
      <c r="N4" s="90"/>
      <c r="O4" s="90"/>
      <c r="P4" s="90"/>
      <c r="Q4" s="90"/>
      <c r="R4" s="90" t="s">
        <v>621</v>
      </c>
      <c r="S4" s="90"/>
      <c r="T4" s="90">
        <v>44</v>
      </c>
      <c r="U4" s="90" t="s">
        <v>1546</v>
      </c>
      <c r="V4" s="93">
        <v>45978.353206018517</v>
      </c>
    </row>
    <row r="5" spans="1:24">
      <c r="A5" s="90" t="s">
        <v>1631</v>
      </c>
      <c r="B5" s="90" t="s">
        <v>1632</v>
      </c>
      <c r="C5" s="90" t="s">
        <v>84</v>
      </c>
      <c r="D5" s="90" t="s">
        <v>196</v>
      </c>
      <c r="E5" s="90"/>
      <c r="F5" s="90"/>
      <c r="G5" s="91"/>
      <c r="H5" s="90"/>
      <c r="I5" s="90"/>
      <c r="J5" s="91"/>
      <c r="K5" s="92">
        <v>46262</v>
      </c>
      <c r="L5" s="92">
        <v>46491</v>
      </c>
      <c r="M5" s="90"/>
      <c r="N5" s="90"/>
      <c r="O5" s="90"/>
      <c r="P5" s="90"/>
      <c r="Q5" s="90"/>
      <c r="R5" s="90"/>
      <c r="S5" s="90"/>
      <c r="T5" s="90">
        <v>44</v>
      </c>
      <c r="U5" s="90" t="s">
        <v>1546</v>
      </c>
      <c r="V5" s="93">
        <v>45978.353206018517</v>
      </c>
    </row>
    <row r="6" spans="1:24">
      <c r="A6" s="90" t="s">
        <v>1633</v>
      </c>
      <c r="B6" s="90" t="s">
        <v>1634</v>
      </c>
      <c r="C6" s="90" t="s">
        <v>84</v>
      </c>
      <c r="D6" s="90" t="s">
        <v>196</v>
      </c>
      <c r="E6" s="90"/>
      <c r="F6" s="90"/>
      <c r="G6" s="91"/>
      <c r="H6" s="90"/>
      <c r="I6" s="90"/>
      <c r="J6" s="91"/>
      <c r="K6" s="92">
        <v>46261</v>
      </c>
      <c r="L6" s="92">
        <v>46276</v>
      </c>
      <c r="M6" s="90"/>
      <c r="N6" s="90"/>
      <c r="O6" s="90"/>
      <c r="P6" s="90"/>
      <c r="Q6" s="90"/>
      <c r="R6" s="90"/>
      <c r="S6" s="90"/>
      <c r="T6" s="90">
        <v>44</v>
      </c>
      <c r="U6" s="90" t="s">
        <v>1546</v>
      </c>
      <c r="V6" s="93">
        <v>45978.353206018517</v>
      </c>
    </row>
    <row r="7" spans="1:24">
      <c r="A7" s="90" t="s">
        <v>1635</v>
      </c>
      <c r="B7" s="90" t="s">
        <v>1636</v>
      </c>
      <c r="C7" s="90" t="s">
        <v>84</v>
      </c>
      <c r="D7" s="90" t="s">
        <v>196</v>
      </c>
      <c r="E7" s="90"/>
      <c r="F7" s="90"/>
      <c r="G7" s="91"/>
      <c r="H7" s="90"/>
      <c r="I7" s="90"/>
      <c r="J7" s="91"/>
      <c r="K7" s="92">
        <v>46283</v>
      </c>
      <c r="L7" s="92">
        <v>46299</v>
      </c>
      <c r="M7" s="90"/>
      <c r="N7" s="90"/>
      <c r="O7" s="90"/>
      <c r="P7" s="90"/>
      <c r="Q7" s="90"/>
      <c r="R7" s="90"/>
      <c r="S7" s="90"/>
      <c r="T7" s="90">
        <v>44</v>
      </c>
      <c r="U7" s="90" t="s">
        <v>1546</v>
      </c>
      <c r="V7" s="93">
        <v>45978.353206018517</v>
      </c>
    </row>
    <row r="8" spans="1:24">
      <c r="A8" s="90" t="s">
        <v>1637</v>
      </c>
      <c r="B8" s="90" t="s">
        <v>1638</v>
      </c>
      <c r="C8" s="90" t="s">
        <v>79</v>
      </c>
      <c r="D8" s="90"/>
      <c r="E8" s="90"/>
      <c r="F8" s="90"/>
      <c r="G8" s="91"/>
      <c r="H8" s="90"/>
      <c r="I8" s="90"/>
      <c r="J8" s="91"/>
      <c r="K8" s="92">
        <v>46501</v>
      </c>
      <c r="L8" s="92">
        <v>46622</v>
      </c>
      <c r="M8" s="90"/>
      <c r="N8" s="90"/>
      <c r="O8" s="90"/>
      <c r="P8" s="90"/>
      <c r="Q8" s="90"/>
      <c r="R8" s="90" t="s">
        <v>675</v>
      </c>
      <c r="S8" s="90"/>
      <c r="T8" s="90">
        <v>44</v>
      </c>
      <c r="U8" s="90" t="s">
        <v>1546</v>
      </c>
      <c r="V8" s="93">
        <v>45978.353206018517</v>
      </c>
    </row>
    <row r="9" spans="1:24">
      <c r="A9" s="90" t="s">
        <v>1639</v>
      </c>
      <c r="B9" s="90" t="s">
        <v>1640</v>
      </c>
      <c r="C9" s="90" t="s">
        <v>84</v>
      </c>
      <c r="D9" s="90" t="s">
        <v>196</v>
      </c>
      <c r="E9" s="90"/>
      <c r="F9" s="90"/>
      <c r="G9" s="91"/>
      <c r="H9" s="90"/>
      <c r="I9" s="90"/>
      <c r="J9" s="91"/>
      <c r="K9" s="92">
        <v>46501</v>
      </c>
      <c r="L9" s="92">
        <v>46622</v>
      </c>
      <c r="M9" s="90"/>
      <c r="N9" s="90"/>
      <c r="O9" s="90"/>
      <c r="P9" s="90"/>
      <c r="Q9" s="90"/>
      <c r="R9" s="90"/>
      <c r="S9" s="90"/>
      <c r="T9" s="90">
        <v>44</v>
      </c>
      <c r="U9" s="90" t="s">
        <v>1546</v>
      </c>
      <c r="V9" s="93">
        <v>45978.353206018517</v>
      </c>
    </row>
    <row r="10" spans="1:24">
      <c r="A10" s="90" t="s">
        <v>1641</v>
      </c>
      <c r="B10" s="90" t="s">
        <v>631</v>
      </c>
      <c r="C10" s="90" t="s">
        <v>79</v>
      </c>
      <c r="D10" s="90"/>
      <c r="E10" s="90"/>
      <c r="F10" s="90"/>
      <c r="G10" s="91"/>
      <c r="H10" s="90"/>
      <c r="I10" s="90"/>
      <c r="J10" s="91"/>
      <c r="K10" s="92">
        <v>45960</v>
      </c>
      <c r="L10" s="92">
        <v>46103</v>
      </c>
      <c r="M10" s="90"/>
      <c r="N10" s="90"/>
      <c r="O10" s="90"/>
      <c r="P10" s="90"/>
      <c r="Q10" s="90"/>
      <c r="R10" s="90" t="s">
        <v>621</v>
      </c>
      <c r="S10" s="90"/>
      <c r="T10" s="90">
        <v>45</v>
      </c>
      <c r="U10" s="90" t="s">
        <v>1546</v>
      </c>
      <c r="V10" s="93">
        <v>45978.353206018517</v>
      </c>
    </row>
    <row r="11" spans="1:24">
      <c r="A11" s="90" t="s">
        <v>1642</v>
      </c>
      <c r="B11" s="90" t="s">
        <v>1643</v>
      </c>
      <c r="C11" s="90" t="s">
        <v>708</v>
      </c>
      <c r="D11" s="90" t="s">
        <v>196</v>
      </c>
      <c r="E11" s="90"/>
      <c r="F11" s="90"/>
      <c r="G11" s="91"/>
      <c r="H11" s="90"/>
      <c r="I11" s="90"/>
      <c r="J11" s="91"/>
      <c r="K11" s="92">
        <v>45998</v>
      </c>
      <c r="L11" s="92">
        <v>46070</v>
      </c>
      <c r="M11" s="90"/>
      <c r="N11" s="90"/>
      <c r="O11" s="90"/>
      <c r="P11" s="90"/>
      <c r="Q11" s="90"/>
      <c r="R11" s="90"/>
      <c r="S11" s="90"/>
      <c r="T11" s="90">
        <v>44</v>
      </c>
      <c r="U11" s="90" t="s">
        <v>1546</v>
      </c>
      <c r="V11" s="93">
        <v>45978.353206018517</v>
      </c>
    </row>
    <row r="12" spans="1:24">
      <c r="A12" s="90" t="s">
        <v>1644</v>
      </c>
      <c r="B12" s="90" t="s">
        <v>1645</v>
      </c>
      <c r="C12" s="90" t="s">
        <v>84</v>
      </c>
      <c r="D12" s="90"/>
      <c r="E12" s="90"/>
      <c r="F12" s="90"/>
      <c r="G12" s="91"/>
      <c r="H12" s="90"/>
      <c r="I12" s="90"/>
      <c r="J12" s="91"/>
      <c r="K12" s="92">
        <v>45960</v>
      </c>
      <c r="L12" s="92">
        <v>46103</v>
      </c>
      <c r="M12" s="90"/>
      <c r="N12" s="90"/>
      <c r="O12" s="90"/>
      <c r="P12" s="90"/>
      <c r="Q12" s="90"/>
      <c r="R12" s="90"/>
      <c r="S12" s="90"/>
      <c r="T12" s="90"/>
      <c r="U12" s="90" t="s">
        <v>1546</v>
      </c>
      <c r="V12" s="93">
        <v>45978.353206018517</v>
      </c>
    </row>
    <row r="13" spans="1:24">
      <c r="A13" s="90" t="s">
        <v>1646</v>
      </c>
      <c r="B13" s="90" t="s">
        <v>1647</v>
      </c>
      <c r="C13" s="90" t="s">
        <v>79</v>
      </c>
      <c r="D13" s="90"/>
      <c r="E13" s="90"/>
      <c r="F13" s="90"/>
      <c r="G13" s="91"/>
      <c r="H13" s="90"/>
      <c r="I13" s="90"/>
      <c r="J13" s="91"/>
      <c r="K13" s="92">
        <v>46110</v>
      </c>
      <c r="L13" s="92">
        <v>46243</v>
      </c>
      <c r="M13" s="90"/>
      <c r="N13" s="90"/>
      <c r="O13" s="90"/>
      <c r="P13" s="90"/>
      <c r="Q13" s="90"/>
      <c r="R13" s="90" t="s">
        <v>621</v>
      </c>
      <c r="S13" s="90"/>
      <c r="T13" s="90">
        <v>44</v>
      </c>
      <c r="U13" s="90" t="s">
        <v>1546</v>
      </c>
      <c r="V13" s="93">
        <v>45978.353206018517</v>
      </c>
    </row>
    <row r="14" spans="1:24">
      <c r="A14" s="90" t="s">
        <v>1648</v>
      </c>
      <c r="B14" s="90" t="s">
        <v>1649</v>
      </c>
      <c r="C14" s="90" t="s">
        <v>84</v>
      </c>
      <c r="D14" s="90" t="s">
        <v>196</v>
      </c>
      <c r="E14" s="90"/>
      <c r="F14" s="90"/>
      <c r="G14" s="91"/>
      <c r="H14" s="90"/>
      <c r="I14" s="90"/>
      <c r="J14" s="91"/>
      <c r="K14" s="92">
        <v>46110</v>
      </c>
      <c r="L14" s="92">
        <v>46248</v>
      </c>
      <c r="M14" s="90"/>
      <c r="N14" s="90"/>
      <c r="O14" s="90"/>
      <c r="P14" s="90"/>
      <c r="Q14" s="90"/>
      <c r="R14" s="90"/>
      <c r="S14" s="90"/>
      <c r="T14" s="90">
        <v>44</v>
      </c>
      <c r="U14" s="90" t="s">
        <v>1546</v>
      </c>
      <c r="V14" s="93">
        <v>45978.353206018517</v>
      </c>
    </row>
    <row r="15" spans="1:24">
      <c r="A15" s="90" t="s">
        <v>1650</v>
      </c>
      <c r="B15" s="90" t="s">
        <v>1651</v>
      </c>
      <c r="C15" s="90" t="s">
        <v>708</v>
      </c>
      <c r="D15" s="90" t="s">
        <v>196</v>
      </c>
      <c r="E15" s="90"/>
      <c r="F15" s="90"/>
      <c r="G15" s="91"/>
      <c r="H15" s="90"/>
      <c r="I15" s="90"/>
      <c r="J15" s="91"/>
      <c r="K15" s="92">
        <v>46172</v>
      </c>
      <c r="L15" s="92">
        <v>46239</v>
      </c>
      <c r="M15" s="90"/>
      <c r="N15" s="90"/>
      <c r="O15" s="90"/>
      <c r="P15" s="90"/>
      <c r="Q15" s="90"/>
      <c r="R15" s="90"/>
      <c r="S15" s="90"/>
      <c r="T15" s="90">
        <v>44</v>
      </c>
      <c r="U15" s="90" t="s">
        <v>1546</v>
      </c>
      <c r="V15" s="93">
        <v>45978.353206018517</v>
      </c>
    </row>
    <row r="16" spans="1:24">
      <c r="A16" s="90" t="s">
        <v>1652</v>
      </c>
      <c r="B16" s="90" t="s">
        <v>1653</v>
      </c>
      <c r="C16" s="90" t="s">
        <v>79</v>
      </c>
      <c r="D16" s="90"/>
      <c r="E16" s="90"/>
      <c r="F16" s="90"/>
      <c r="G16" s="91"/>
      <c r="H16" s="90"/>
      <c r="I16" s="90"/>
      <c r="J16" s="91"/>
      <c r="K16" s="92">
        <v>45961</v>
      </c>
      <c r="L16" s="92">
        <v>46079</v>
      </c>
      <c r="M16" s="90"/>
      <c r="N16" s="90"/>
      <c r="O16" s="90"/>
      <c r="P16" s="90"/>
      <c r="Q16" s="90"/>
      <c r="R16" s="90" t="s">
        <v>621</v>
      </c>
      <c r="S16" s="90"/>
      <c r="T16" s="90"/>
      <c r="U16" s="90" t="s">
        <v>1546</v>
      </c>
      <c r="V16" s="93">
        <v>45978.353206018517</v>
      </c>
    </row>
    <row r="17" spans="1:22">
      <c r="A17" s="90" t="s">
        <v>1654</v>
      </c>
      <c r="B17" s="90" t="s">
        <v>1655</v>
      </c>
      <c r="C17" s="90" t="s">
        <v>84</v>
      </c>
      <c r="D17" s="90" t="s">
        <v>196</v>
      </c>
      <c r="E17" s="90"/>
      <c r="F17" s="90"/>
      <c r="G17" s="91"/>
      <c r="H17" s="90"/>
      <c r="I17" s="90"/>
      <c r="J17" s="91"/>
      <c r="K17" s="92">
        <v>45961</v>
      </c>
      <c r="L17" s="92">
        <v>46079</v>
      </c>
      <c r="M17" s="90"/>
      <c r="N17" s="90"/>
      <c r="O17" s="90"/>
      <c r="P17" s="90"/>
      <c r="Q17" s="90"/>
      <c r="R17" s="90"/>
      <c r="S17" s="90"/>
      <c r="T17" s="90">
        <v>44</v>
      </c>
      <c r="U17" s="90" t="s">
        <v>1546</v>
      </c>
      <c r="V17" s="93">
        <v>45978.353206018517</v>
      </c>
    </row>
    <row r="18" spans="1:22">
      <c r="A18" s="90" t="s">
        <v>1656</v>
      </c>
      <c r="B18" s="90" t="s">
        <v>1657</v>
      </c>
      <c r="C18" s="90" t="s">
        <v>79</v>
      </c>
      <c r="D18" s="90"/>
      <c r="E18" s="90"/>
      <c r="F18" s="90"/>
      <c r="G18" s="91"/>
      <c r="H18" s="90"/>
      <c r="I18" s="90"/>
      <c r="J18" s="91"/>
      <c r="K18" s="92">
        <v>46085</v>
      </c>
      <c r="L18" s="92">
        <v>46270</v>
      </c>
      <c r="M18" s="90"/>
      <c r="N18" s="90"/>
      <c r="O18" s="90"/>
      <c r="P18" s="90"/>
      <c r="Q18" s="90"/>
      <c r="R18" s="90" t="s">
        <v>621</v>
      </c>
      <c r="S18" s="90"/>
      <c r="T18" s="90">
        <v>44</v>
      </c>
      <c r="U18" s="90" t="s">
        <v>1546</v>
      </c>
      <c r="V18" s="93">
        <v>45978.353206018517</v>
      </c>
    </row>
    <row r="19" spans="1:22">
      <c r="A19" s="90" t="s">
        <v>1658</v>
      </c>
      <c r="B19" s="90" t="s">
        <v>1659</v>
      </c>
      <c r="C19" s="90" t="s">
        <v>84</v>
      </c>
      <c r="D19" s="90" t="s">
        <v>196</v>
      </c>
      <c r="E19" s="90"/>
      <c r="F19" s="90"/>
      <c r="G19" s="91"/>
      <c r="H19" s="90"/>
      <c r="I19" s="90"/>
      <c r="J19" s="91"/>
      <c r="K19" s="92">
        <v>46085</v>
      </c>
      <c r="L19" s="92">
        <v>46270</v>
      </c>
      <c r="M19" s="90"/>
      <c r="N19" s="90"/>
      <c r="O19" s="90"/>
      <c r="P19" s="90"/>
      <c r="Q19" s="90"/>
      <c r="R19" s="90"/>
      <c r="S19" s="90"/>
      <c r="T19" s="90">
        <v>44</v>
      </c>
      <c r="U19" s="90" t="s">
        <v>1546</v>
      </c>
      <c r="V19" s="93">
        <v>45978.353206018517</v>
      </c>
    </row>
    <row r="20" spans="1:22">
      <c r="A20" s="90" t="s">
        <v>1660</v>
      </c>
      <c r="B20" s="90" t="s">
        <v>1661</v>
      </c>
      <c r="C20" s="90" t="s">
        <v>79</v>
      </c>
      <c r="D20" s="90"/>
      <c r="E20" s="90"/>
      <c r="F20" s="90"/>
      <c r="G20" s="91"/>
      <c r="H20" s="90"/>
      <c r="I20" s="90"/>
      <c r="J20" s="91"/>
      <c r="K20" s="92">
        <v>45989</v>
      </c>
      <c r="L20" s="92">
        <v>46140</v>
      </c>
      <c r="M20" s="90"/>
      <c r="N20" s="90"/>
      <c r="O20" s="90"/>
      <c r="P20" s="90"/>
      <c r="Q20" s="90"/>
      <c r="R20" s="90" t="s">
        <v>621</v>
      </c>
      <c r="S20" s="90"/>
      <c r="T20" s="90">
        <v>44</v>
      </c>
      <c r="U20" s="90" t="s">
        <v>1546</v>
      </c>
      <c r="V20" s="93">
        <v>45978.353206018517</v>
      </c>
    </row>
    <row r="21" spans="1:22">
      <c r="A21" s="90" t="s">
        <v>1662</v>
      </c>
      <c r="B21" s="90" t="s">
        <v>1663</v>
      </c>
      <c r="C21" s="90" t="s">
        <v>84</v>
      </c>
      <c r="D21" s="90" t="s">
        <v>196</v>
      </c>
      <c r="E21" s="90"/>
      <c r="F21" s="90"/>
      <c r="G21" s="91"/>
      <c r="H21" s="90"/>
      <c r="I21" s="90"/>
      <c r="J21" s="91"/>
      <c r="K21" s="92">
        <v>45988</v>
      </c>
      <c r="L21" s="92">
        <v>46139</v>
      </c>
      <c r="M21" s="90"/>
      <c r="N21" s="90"/>
      <c r="O21" s="90"/>
      <c r="P21" s="90"/>
      <c r="Q21" s="90"/>
      <c r="R21" s="90"/>
      <c r="S21" s="90"/>
      <c r="T21" s="90">
        <v>44</v>
      </c>
      <c r="U21" s="90" t="s">
        <v>1546</v>
      </c>
      <c r="V21" s="93">
        <v>45978.353206018517</v>
      </c>
    </row>
    <row r="22" spans="1:22">
      <c r="A22" s="90" t="s">
        <v>1664</v>
      </c>
      <c r="B22" s="90" t="s">
        <v>1665</v>
      </c>
      <c r="C22" s="90" t="s">
        <v>79</v>
      </c>
      <c r="D22" s="90"/>
      <c r="E22" s="90"/>
      <c r="F22" s="90"/>
      <c r="G22" s="91"/>
      <c r="H22" s="90"/>
      <c r="I22" s="90"/>
      <c r="J22" s="91"/>
      <c r="K22" s="92">
        <v>46411</v>
      </c>
      <c r="L22" s="92">
        <v>46588</v>
      </c>
      <c r="M22" s="90"/>
      <c r="N22" s="90"/>
      <c r="O22" s="90"/>
      <c r="P22" s="90"/>
      <c r="Q22" s="90"/>
      <c r="R22" s="90" t="s">
        <v>675</v>
      </c>
      <c r="S22" s="90"/>
      <c r="T22" s="90">
        <v>44</v>
      </c>
      <c r="U22" s="90" t="s">
        <v>1546</v>
      </c>
      <c r="V22" s="93">
        <v>45978.353206018517</v>
      </c>
    </row>
    <row r="23" spans="1:22">
      <c r="A23" s="90" t="s">
        <v>1666</v>
      </c>
      <c r="B23" s="90" t="s">
        <v>1667</v>
      </c>
      <c r="C23" s="90" t="s">
        <v>84</v>
      </c>
      <c r="D23" s="90" t="s">
        <v>196</v>
      </c>
      <c r="E23" s="90"/>
      <c r="F23" s="90"/>
      <c r="G23" s="91"/>
      <c r="H23" s="90"/>
      <c r="I23" s="90"/>
      <c r="J23" s="91"/>
      <c r="K23" s="92">
        <v>46411</v>
      </c>
      <c r="L23" s="92">
        <v>46588</v>
      </c>
      <c r="M23" s="90"/>
      <c r="N23" s="90"/>
      <c r="O23" s="90"/>
      <c r="P23" s="90"/>
      <c r="Q23" s="90"/>
      <c r="R23" s="90"/>
      <c r="S23" s="90"/>
      <c r="T23" s="90">
        <v>44</v>
      </c>
      <c r="U23" s="90" t="s">
        <v>1546</v>
      </c>
      <c r="V23" s="93">
        <v>45978.353206018517</v>
      </c>
    </row>
    <row r="24" spans="1:22">
      <c r="A24" s="90" t="s">
        <v>1668</v>
      </c>
      <c r="B24" s="90" t="s">
        <v>1669</v>
      </c>
      <c r="C24" s="90" t="s">
        <v>79</v>
      </c>
      <c r="D24" s="90"/>
      <c r="E24" s="90"/>
      <c r="F24" s="90"/>
      <c r="G24" s="91"/>
      <c r="H24" s="90"/>
      <c r="I24" s="90"/>
      <c r="J24" s="91"/>
      <c r="K24" s="92">
        <v>46277</v>
      </c>
      <c r="L24" s="92">
        <v>46358</v>
      </c>
      <c r="M24" s="90"/>
      <c r="N24" s="90"/>
      <c r="O24" s="90"/>
      <c r="P24" s="90"/>
      <c r="Q24" s="90"/>
      <c r="R24" s="90" t="s">
        <v>621</v>
      </c>
      <c r="S24" s="90"/>
      <c r="T24" s="90">
        <v>44</v>
      </c>
      <c r="U24" s="90" t="s">
        <v>1546</v>
      </c>
      <c r="V24" s="93">
        <v>45978.353206018517</v>
      </c>
    </row>
    <row r="25" spans="1:22">
      <c r="A25" s="90" t="s">
        <v>1670</v>
      </c>
      <c r="B25" s="90" t="s">
        <v>1671</v>
      </c>
      <c r="C25" s="90" t="s">
        <v>84</v>
      </c>
      <c r="D25" s="90" t="s">
        <v>196</v>
      </c>
      <c r="E25" s="90"/>
      <c r="F25" s="90"/>
      <c r="G25" s="91"/>
      <c r="H25" s="90"/>
      <c r="I25" s="90"/>
      <c r="J25" s="91"/>
      <c r="K25" s="92">
        <v>46277</v>
      </c>
      <c r="L25" s="92">
        <v>46358</v>
      </c>
      <c r="M25" s="90"/>
      <c r="N25" s="90"/>
      <c r="O25" s="90"/>
      <c r="P25" s="90"/>
      <c r="Q25" s="90"/>
      <c r="R25" s="90"/>
      <c r="S25" s="90"/>
      <c r="T25" s="90">
        <v>44</v>
      </c>
      <c r="U25" s="90" t="s">
        <v>1546</v>
      </c>
      <c r="V25" s="93">
        <v>45978.353206018517</v>
      </c>
    </row>
    <row r="26" spans="1:22">
      <c r="A26" s="90" t="s">
        <v>1672</v>
      </c>
      <c r="B26" s="90" t="s">
        <v>1673</v>
      </c>
      <c r="C26" s="90" t="s">
        <v>79</v>
      </c>
      <c r="D26" s="90"/>
      <c r="E26" s="90"/>
      <c r="F26" s="90"/>
      <c r="G26" s="91"/>
      <c r="H26" s="90"/>
      <c r="I26" s="90"/>
      <c r="J26" s="91"/>
      <c r="K26" s="92">
        <v>46200</v>
      </c>
      <c r="L26" s="92">
        <v>46336</v>
      </c>
      <c r="M26" s="90"/>
      <c r="N26" s="90"/>
      <c r="O26" s="90"/>
      <c r="P26" s="90"/>
      <c r="Q26" s="90"/>
      <c r="R26" s="90" t="s">
        <v>621</v>
      </c>
      <c r="S26" s="90"/>
      <c r="T26" s="90">
        <v>44</v>
      </c>
      <c r="U26" s="90" t="s">
        <v>1546</v>
      </c>
      <c r="V26" s="93">
        <v>45978.353206018517</v>
      </c>
    </row>
    <row r="27" spans="1:22">
      <c r="A27" s="90" t="s">
        <v>1674</v>
      </c>
      <c r="B27" s="90" t="s">
        <v>1675</v>
      </c>
      <c r="C27" s="90" t="s">
        <v>84</v>
      </c>
      <c r="D27" s="90" t="s">
        <v>196</v>
      </c>
      <c r="E27" s="90"/>
      <c r="F27" s="90"/>
      <c r="G27" s="91"/>
      <c r="H27" s="90"/>
      <c r="I27" s="90"/>
      <c r="J27" s="91"/>
      <c r="K27" s="92">
        <v>46200</v>
      </c>
      <c r="L27" s="92">
        <v>46336</v>
      </c>
      <c r="M27" s="90"/>
      <c r="N27" s="90"/>
      <c r="O27" s="90"/>
      <c r="P27" s="90"/>
      <c r="Q27" s="90"/>
      <c r="R27" s="90"/>
      <c r="S27" s="90"/>
      <c r="T27" s="90">
        <v>44</v>
      </c>
      <c r="U27" s="90" t="s">
        <v>1546</v>
      </c>
      <c r="V27" s="93">
        <v>45978.353206018517</v>
      </c>
    </row>
    <row r="28" spans="1:22">
      <c r="A28" s="90" t="s">
        <v>1676</v>
      </c>
      <c r="B28" s="90" t="s">
        <v>1677</v>
      </c>
      <c r="C28" s="90" t="s">
        <v>79</v>
      </c>
      <c r="D28" s="90"/>
      <c r="E28" s="90"/>
      <c r="F28" s="90"/>
      <c r="G28" s="91"/>
      <c r="H28" s="90"/>
      <c r="I28" s="90"/>
      <c r="J28" s="91"/>
      <c r="K28" s="92">
        <v>46363</v>
      </c>
      <c r="L28" s="92">
        <v>46592</v>
      </c>
      <c r="M28" s="90"/>
      <c r="N28" s="90"/>
      <c r="O28" s="90"/>
      <c r="P28" s="90"/>
      <c r="Q28" s="90"/>
      <c r="R28" s="90" t="s">
        <v>676</v>
      </c>
      <c r="S28" s="90"/>
      <c r="T28" s="90"/>
      <c r="U28" s="90" t="s">
        <v>1546</v>
      </c>
      <c r="V28" s="93">
        <v>45978.353206018517</v>
      </c>
    </row>
    <row r="29" spans="1:22">
      <c r="A29" s="90" t="s">
        <v>1678</v>
      </c>
      <c r="B29" s="90" t="s">
        <v>1679</v>
      </c>
      <c r="C29" s="90" t="s">
        <v>84</v>
      </c>
      <c r="D29" s="90" t="s">
        <v>196</v>
      </c>
      <c r="E29" s="90"/>
      <c r="F29" s="90"/>
      <c r="G29" s="91"/>
      <c r="H29" s="90"/>
      <c r="I29" s="90"/>
      <c r="J29" s="91"/>
      <c r="K29" s="92">
        <v>46363</v>
      </c>
      <c r="L29" s="92">
        <v>46592</v>
      </c>
      <c r="M29" s="90"/>
      <c r="N29" s="90"/>
      <c r="O29" s="90"/>
      <c r="P29" s="90"/>
      <c r="Q29" s="90"/>
      <c r="R29" s="90"/>
      <c r="S29" s="90"/>
      <c r="T29" s="90">
        <v>44</v>
      </c>
      <c r="U29" s="90" t="s">
        <v>1546</v>
      </c>
      <c r="V29" s="93">
        <v>45978.353206018517</v>
      </c>
    </row>
    <row r="30" spans="1:22">
      <c r="A30" s="90" t="s">
        <v>1680</v>
      </c>
      <c r="B30" s="90" t="s">
        <v>1681</v>
      </c>
      <c r="C30" s="90" t="s">
        <v>79</v>
      </c>
      <c r="D30" s="90"/>
      <c r="E30" s="90"/>
      <c r="F30" s="90"/>
      <c r="G30" s="91"/>
      <c r="H30" s="90"/>
      <c r="I30" s="90"/>
      <c r="J30" s="91"/>
      <c r="K30" s="92">
        <v>46172</v>
      </c>
      <c r="L30" s="92">
        <v>46376</v>
      </c>
      <c r="M30" s="90"/>
      <c r="N30" s="90"/>
      <c r="O30" s="90"/>
      <c r="P30" s="90"/>
      <c r="Q30" s="90"/>
      <c r="R30" s="90" t="s">
        <v>676</v>
      </c>
      <c r="S30" s="90"/>
      <c r="T30" s="90"/>
      <c r="U30" s="90" t="s">
        <v>1546</v>
      </c>
      <c r="V30" s="93">
        <v>45978.353206018517</v>
      </c>
    </row>
    <row r="31" spans="1:22">
      <c r="A31" s="90" t="s">
        <v>1682</v>
      </c>
      <c r="B31" s="90" t="s">
        <v>1683</v>
      </c>
      <c r="C31" s="90" t="s">
        <v>84</v>
      </c>
      <c r="D31" s="90" t="s">
        <v>196</v>
      </c>
      <c r="E31" s="90"/>
      <c r="F31" s="90"/>
      <c r="G31" s="91"/>
      <c r="H31" s="90"/>
      <c r="I31" s="90"/>
      <c r="J31" s="91"/>
      <c r="K31" s="92">
        <v>46172</v>
      </c>
      <c r="L31" s="92">
        <v>46378</v>
      </c>
      <c r="M31" s="90"/>
      <c r="N31" s="90"/>
      <c r="O31" s="90"/>
      <c r="P31" s="90"/>
      <c r="Q31" s="90"/>
      <c r="R31" s="90"/>
      <c r="S31" s="90"/>
      <c r="T31" s="90">
        <v>44</v>
      </c>
      <c r="U31" s="90" t="s">
        <v>1546</v>
      </c>
      <c r="V31" s="93">
        <v>45978.353206018517</v>
      </c>
    </row>
    <row r="32" spans="1:22">
      <c r="A32" s="90" t="s">
        <v>1684</v>
      </c>
      <c r="B32" s="90" t="s">
        <v>1685</v>
      </c>
      <c r="C32" s="90" t="s">
        <v>79</v>
      </c>
      <c r="D32" s="90"/>
      <c r="E32" s="90"/>
      <c r="F32" s="90"/>
      <c r="G32" s="91"/>
      <c r="H32" s="90"/>
      <c r="I32" s="90"/>
      <c r="J32" s="91"/>
      <c r="K32" s="92">
        <v>45992</v>
      </c>
      <c r="L32" s="92">
        <v>46141</v>
      </c>
      <c r="M32" s="90"/>
      <c r="N32" s="90"/>
      <c r="O32" s="90"/>
      <c r="P32" s="90"/>
      <c r="Q32" s="90"/>
      <c r="R32" s="90" t="s">
        <v>621</v>
      </c>
      <c r="S32" s="90"/>
      <c r="T32" s="90">
        <v>44</v>
      </c>
      <c r="U32" s="90" t="s">
        <v>1546</v>
      </c>
      <c r="V32" s="93">
        <v>45978.353206018517</v>
      </c>
    </row>
    <row r="33" spans="1:22">
      <c r="A33" s="90" t="s">
        <v>1686</v>
      </c>
      <c r="B33" s="90" t="s">
        <v>1687</v>
      </c>
      <c r="C33" s="90" t="s">
        <v>84</v>
      </c>
      <c r="D33" s="90" t="s">
        <v>196</v>
      </c>
      <c r="E33" s="90"/>
      <c r="F33" s="90"/>
      <c r="G33" s="91"/>
      <c r="H33" s="90"/>
      <c r="I33" s="90"/>
      <c r="J33" s="91"/>
      <c r="K33" s="92">
        <v>45992</v>
      </c>
      <c r="L33" s="92">
        <v>46141</v>
      </c>
      <c r="M33" s="90"/>
      <c r="N33" s="90"/>
      <c r="O33" s="90"/>
      <c r="P33" s="90"/>
      <c r="Q33" s="90"/>
      <c r="R33" s="90"/>
      <c r="S33" s="90"/>
      <c r="T33" s="90">
        <v>44</v>
      </c>
      <c r="U33" s="90" t="s">
        <v>1546</v>
      </c>
      <c r="V33" s="93">
        <v>45978.353206018517</v>
      </c>
    </row>
    <row r="34" spans="1:22">
      <c r="A34" s="90" t="s">
        <v>1688</v>
      </c>
      <c r="B34" s="90" t="s">
        <v>1689</v>
      </c>
      <c r="C34" s="90" t="s">
        <v>708</v>
      </c>
      <c r="D34" s="90" t="s">
        <v>196</v>
      </c>
      <c r="E34" s="90"/>
      <c r="F34" s="90"/>
      <c r="G34" s="91"/>
      <c r="H34" s="90"/>
      <c r="I34" s="90"/>
      <c r="J34" s="91"/>
      <c r="K34" s="92">
        <v>46352</v>
      </c>
      <c r="L34" s="92">
        <v>46467</v>
      </c>
      <c r="M34" s="90"/>
      <c r="N34" s="90"/>
      <c r="O34" s="90"/>
      <c r="P34" s="90"/>
      <c r="Q34" s="90"/>
      <c r="R34" s="90"/>
      <c r="S34" s="90"/>
      <c r="T34" s="90">
        <v>44</v>
      </c>
      <c r="U34" s="90" t="s">
        <v>1546</v>
      </c>
      <c r="V34" s="93">
        <v>45978.353206018517</v>
      </c>
    </row>
    <row r="35" spans="1:22">
      <c r="A35" s="90" t="s">
        <v>1690</v>
      </c>
      <c r="B35" s="90" t="s">
        <v>1691</v>
      </c>
      <c r="C35" s="90" t="s">
        <v>708</v>
      </c>
      <c r="D35" s="90" t="s">
        <v>196</v>
      </c>
      <c r="E35" s="90"/>
      <c r="F35" s="90"/>
      <c r="G35" s="91"/>
      <c r="H35" s="90"/>
      <c r="I35" s="90"/>
      <c r="J35" s="91"/>
      <c r="K35" s="92">
        <v>46134</v>
      </c>
      <c r="L35" s="92">
        <v>46227</v>
      </c>
      <c r="M35" s="90"/>
      <c r="N35" s="90"/>
      <c r="O35" s="90"/>
      <c r="P35" s="90"/>
      <c r="Q35" s="90"/>
      <c r="R35" s="90"/>
      <c r="S35" s="90"/>
      <c r="T35" s="90">
        <v>44</v>
      </c>
      <c r="U35" s="90" t="s">
        <v>1546</v>
      </c>
      <c r="V35" s="93">
        <v>45978.353206018517</v>
      </c>
    </row>
    <row r="36" spans="1:22">
      <c r="A36" s="90" t="s">
        <v>1692</v>
      </c>
      <c r="B36" s="90" t="s">
        <v>1693</v>
      </c>
      <c r="C36" s="90" t="s">
        <v>708</v>
      </c>
      <c r="D36" s="90" t="s">
        <v>196</v>
      </c>
      <c r="E36" s="90"/>
      <c r="F36" s="90"/>
      <c r="G36" s="91"/>
      <c r="H36" s="90"/>
      <c r="I36" s="90"/>
      <c r="J36" s="91"/>
      <c r="K36" s="92">
        <v>46313</v>
      </c>
      <c r="L36" s="92">
        <v>46354</v>
      </c>
      <c r="M36" s="90"/>
      <c r="N36" s="90"/>
      <c r="O36" s="90"/>
      <c r="P36" s="90"/>
      <c r="Q36" s="90"/>
      <c r="R36" s="90"/>
      <c r="S36" s="90"/>
      <c r="T36" s="90">
        <v>44</v>
      </c>
      <c r="U36" s="90" t="s">
        <v>1546</v>
      </c>
      <c r="V36" s="93">
        <v>45978.353206018517</v>
      </c>
    </row>
    <row r="37" spans="1:22">
      <c r="A37" s="90" t="s">
        <v>1694</v>
      </c>
      <c r="B37" s="90" t="s">
        <v>1695</v>
      </c>
      <c r="C37" s="90" t="s">
        <v>708</v>
      </c>
      <c r="D37" s="90" t="s">
        <v>196</v>
      </c>
      <c r="E37" s="90"/>
      <c r="F37" s="90"/>
      <c r="G37" s="91"/>
      <c r="H37" s="90"/>
      <c r="I37" s="90"/>
      <c r="J37" s="91"/>
      <c r="K37" s="92">
        <v>46004</v>
      </c>
      <c r="L37" s="92">
        <v>46080</v>
      </c>
      <c r="M37" s="90"/>
      <c r="N37" s="90"/>
      <c r="O37" s="90"/>
      <c r="P37" s="90"/>
      <c r="Q37" s="90"/>
      <c r="R37" s="90"/>
      <c r="S37" s="90"/>
      <c r="T37" s="90">
        <v>44</v>
      </c>
      <c r="U37" s="90" t="s">
        <v>1546</v>
      </c>
      <c r="V37" s="93">
        <v>45978.353206018517</v>
      </c>
    </row>
    <row r="38" spans="1:22">
      <c r="A38" s="90">
        <v>221</v>
      </c>
      <c r="B38" s="90" t="s">
        <v>1577</v>
      </c>
      <c r="C38" s="90" t="s">
        <v>85</v>
      </c>
      <c r="D38" s="90" t="s">
        <v>196</v>
      </c>
      <c r="E38" s="90"/>
      <c r="F38" s="90"/>
      <c r="G38" s="91"/>
      <c r="H38" s="90" t="s">
        <v>584</v>
      </c>
      <c r="I38" s="90"/>
      <c r="J38" s="91"/>
      <c r="K38" s="92">
        <v>45960</v>
      </c>
      <c r="L38" s="92">
        <v>46103</v>
      </c>
      <c r="M38" s="90"/>
      <c r="N38" s="90"/>
      <c r="O38" s="90"/>
      <c r="P38" s="90"/>
      <c r="Q38" s="90"/>
      <c r="R38" s="90"/>
      <c r="S38" s="90"/>
      <c r="T38" s="90">
        <v>44</v>
      </c>
      <c r="U38" s="90" t="s">
        <v>1546</v>
      </c>
      <c r="V38" s="93">
        <v>45978.353206018517</v>
      </c>
    </row>
    <row r="39" spans="1:22">
      <c r="A39" s="90">
        <v>222</v>
      </c>
      <c r="B39" s="90" t="s">
        <v>1696</v>
      </c>
      <c r="C39" s="90" t="s">
        <v>85</v>
      </c>
      <c r="D39" s="90" t="s">
        <v>196</v>
      </c>
      <c r="E39" s="90"/>
      <c r="F39" s="90"/>
      <c r="G39" s="91"/>
      <c r="H39" s="90" t="s">
        <v>584</v>
      </c>
      <c r="I39" s="90"/>
      <c r="J39" s="91"/>
      <c r="K39" s="92">
        <v>45960</v>
      </c>
      <c r="L39" s="92">
        <v>46103</v>
      </c>
      <c r="M39" s="90"/>
      <c r="N39" s="90"/>
      <c r="O39" s="90"/>
      <c r="P39" s="90"/>
      <c r="Q39" s="90"/>
      <c r="R39" s="90"/>
      <c r="S39" s="90"/>
      <c r="T39" s="90">
        <v>44</v>
      </c>
      <c r="U39" s="90" t="s">
        <v>1546</v>
      </c>
      <c r="V39" s="93">
        <v>45978.353206018517</v>
      </c>
    </row>
    <row r="40" spans="1:22">
      <c r="A40" s="90">
        <v>223</v>
      </c>
      <c r="B40" s="90" t="s">
        <v>1578</v>
      </c>
      <c r="C40" s="90" t="s">
        <v>85</v>
      </c>
      <c r="D40" s="90" t="s">
        <v>196</v>
      </c>
      <c r="E40" s="90"/>
      <c r="F40" s="90"/>
      <c r="G40" s="91"/>
      <c r="H40" s="90" t="s">
        <v>584</v>
      </c>
      <c r="I40" s="90"/>
      <c r="J40" s="91"/>
      <c r="K40" s="92">
        <v>45960</v>
      </c>
      <c r="L40" s="92">
        <v>46103</v>
      </c>
      <c r="M40" s="90"/>
      <c r="N40" s="90"/>
      <c r="O40" s="90"/>
      <c r="P40" s="90"/>
      <c r="Q40" s="90"/>
      <c r="R40" s="90"/>
      <c r="S40" s="90"/>
      <c r="T40" s="90">
        <v>44</v>
      </c>
      <c r="U40" s="90" t="s">
        <v>1546</v>
      </c>
      <c r="V40" s="93">
        <v>45978.353206018517</v>
      </c>
    </row>
    <row r="41" spans="1:22">
      <c r="A41" s="90">
        <v>224</v>
      </c>
      <c r="B41" s="90" t="s">
        <v>1579</v>
      </c>
      <c r="C41" s="90" t="s">
        <v>85</v>
      </c>
      <c r="D41" s="90" t="s">
        <v>196</v>
      </c>
      <c r="E41" s="90"/>
      <c r="F41" s="90"/>
      <c r="G41" s="91"/>
      <c r="H41" s="90" t="s">
        <v>584</v>
      </c>
      <c r="I41" s="90"/>
      <c r="J41" s="91"/>
      <c r="K41" s="92">
        <v>45961</v>
      </c>
      <c r="L41" s="92">
        <v>46079</v>
      </c>
      <c r="M41" s="90"/>
      <c r="N41" s="90"/>
      <c r="O41" s="90"/>
      <c r="P41" s="90"/>
      <c r="Q41" s="90"/>
      <c r="R41" s="90"/>
      <c r="S41" s="90"/>
      <c r="T41" s="90">
        <v>44</v>
      </c>
      <c r="U41" s="90" t="s">
        <v>1546</v>
      </c>
      <c r="V41" s="93">
        <v>45978.353206018517</v>
      </c>
    </row>
    <row r="42" spans="1:22">
      <c r="A42" s="90">
        <v>225</v>
      </c>
      <c r="B42" s="90" t="s">
        <v>1579</v>
      </c>
      <c r="C42" s="90" t="s">
        <v>85</v>
      </c>
      <c r="D42" s="90" t="s">
        <v>196</v>
      </c>
      <c r="E42" s="90"/>
      <c r="F42" s="90"/>
      <c r="G42" s="91"/>
      <c r="H42" s="90" t="s">
        <v>584</v>
      </c>
      <c r="I42" s="90"/>
      <c r="J42" s="91"/>
      <c r="K42" s="92">
        <v>45961</v>
      </c>
      <c r="L42" s="92">
        <v>46079</v>
      </c>
      <c r="M42" s="90"/>
      <c r="N42" s="90"/>
      <c r="O42" s="90"/>
      <c r="P42" s="90"/>
      <c r="Q42" s="90"/>
      <c r="R42" s="90"/>
      <c r="S42" s="90"/>
      <c r="T42" s="90">
        <v>44</v>
      </c>
      <c r="U42" s="90" t="s">
        <v>1546</v>
      </c>
      <c r="V42" s="93">
        <v>45978.353217592594</v>
      </c>
    </row>
    <row r="43" spans="1:22">
      <c r="A43" s="90">
        <v>226</v>
      </c>
      <c r="B43" s="90" t="s">
        <v>1581</v>
      </c>
      <c r="C43" s="90" t="s">
        <v>85</v>
      </c>
      <c r="D43" s="90" t="s">
        <v>196</v>
      </c>
      <c r="E43" s="90"/>
      <c r="F43" s="90"/>
      <c r="G43" s="91"/>
      <c r="H43" s="90" t="s">
        <v>584</v>
      </c>
      <c r="I43" s="90"/>
      <c r="J43" s="91"/>
      <c r="K43" s="92">
        <v>45961</v>
      </c>
      <c r="L43" s="92">
        <v>46079</v>
      </c>
      <c r="M43" s="90"/>
      <c r="N43" s="90"/>
      <c r="O43" s="90"/>
      <c r="P43" s="90"/>
      <c r="Q43" s="90"/>
      <c r="R43" s="90"/>
      <c r="S43" s="90"/>
      <c r="T43" s="90">
        <v>44</v>
      </c>
      <c r="U43" s="90" t="s">
        <v>1546</v>
      </c>
      <c r="V43" s="93">
        <v>45978.353217592594</v>
      </c>
    </row>
    <row r="44" spans="1:22">
      <c r="A44" s="90">
        <v>227</v>
      </c>
      <c r="B44" s="90" t="s">
        <v>1577</v>
      </c>
      <c r="C44" s="90" t="s">
        <v>85</v>
      </c>
      <c r="D44" s="90" t="s">
        <v>196</v>
      </c>
      <c r="E44" s="90"/>
      <c r="F44" s="90"/>
      <c r="G44" s="91"/>
      <c r="H44" s="90" t="s">
        <v>584</v>
      </c>
      <c r="I44" s="90"/>
      <c r="J44" s="91"/>
      <c r="K44" s="92">
        <v>46110</v>
      </c>
      <c r="L44" s="92">
        <v>46248</v>
      </c>
      <c r="M44" s="90"/>
      <c r="N44" s="90"/>
      <c r="O44" s="90"/>
      <c r="P44" s="90"/>
      <c r="Q44" s="90"/>
      <c r="R44" s="90"/>
      <c r="S44" s="90"/>
      <c r="T44" s="90">
        <v>44</v>
      </c>
      <c r="U44" s="90" t="s">
        <v>1546</v>
      </c>
      <c r="V44" s="93">
        <v>45978.353217592594</v>
      </c>
    </row>
    <row r="45" spans="1:22">
      <c r="A45" s="90">
        <v>228</v>
      </c>
      <c r="B45" s="90" t="s">
        <v>1696</v>
      </c>
      <c r="C45" s="90" t="s">
        <v>85</v>
      </c>
      <c r="D45" s="90" t="s">
        <v>196</v>
      </c>
      <c r="E45" s="90"/>
      <c r="F45" s="90"/>
      <c r="G45" s="91"/>
      <c r="H45" s="90" t="s">
        <v>584</v>
      </c>
      <c r="I45" s="90"/>
      <c r="J45" s="91"/>
      <c r="K45" s="92">
        <v>46110</v>
      </c>
      <c r="L45" s="92">
        <v>46248</v>
      </c>
      <c r="M45" s="90"/>
      <c r="N45" s="90"/>
      <c r="O45" s="90"/>
      <c r="P45" s="90"/>
      <c r="Q45" s="90"/>
      <c r="R45" s="90"/>
      <c r="S45" s="90"/>
      <c r="T45" s="90">
        <v>44</v>
      </c>
      <c r="U45" s="90" t="s">
        <v>1546</v>
      </c>
      <c r="V45" s="93">
        <v>45978.353217592594</v>
      </c>
    </row>
    <row r="46" spans="1:22">
      <c r="A46" s="90">
        <v>229</v>
      </c>
      <c r="B46" s="90" t="s">
        <v>1579</v>
      </c>
      <c r="C46" s="90" t="s">
        <v>85</v>
      </c>
      <c r="D46" s="90" t="s">
        <v>196</v>
      </c>
      <c r="E46" s="90"/>
      <c r="F46" s="90"/>
      <c r="G46" s="91"/>
      <c r="H46" s="90" t="s">
        <v>584</v>
      </c>
      <c r="I46" s="90"/>
      <c r="J46" s="91"/>
      <c r="K46" s="92">
        <v>46110</v>
      </c>
      <c r="L46" s="92">
        <v>46248</v>
      </c>
      <c r="M46" s="90"/>
      <c r="N46" s="90"/>
      <c r="O46" s="90"/>
      <c r="P46" s="90"/>
      <c r="Q46" s="90"/>
      <c r="R46" s="90"/>
      <c r="S46" s="90"/>
      <c r="T46" s="90">
        <v>44</v>
      </c>
      <c r="U46" s="90" t="s">
        <v>1546</v>
      </c>
      <c r="V46" s="93">
        <v>45978.353217592594</v>
      </c>
    </row>
    <row r="47" spans="1:22">
      <c r="A47" s="90">
        <v>230</v>
      </c>
      <c r="B47" s="90" t="s">
        <v>1579</v>
      </c>
      <c r="C47" s="90" t="s">
        <v>85</v>
      </c>
      <c r="D47" s="90" t="s">
        <v>196</v>
      </c>
      <c r="E47" s="90"/>
      <c r="F47" s="90"/>
      <c r="G47" s="91"/>
      <c r="H47" s="90" t="s">
        <v>584</v>
      </c>
      <c r="I47" s="90"/>
      <c r="J47" s="91"/>
      <c r="K47" s="92">
        <v>46085</v>
      </c>
      <c r="L47" s="92">
        <v>46270</v>
      </c>
      <c r="M47" s="90"/>
      <c r="N47" s="90"/>
      <c r="O47" s="90"/>
      <c r="P47" s="90"/>
      <c r="Q47" s="90"/>
      <c r="R47" s="90"/>
      <c r="S47" s="90"/>
      <c r="T47" s="90">
        <v>44</v>
      </c>
      <c r="U47" s="90" t="s">
        <v>1546</v>
      </c>
      <c r="V47" s="93">
        <v>45978.353217592594</v>
      </c>
    </row>
    <row r="48" spans="1:22">
      <c r="A48" s="90">
        <v>231</v>
      </c>
      <c r="B48" s="90" t="s">
        <v>1580</v>
      </c>
      <c r="C48" s="90" t="s">
        <v>85</v>
      </c>
      <c r="D48" s="90" t="s">
        <v>196</v>
      </c>
      <c r="E48" s="90"/>
      <c r="F48" s="90"/>
      <c r="G48" s="91"/>
      <c r="H48" s="90" t="s">
        <v>584</v>
      </c>
      <c r="I48" s="90"/>
      <c r="J48" s="91"/>
      <c r="K48" s="92">
        <v>46085</v>
      </c>
      <c r="L48" s="92">
        <v>46270</v>
      </c>
      <c r="M48" s="90"/>
      <c r="N48" s="90"/>
      <c r="O48" s="90"/>
      <c r="P48" s="90"/>
      <c r="Q48" s="90"/>
      <c r="R48" s="90"/>
      <c r="S48" s="90"/>
      <c r="T48" s="90">
        <v>44</v>
      </c>
      <c r="U48" s="90" t="s">
        <v>1546</v>
      </c>
      <c r="V48" s="93">
        <v>45978.353217592594</v>
      </c>
    </row>
    <row r="49" spans="1:22">
      <c r="A49" s="90">
        <v>232</v>
      </c>
      <c r="B49" s="90" t="s">
        <v>1579</v>
      </c>
      <c r="C49" s="90" t="s">
        <v>85</v>
      </c>
      <c r="D49" s="90" t="s">
        <v>196</v>
      </c>
      <c r="E49" s="90"/>
      <c r="F49" s="90"/>
      <c r="G49" s="91"/>
      <c r="H49" s="90" t="s">
        <v>584</v>
      </c>
      <c r="I49" s="90"/>
      <c r="J49" s="91"/>
      <c r="K49" s="92">
        <v>46262</v>
      </c>
      <c r="L49" s="92">
        <v>46491</v>
      </c>
      <c r="M49" s="90"/>
      <c r="N49" s="90"/>
      <c r="O49" s="90"/>
      <c r="P49" s="90"/>
      <c r="Q49" s="90"/>
      <c r="R49" s="90"/>
      <c r="S49" s="90"/>
      <c r="T49" s="90">
        <v>44</v>
      </c>
      <c r="U49" s="90" t="s">
        <v>1546</v>
      </c>
      <c r="V49" s="93">
        <v>45978.353217592594</v>
      </c>
    </row>
    <row r="50" spans="1:22">
      <c r="A50" s="90">
        <v>233</v>
      </c>
      <c r="B50" s="90" t="s">
        <v>1580</v>
      </c>
      <c r="C50" s="90" t="s">
        <v>85</v>
      </c>
      <c r="D50" s="90" t="s">
        <v>196</v>
      </c>
      <c r="E50" s="90"/>
      <c r="F50" s="90"/>
      <c r="G50" s="91"/>
      <c r="H50" s="90" t="s">
        <v>584</v>
      </c>
      <c r="I50" s="90"/>
      <c r="J50" s="91"/>
      <c r="K50" s="92">
        <v>46262</v>
      </c>
      <c r="L50" s="92">
        <v>46491</v>
      </c>
      <c r="M50" s="90"/>
      <c r="N50" s="90"/>
      <c r="O50" s="90"/>
      <c r="P50" s="90"/>
      <c r="Q50" s="90"/>
      <c r="R50" s="90"/>
      <c r="S50" s="90"/>
      <c r="T50" s="90">
        <v>44</v>
      </c>
      <c r="U50" s="90" t="s">
        <v>1546</v>
      </c>
      <c r="V50" s="93">
        <v>45978.353217592594</v>
      </c>
    </row>
    <row r="51" spans="1:22">
      <c r="A51" s="90">
        <v>234</v>
      </c>
      <c r="B51" s="90" t="s">
        <v>1581</v>
      </c>
      <c r="C51" s="90" t="s">
        <v>85</v>
      </c>
      <c r="D51" s="90" t="s">
        <v>196</v>
      </c>
      <c r="E51" s="90"/>
      <c r="F51" s="90"/>
      <c r="G51" s="91"/>
      <c r="H51" s="90" t="s">
        <v>584</v>
      </c>
      <c r="I51" s="90"/>
      <c r="J51" s="91"/>
      <c r="K51" s="92">
        <v>46262</v>
      </c>
      <c r="L51" s="92">
        <v>46491</v>
      </c>
      <c r="M51" s="90"/>
      <c r="N51" s="90"/>
      <c r="O51" s="90"/>
      <c r="P51" s="90"/>
      <c r="Q51" s="90"/>
      <c r="R51" s="90"/>
      <c r="S51" s="90"/>
      <c r="T51" s="90">
        <v>44</v>
      </c>
      <c r="U51" s="90" t="s">
        <v>1546</v>
      </c>
      <c r="V51" s="93">
        <v>45978.353217592594</v>
      </c>
    </row>
    <row r="52" spans="1:22">
      <c r="A52" s="90">
        <v>235</v>
      </c>
      <c r="B52" s="90" t="s">
        <v>1577</v>
      </c>
      <c r="C52" s="90" t="s">
        <v>85</v>
      </c>
      <c r="D52" s="90" t="s">
        <v>196</v>
      </c>
      <c r="E52" s="90"/>
      <c r="F52" s="90"/>
      <c r="G52" s="91"/>
      <c r="H52" s="90" t="s">
        <v>584</v>
      </c>
      <c r="I52" s="90"/>
      <c r="J52" s="91"/>
      <c r="K52" s="92">
        <v>46501</v>
      </c>
      <c r="L52" s="92">
        <v>46622</v>
      </c>
      <c r="M52" s="90"/>
      <c r="N52" s="90"/>
      <c r="O52" s="90"/>
      <c r="P52" s="90"/>
      <c r="Q52" s="90"/>
      <c r="R52" s="90"/>
      <c r="S52" s="90"/>
      <c r="T52" s="90">
        <v>44</v>
      </c>
      <c r="U52" s="90" t="s">
        <v>1546</v>
      </c>
      <c r="V52" s="93">
        <v>45978.353217592594</v>
      </c>
    </row>
    <row r="53" spans="1:22">
      <c r="A53" s="90">
        <v>236</v>
      </c>
      <c r="B53" s="90" t="s">
        <v>1696</v>
      </c>
      <c r="C53" s="90" t="s">
        <v>85</v>
      </c>
      <c r="D53" s="90" t="s">
        <v>196</v>
      </c>
      <c r="E53" s="90"/>
      <c r="F53" s="90"/>
      <c r="G53" s="91"/>
      <c r="H53" s="90" t="s">
        <v>584</v>
      </c>
      <c r="I53" s="90"/>
      <c r="J53" s="91"/>
      <c r="K53" s="92">
        <v>46501</v>
      </c>
      <c r="L53" s="92">
        <v>46622</v>
      </c>
      <c r="M53" s="90"/>
      <c r="N53" s="90"/>
      <c r="O53" s="90"/>
      <c r="P53" s="90"/>
      <c r="Q53" s="90"/>
      <c r="R53" s="90"/>
      <c r="S53" s="90"/>
      <c r="T53" s="90">
        <v>44</v>
      </c>
      <c r="U53" s="90" t="s">
        <v>1546</v>
      </c>
      <c r="V53" s="93">
        <v>45978.353217592594</v>
      </c>
    </row>
    <row r="54" spans="1:22">
      <c r="A54" s="90">
        <v>237</v>
      </c>
      <c r="B54" s="90" t="s">
        <v>1579</v>
      </c>
      <c r="C54" s="90" t="s">
        <v>85</v>
      </c>
      <c r="D54" s="90" t="s">
        <v>196</v>
      </c>
      <c r="E54" s="90"/>
      <c r="F54" s="90"/>
      <c r="G54" s="91"/>
      <c r="H54" s="90" t="s">
        <v>584</v>
      </c>
      <c r="I54" s="90"/>
      <c r="J54" s="91"/>
      <c r="K54" s="92">
        <v>46501</v>
      </c>
      <c r="L54" s="92">
        <v>46622</v>
      </c>
      <c r="M54" s="90"/>
      <c r="N54" s="90"/>
      <c r="O54" s="90"/>
      <c r="P54" s="90"/>
      <c r="Q54" s="90"/>
      <c r="R54" s="90"/>
      <c r="S54" s="90"/>
      <c r="T54" s="90">
        <v>44</v>
      </c>
      <c r="U54" s="90" t="s">
        <v>1546</v>
      </c>
      <c r="V54" s="93">
        <v>45978.353217592594</v>
      </c>
    </row>
    <row r="55" spans="1:22">
      <c r="A55" s="90">
        <v>238</v>
      </c>
      <c r="B55" s="90" t="s">
        <v>1579</v>
      </c>
      <c r="C55" s="90" t="s">
        <v>85</v>
      </c>
      <c r="D55" s="90" t="s">
        <v>196</v>
      </c>
      <c r="E55" s="90"/>
      <c r="F55" s="90"/>
      <c r="G55" s="91"/>
      <c r="H55" s="90" t="s">
        <v>584</v>
      </c>
      <c r="I55" s="90"/>
      <c r="J55" s="91"/>
      <c r="K55" s="92">
        <v>46277</v>
      </c>
      <c r="L55" s="92">
        <v>46358</v>
      </c>
      <c r="M55" s="90"/>
      <c r="N55" s="90"/>
      <c r="O55" s="90"/>
      <c r="P55" s="90"/>
      <c r="Q55" s="90"/>
      <c r="R55" s="90"/>
      <c r="S55" s="90"/>
      <c r="T55" s="90">
        <v>44</v>
      </c>
      <c r="U55" s="90" t="s">
        <v>1546</v>
      </c>
      <c r="V55" s="93">
        <v>45978.353217592594</v>
      </c>
    </row>
    <row r="56" spans="1:22">
      <c r="A56" s="90">
        <v>239</v>
      </c>
      <c r="B56" s="90" t="s">
        <v>1696</v>
      </c>
      <c r="C56" s="90" t="s">
        <v>85</v>
      </c>
      <c r="D56" s="90" t="s">
        <v>196</v>
      </c>
      <c r="E56" s="90"/>
      <c r="F56" s="90"/>
      <c r="G56" s="91"/>
      <c r="H56" s="90" t="s">
        <v>584</v>
      </c>
      <c r="I56" s="90"/>
      <c r="J56" s="91"/>
      <c r="K56" s="92">
        <v>46363</v>
      </c>
      <c r="L56" s="92">
        <v>46592</v>
      </c>
      <c r="M56" s="90"/>
      <c r="N56" s="90"/>
      <c r="O56" s="90"/>
      <c r="P56" s="90"/>
      <c r="Q56" s="90"/>
      <c r="R56" s="90"/>
      <c r="S56" s="90"/>
      <c r="T56" s="90">
        <v>44</v>
      </c>
      <c r="U56" s="90" t="s">
        <v>1546</v>
      </c>
      <c r="V56" s="93">
        <v>45978.353217592594</v>
      </c>
    </row>
    <row r="57" spans="1:22">
      <c r="A57" s="90">
        <v>240</v>
      </c>
      <c r="B57" s="90" t="s">
        <v>1579</v>
      </c>
      <c r="C57" s="90" t="s">
        <v>85</v>
      </c>
      <c r="D57" s="90" t="s">
        <v>196</v>
      </c>
      <c r="E57" s="90"/>
      <c r="F57" s="90"/>
      <c r="G57" s="91"/>
      <c r="H57" s="90" t="s">
        <v>584</v>
      </c>
      <c r="I57" s="90"/>
      <c r="J57" s="91"/>
      <c r="K57" s="92">
        <v>45988</v>
      </c>
      <c r="L57" s="92">
        <v>46139</v>
      </c>
      <c r="M57" s="90"/>
      <c r="N57" s="90"/>
      <c r="O57" s="90"/>
      <c r="P57" s="90"/>
      <c r="Q57" s="90"/>
      <c r="R57" s="90"/>
      <c r="S57" s="90"/>
      <c r="T57" s="90">
        <v>44</v>
      </c>
      <c r="U57" s="90" t="s">
        <v>1546</v>
      </c>
      <c r="V57" s="93">
        <v>45978.353217592594</v>
      </c>
    </row>
    <row r="58" spans="1:22">
      <c r="A58" s="90">
        <v>241</v>
      </c>
      <c r="B58" s="90" t="s">
        <v>1580</v>
      </c>
      <c r="C58" s="90" t="s">
        <v>85</v>
      </c>
      <c r="D58" s="90" t="s">
        <v>196</v>
      </c>
      <c r="E58" s="90"/>
      <c r="F58" s="90"/>
      <c r="G58" s="91"/>
      <c r="H58" s="90" t="s">
        <v>584</v>
      </c>
      <c r="I58" s="90"/>
      <c r="J58" s="91"/>
      <c r="K58" s="92">
        <v>45988</v>
      </c>
      <c r="L58" s="92">
        <v>46139</v>
      </c>
      <c r="M58" s="90"/>
      <c r="N58" s="90"/>
      <c r="O58" s="90"/>
      <c r="P58" s="90"/>
      <c r="Q58" s="90"/>
      <c r="R58" s="90"/>
      <c r="S58" s="90"/>
      <c r="T58" s="90">
        <v>44</v>
      </c>
      <c r="U58" s="90" t="s">
        <v>1546</v>
      </c>
      <c r="V58" s="93">
        <v>45978.353217592594</v>
      </c>
    </row>
    <row r="59" spans="1:22">
      <c r="A59" s="90">
        <v>242</v>
      </c>
      <c r="B59" s="90" t="s">
        <v>1581</v>
      </c>
      <c r="C59" s="90" t="s">
        <v>85</v>
      </c>
      <c r="D59" s="90" t="s">
        <v>196</v>
      </c>
      <c r="E59" s="90"/>
      <c r="F59" s="90"/>
      <c r="G59" s="91"/>
      <c r="H59" s="90" t="s">
        <v>584</v>
      </c>
      <c r="I59" s="90"/>
      <c r="J59" s="91"/>
      <c r="K59" s="92">
        <v>46172</v>
      </c>
      <c r="L59" s="92">
        <v>46378</v>
      </c>
      <c r="M59" s="90"/>
      <c r="N59" s="90"/>
      <c r="O59" s="90"/>
      <c r="P59" s="90"/>
      <c r="Q59" s="90"/>
      <c r="R59" s="90"/>
      <c r="S59" s="90"/>
      <c r="T59" s="90">
        <v>44</v>
      </c>
      <c r="U59" s="90" t="s">
        <v>1546</v>
      </c>
      <c r="V59" s="93">
        <v>45978.353217592594</v>
      </c>
    </row>
    <row r="60" spans="1:22">
      <c r="A60" s="90">
        <v>243</v>
      </c>
      <c r="B60" s="90" t="s">
        <v>1579</v>
      </c>
      <c r="C60" s="90" t="s">
        <v>85</v>
      </c>
      <c r="D60" s="90" t="s">
        <v>196</v>
      </c>
      <c r="E60" s="90"/>
      <c r="F60" s="90"/>
      <c r="G60" s="91"/>
      <c r="H60" s="90" t="s">
        <v>584</v>
      </c>
      <c r="I60" s="90"/>
      <c r="J60" s="91"/>
      <c r="K60" s="92">
        <v>46172</v>
      </c>
      <c r="L60" s="92">
        <v>46378</v>
      </c>
      <c r="M60" s="90"/>
      <c r="N60" s="90"/>
      <c r="O60" s="90"/>
      <c r="P60" s="90"/>
      <c r="Q60" s="90"/>
      <c r="R60" s="90"/>
      <c r="S60" s="90"/>
      <c r="T60" s="90">
        <v>44</v>
      </c>
      <c r="U60" s="90" t="s">
        <v>1546</v>
      </c>
      <c r="V60" s="93">
        <v>45978.353217592594</v>
      </c>
    </row>
    <row r="61" spans="1:22">
      <c r="A61" s="90">
        <v>244</v>
      </c>
      <c r="B61" s="90" t="s">
        <v>1577</v>
      </c>
      <c r="C61" s="90" t="s">
        <v>85</v>
      </c>
      <c r="D61" s="90" t="s">
        <v>196</v>
      </c>
      <c r="E61" s="90"/>
      <c r="F61" s="90"/>
      <c r="G61" s="91"/>
      <c r="H61" s="90" t="s">
        <v>584</v>
      </c>
      <c r="I61" s="90"/>
      <c r="J61" s="91"/>
      <c r="K61" s="92">
        <v>46411</v>
      </c>
      <c r="L61" s="92">
        <v>46588</v>
      </c>
      <c r="M61" s="90"/>
      <c r="N61" s="90"/>
      <c r="O61" s="90"/>
      <c r="P61" s="90"/>
      <c r="Q61" s="90"/>
      <c r="R61" s="90"/>
      <c r="S61" s="90"/>
      <c r="T61" s="90">
        <v>44</v>
      </c>
      <c r="U61" s="90" t="s">
        <v>1546</v>
      </c>
      <c r="V61" s="93">
        <v>45978.353217592594</v>
      </c>
    </row>
    <row r="62" spans="1:22">
      <c r="A62" s="90">
        <v>245</v>
      </c>
      <c r="B62" s="90" t="s">
        <v>1696</v>
      </c>
      <c r="C62" s="90" t="s">
        <v>85</v>
      </c>
      <c r="D62" s="90" t="s">
        <v>196</v>
      </c>
      <c r="E62" s="90"/>
      <c r="F62" s="90"/>
      <c r="G62" s="91"/>
      <c r="H62" s="90" t="s">
        <v>584</v>
      </c>
      <c r="I62" s="90"/>
      <c r="J62" s="91"/>
      <c r="K62" s="92">
        <v>46411</v>
      </c>
      <c r="L62" s="92">
        <v>46588</v>
      </c>
      <c r="M62" s="90"/>
      <c r="N62" s="90"/>
      <c r="O62" s="90"/>
      <c r="P62" s="90"/>
      <c r="Q62" s="90"/>
      <c r="R62" s="90"/>
      <c r="S62" s="90"/>
      <c r="T62" s="90">
        <v>44</v>
      </c>
      <c r="U62" s="90" t="s">
        <v>1546</v>
      </c>
      <c r="V62" s="93">
        <v>45978.353217592594</v>
      </c>
    </row>
    <row r="63" spans="1:22">
      <c r="A63" s="90">
        <v>246</v>
      </c>
      <c r="B63" s="90" t="s">
        <v>1581</v>
      </c>
      <c r="C63" s="90" t="s">
        <v>85</v>
      </c>
      <c r="D63" s="90" t="s">
        <v>196</v>
      </c>
      <c r="E63" s="90"/>
      <c r="F63" s="90"/>
      <c r="G63" s="91"/>
      <c r="H63" s="90" t="s">
        <v>584</v>
      </c>
      <c r="I63" s="90"/>
      <c r="J63" s="91"/>
      <c r="K63" s="92">
        <v>46411</v>
      </c>
      <c r="L63" s="92">
        <v>46588</v>
      </c>
      <c r="M63" s="90"/>
      <c r="N63" s="90"/>
      <c r="O63" s="90"/>
      <c r="P63" s="90"/>
      <c r="Q63" s="90"/>
      <c r="R63" s="90"/>
      <c r="S63" s="90"/>
      <c r="T63" s="90">
        <v>44</v>
      </c>
      <c r="U63" s="90" t="s">
        <v>1546</v>
      </c>
      <c r="V63" s="93">
        <v>45978.353217592594</v>
      </c>
    </row>
    <row r="64" spans="1:22">
      <c r="A64" s="90">
        <v>247</v>
      </c>
      <c r="B64" s="90" t="s">
        <v>1579</v>
      </c>
      <c r="C64" s="90" t="s">
        <v>85</v>
      </c>
      <c r="D64" s="90" t="s">
        <v>196</v>
      </c>
      <c r="E64" s="90"/>
      <c r="F64" s="90"/>
      <c r="G64" s="91"/>
      <c r="H64" s="90" t="s">
        <v>584</v>
      </c>
      <c r="I64" s="90"/>
      <c r="J64" s="91"/>
      <c r="K64" s="92">
        <v>45989</v>
      </c>
      <c r="L64" s="92">
        <v>46138</v>
      </c>
      <c r="M64" s="90"/>
      <c r="N64" s="90"/>
      <c r="O64" s="90"/>
      <c r="P64" s="90"/>
      <c r="Q64" s="90"/>
      <c r="R64" s="90"/>
      <c r="S64" s="90"/>
      <c r="T64" s="90">
        <v>44</v>
      </c>
      <c r="U64" s="90" t="s">
        <v>1546</v>
      </c>
      <c r="V64" s="93">
        <v>45978.353217592594</v>
      </c>
    </row>
    <row r="65" spans="1:22">
      <c r="A65" s="90">
        <v>248</v>
      </c>
      <c r="B65" s="90" t="s">
        <v>1580</v>
      </c>
      <c r="C65" s="90" t="s">
        <v>85</v>
      </c>
      <c r="D65" s="90" t="s">
        <v>196</v>
      </c>
      <c r="E65" s="90"/>
      <c r="F65" s="90"/>
      <c r="G65" s="91"/>
      <c r="H65" s="90" t="s">
        <v>584</v>
      </c>
      <c r="I65" s="90"/>
      <c r="J65" s="91"/>
      <c r="K65" s="92">
        <v>45991</v>
      </c>
      <c r="L65" s="92">
        <v>46140</v>
      </c>
      <c r="M65" s="90"/>
      <c r="N65" s="90"/>
      <c r="O65" s="90"/>
      <c r="P65" s="90"/>
      <c r="Q65" s="90"/>
      <c r="R65" s="90"/>
      <c r="S65" s="90"/>
      <c r="T65" s="90">
        <v>44</v>
      </c>
      <c r="U65" s="90" t="s">
        <v>1546</v>
      </c>
      <c r="V65" s="93">
        <v>45978.353217592594</v>
      </c>
    </row>
    <row r="66" spans="1:22">
      <c r="A66" s="90">
        <v>249</v>
      </c>
      <c r="B66" s="90" t="s">
        <v>1696</v>
      </c>
      <c r="C66" s="90" t="s">
        <v>85</v>
      </c>
      <c r="D66" s="90" t="s">
        <v>196</v>
      </c>
      <c r="E66" s="90"/>
      <c r="F66" s="90"/>
      <c r="G66" s="91"/>
      <c r="H66" s="90" t="s">
        <v>584</v>
      </c>
      <c r="I66" s="90"/>
      <c r="J66" s="91"/>
      <c r="K66" s="92">
        <v>46200</v>
      </c>
      <c r="L66" s="92">
        <v>46336</v>
      </c>
      <c r="M66" s="90"/>
      <c r="N66" s="90"/>
      <c r="O66" s="90"/>
      <c r="P66" s="90"/>
      <c r="Q66" s="90"/>
      <c r="R66" s="90"/>
      <c r="S66" s="90"/>
      <c r="T66" s="90">
        <v>44</v>
      </c>
      <c r="U66" s="90" t="s">
        <v>1546</v>
      </c>
      <c r="V66" s="93">
        <v>45978.353217592594</v>
      </c>
    </row>
    <row r="67" spans="1:22">
      <c r="A67" s="90">
        <v>250</v>
      </c>
      <c r="B67" s="90" t="s">
        <v>1580</v>
      </c>
      <c r="C67" s="90" t="s">
        <v>85</v>
      </c>
      <c r="D67" s="90" t="s">
        <v>196</v>
      </c>
      <c r="E67" s="90"/>
      <c r="F67" s="90"/>
      <c r="G67" s="91"/>
      <c r="H67" s="90" t="s">
        <v>584</v>
      </c>
      <c r="I67" s="90"/>
      <c r="J67" s="91"/>
      <c r="K67" s="92">
        <v>46200</v>
      </c>
      <c r="L67" s="92">
        <v>46336</v>
      </c>
      <c r="M67" s="90"/>
      <c r="N67" s="90"/>
      <c r="O67" s="90"/>
      <c r="P67" s="90"/>
      <c r="Q67" s="90"/>
      <c r="R67" s="90"/>
      <c r="S67" s="90"/>
      <c r="T67" s="90">
        <v>44</v>
      </c>
      <c r="U67" s="90" t="s">
        <v>1546</v>
      </c>
      <c r="V67" s="93">
        <v>45978.353217592594</v>
      </c>
    </row>
  </sheetData>
  <mergeCells count="1">
    <mergeCell ref="U1:X1"/>
  </mergeCells>
  <pageMargins left="0.78749999999999998" right="0.78749999999999998" top="1.05277777777778" bottom="1.05277777777778" header="0.78749999999999998" footer="0.78749999999999998"/>
  <pageSetup firstPageNumber="0" orientation="portrait" horizontalDpi="300" verticalDpi="300"/>
  <headerFooter>
    <oddHeader>&amp;C&amp;"Times New Roman,Regular"&amp;12&amp;A</oddHeader>
    <oddFooter>&amp;C&amp;"Times New Roman,Regular"&amp;12Page &amp;P</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0889A-B1D5-4E59-8DE2-37C0BEF37F8D}">
  <sheetPr codeName="FormatSheetsSht"/>
  <dimension ref="A1:L78"/>
  <sheetViews>
    <sheetView topLeftCell="A45" zoomScaleNormal="100" workbookViewId="0">
      <selection activeCell="H59" sqref="H59:K78"/>
    </sheetView>
  </sheetViews>
  <sheetFormatPr defaultColWidth="11.53125" defaultRowHeight="15" customHeight="1"/>
  <cols>
    <col min="1" max="1" width="23.53125" style="26" customWidth="1"/>
    <col min="2" max="2" width="25.33203125" style="26" customWidth="1"/>
    <col min="3" max="3" width="25.46484375" style="26" customWidth="1"/>
    <col min="4" max="5" width="16.46484375" style="26" customWidth="1"/>
    <col min="6" max="6" width="10.1328125" style="26" customWidth="1"/>
    <col min="7" max="7" width="11.53125" style="26"/>
    <col min="8" max="8" width="24.6640625" style="26" customWidth="1"/>
    <col min="9" max="9" width="23.1328125" style="26" customWidth="1"/>
    <col min="10" max="16384" width="11.53125" style="26"/>
  </cols>
  <sheetData>
    <row r="1" spans="1:12" ht="20.65" customHeight="1">
      <c r="B1" s="129" t="s">
        <v>1697</v>
      </c>
    </row>
    <row r="2" spans="1:12" ht="15" customHeight="1">
      <c r="B2" s="26" t="s">
        <v>1698</v>
      </c>
    </row>
    <row r="3" spans="1:12" ht="15" customHeight="1">
      <c r="B3" s="26" t="s">
        <v>1699</v>
      </c>
    </row>
    <row r="8" spans="1:12" ht="15" customHeight="1">
      <c r="D8" s="130" t="s">
        <v>2602</v>
      </c>
    </row>
    <row r="11" spans="1:12" ht="15" customHeight="1">
      <c r="A11" s="131"/>
      <c r="B11" s="131"/>
      <c r="C11" s="131"/>
      <c r="D11" s="131"/>
      <c r="E11" s="131"/>
      <c r="F11" s="131"/>
      <c r="H11" s="26" t="s">
        <v>2809</v>
      </c>
    </row>
    <row r="12" spans="1:12" ht="15" customHeight="1">
      <c r="A12" s="131"/>
      <c r="B12" s="132" t="s">
        <v>1700</v>
      </c>
      <c r="C12" s="131"/>
      <c r="D12" s="131"/>
      <c r="E12" s="131"/>
      <c r="F12" s="131"/>
    </row>
    <row r="13" spans="1:12" ht="15" customHeight="1">
      <c r="A13" s="131"/>
      <c r="B13" s="131"/>
      <c r="C13" s="131"/>
      <c r="D13" s="131"/>
      <c r="E13" s="131"/>
      <c r="F13" s="131"/>
      <c r="H13" s="26" t="s">
        <v>2813</v>
      </c>
      <c r="L13" s="26" t="s">
        <v>3031</v>
      </c>
    </row>
    <row r="14" spans="1:12" ht="15" customHeight="1">
      <c r="A14" s="131"/>
      <c r="B14" s="131"/>
      <c r="C14" s="131"/>
      <c r="D14" s="131"/>
      <c r="E14" s="131"/>
      <c r="F14" s="131"/>
      <c r="H14" s="163" t="s">
        <v>2810</v>
      </c>
      <c r="I14" s="163" t="s">
        <v>2811</v>
      </c>
      <c r="J14" s="163" t="s">
        <v>2812</v>
      </c>
      <c r="L14" t="s">
        <v>95</v>
      </c>
    </row>
    <row r="15" spans="1:12" ht="15" customHeight="1">
      <c r="A15" s="131"/>
      <c r="B15" s="131"/>
      <c r="C15" s="131"/>
      <c r="D15" s="131"/>
      <c r="E15" s="131"/>
      <c r="F15" s="131"/>
      <c r="H15" s="26" t="s">
        <v>2266</v>
      </c>
      <c r="I15" s="26" t="s">
        <v>2315</v>
      </c>
      <c r="J15" s="26" t="s">
        <v>2736</v>
      </c>
      <c r="L15" t="s">
        <v>2250</v>
      </c>
    </row>
    <row r="16" spans="1:12" ht="15" customHeight="1">
      <c r="A16" s="131"/>
      <c r="B16" s="131"/>
      <c r="C16" s="131"/>
      <c r="D16" s="131"/>
      <c r="E16" s="131"/>
      <c r="F16" s="131"/>
      <c r="H16" s="26" t="s">
        <v>139</v>
      </c>
      <c r="I16" s="26" t="s">
        <v>787</v>
      </c>
      <c r="J16" s="26" t="s">
        <v>79</v>
      </c>
      <c r="L16" t="s">
        <v>2258</v>
      </c>
    </row>
    <row r="17" spans="1:12" ht="15" customHeight="1">
      <c r="A17" s="131"/>
      <c r="B17" s="131"/>
      <c r="C17" s="131"/>
      <c r="D17" s="131"/>
      <c r="E17" s="131"/>
      <c r="F17" s="131"/>
      <c r="H17" s="26" t="s">
        <v>1256</v>
      </c>
      <c r="I17" s="26" t="s">
        <v>1301</v>
      </c>
      <c r="J17" s="26" t="s">
        <v>79</v>
      </c>
      <c r="L17" t="s">
        <v>121</v>
      </c>
    </row>
    <row r="18" spans="1:12" ht="15" customHeight="1">
      <c r="A18" s="131"/>
      <c r="B18" s="131"/>
      <c r="C18" s="131"/>
      <c r="D18" s="131"/>
      <c r="E18" s="131"/>
      <c r="F18" s="131"/>
      <c r="H18" s="26" t="s">
        <v>142</v>
      </c>
      <c r="I18" s="26" t="s">
        <v>788</v>
      </c>
      <c r="J18" s="26" t="s">
        <v>79</v>
      </c>
      <c r="L18" t="s">
        <v>159</v>
      </c>
    </row>
    <row r="19" spans="1:12" ht="15" customHeight="1">
      <c r="A19" s="131"/>
      <c r="B19" s="133"/>
      <c r="C19" s="131"/>
      <c r="D19" s="134"/>
      <c r="E19" s="134"/>
      <c r="F19" s="131"/>
      <c r="H19" s="26" t="s">
        <v>2253</v>
      </c>
      <c r="I19" s="26" t="s">
        <v>2303</v>
      </c>
      <c r="J19" s="26" t="s">
        <v>2661</v>
      </c>
      <c r="L19" t="s">
        <v>122</v>
      </c>
    </row>
    <row r="20" spans="1:12" ht="15" customHeight="1">
      <c r="A20" s="131"/>
      <c r="B20" s="134"/>
      <c r="C20" s="134"/>
      <c r="D20" s="134"/>
      <c r="E20" s="134"/>
      <c r="F20" s="131"/>
      <c r="H20" s="26" t="s">
        <v>140</v>
      </c>
      <c r="I20" s="26" t="s">
        <v>789</v>
      </c>
      <c r="J20" s="26" t="s">
        <v>79</v>
      </c>
      <c r="L20" t="s">
        <v>170</v>
      </c>
    </row>
    <row r="21" spans="1:12" ht="15" customHeight="1" thickBot="1">
      <c r="A21" s="131"/>
      <c r="B21" s="170" t="s">
        <v>2419</v>
      </c>
      <c r="C21" s="170"/>
      <c r="D21" s="170"/>
      <c r="E21" s="170"/>
      <c r="F21" s="131"/>
      <c r="H21" s="26" t="s">
        <v>144</v>
      </c>
      <c r="I21" s="26" t="s">
        <v>791</v>
      </c>
      <c r="J21" s="26" t="s">
        <v>79</v>
      </c>
      <c r="L21" t="s">
        <v>2262</v>
      </c>
    </row>
    <row r="22" spans="1:12" ht="15" customHeight="1">
      <c r="A22" s="131"/>
      <c r="B22" s="135" t="s">
        <v>244</v>
      </c>
      <c r="C22" s="135" t="s">
        <v>2418</v>
      </c>
      <c r="D22" s="135" t="s">
        <v>245</v>
      </c>
      <c r="E22" s="135" t="s">
        <v>246</v>
      </c>
      <c r="F22" s="131"/>
      <c r="H22" s="26" t="s">
        <v>756</v>
      </c>
      <c r="I22" s="26" t="s">
        <v>806</v>
      </c>
      <c r="J22" s="26" t="s">
        <v>2661</v>
      </c>
      <c r="L22" t="s">
        <v>119</v>
      </c>
    </row>
    <row r="23" spans="1:12" ht="15" customHeight="1">
      <c r="A23" s="131"/>
      <c r="B23" s="136" t="s">
        <v>247</v>
      </c>
      <c r="C23" s="136" t="s">
        <v>2405</v>
      </c>
      <c r="D23" s="136" t="s">
        <v>248</v>
      </c>
      <c r="E23" s="136" t="s">
        <v>243</v>
      </c>
      <c r="F23" s="131"/>
      <c r="H23" s="26" t="s">
        <v>905</v>
      </c>
      <c r="I23" s="26" t="s">
        <v>812</v>
      </c>
      <c r="J23" s="26" t="s">
        <v>2661</v>
      </c>
      <c r="L23" t="s">
        <v>2263</v>
      </c>
    </row>
    <row r="24" spans="1:12" ht="15" customHeight="1">
      <c r="A24" s="131"/>
      <c r="B24" s="136" t="s">
        <v>250</v>
      </c>
      <c r="C24" s="136" t="s">
        <v>2405</v>
      </c>
      <c r="D24" s="136" t="s">
        <v>251</v>
      </c>
      <c r="E24" s="136" t="s">
        <v>243</v>
      </c>
      <c r="F24" s="131"/>
      <c r="H24" s="26" t="s">
        <v>143</v>
      </c>
      <c r="I24" s="26" t="s">
        <v>792</v>
      </c>
      <c r="J24" s="26" t="s">
        <v>79</v>
      </c>
      <c r="L24" t="s">
        <v>163</v>
      </c>
    </row>
    <row r="25" spans="1:12" ht="15" customHeight="1">
      <c r="A25" s="131"/>
      <c r="B25" s="136" t="s">
        <v>403</v>
      </c>
      <c r="C25" s="136" t="s">
        <v>2405</v>
      </c>
      <c r="D25" s="136" t="s">
        <v>404</v>
      </c>
      <c r="E25" s="136" t="s">
        <v>243</v>
      </c>
      <c r="F25" s="131"/>
      <c r="H25" s="26" t="s">
        <v>1213</v>
      </c>
      <c r="I25" s="26" t="s">
        <v>1234</v>
      </c>
      <c r="J25" s="26" t="s">
        <v>79</v>
      </c>
      <c r="L25" t="s">
        <v>44</v>
      </c>
    </row>
    <row r="26" spans="1:12" ht="15" customHeight="1">
      <c r="A26" s="131"/>
      <c r="B26" s="136" t="s">
        <v>1624</v>
      </c>
      <c r="C26" s="136" t="s">
        <v>2405</v>
      </c>
      <c r="D26" s="136" t="s">
        <v>1625</v>
      </c>
      <c r="E26" s="136" t="s">
        <v>249</v>
      </c>
      <c r="F26" s="131"/>
      <c r="H26" s="26" t="s">
        <v>2265</v>
      </c>
      <c r="I26" s="26" t="s">
        <v>2314</v>
      </c>
      <c r="J26" s="26" t="s">
        <v>2736</v>
      </c>
    </row>
    <row r="27" spans="1:12" ht="15" customHeight="1">
      <c r="A27" s="131"/>
      <c r="B27" s="136" t="s">
        <v>405</v>
      </c>
      <c r="C27" s="136" t="s">
        <v>2405</v>
      </c>
      <c r="D27" s="136" t="s">
        <v>406</v>
      </c>
      <c r="E27" s="136" t="s">
        <v>243</v>
      </c>
      <c r="F27" s="131"/>
      <c r="H27" s="26" t="s">
        <v>2259</v>
      </c>
      <c r="I27" s="26" t="s">
        <v>2308</v>
      </c>
      <c r="J27" s="26" t="s">
        <v>79</v>
      </c>
    </row>
    <row r="28" spans="1:12" ht="15" customHeight="1">
      <c r="A28" s="131"/>
      <c r="B28" s="136" t="s">
        <v>1189</v>
      </c>
      <c r="C28" s="136" t="s">
        <v>2405</v>
      </c>
      <c r="D28" s="136" t="s">
        <v>407</v>
      </c>
      <c r="E28" s="136" t="s">
        <v>243</v>
      </c>
      <c r="F28" s="131"/>
      <c r="H28" s="26" t="s">
        <v>137</v>
      </c>
      <c r="I28" s="26" t="s">
        <v>2745</v>
      </c>
      <c r="J28" s="26" t="s">
        <v>2736</v>
      </c>
    </row>
    <row r="29" spans="1:12" ht="15" customHeight="1">
      <c r="A29" s="131"/>
      <c r="B29" s="136" t="s">
        <v>345</v>
      </c>
      <c r="C29" s="136" t="s">
        <v>2405</v>
      </c>
      <c r="D29" s="136" t="s">
        <v>408</v>
      </c>
      <c r="E29" s="136" t="s">
        <v>243</v>
      </c>
      <c r="F29" s="131"/>
      <c r="H29" s="26" t="s">
        <v>764</v>
      </c>
      <c r="I29" s="26" t="s">
        <v>814</v>
      </c>
      <c r="J29" s="26" t="s">
        <v>2661</v>
      </c>
    </row>
    <row r="30" spans="1:12" ht="15" customHeight="1">
      <c r="A30" s="131"/>
      <c r="B30" s="136" t="s">
        <v>2599</v>
      </c>
      <c r="C30" s="136" t="s">
        <v>2405</v>
      </c>
      <c r="D30" s="136" t="s">
        <v>2600</v>
      </c>
      <c r="E30" s="136" t="s">
        <v>243</v>
      </c>
      <c r="F30" s="131"/>
      <c r="H30" s="26" t="s">
        <v>136</v>
      </c>
      <c r="I30" s="26" t="s">
        <v>194</v>
      </c>
      <c r="J30" s="26" t="s">
        <v>2736</v>
      </c>
    </row>
    <row r="31" spans="1:12" ht="15" customHeight="1">
      <c r="A31" s="131"/>
      <c r="B31" s="136" t="s">
        <v>409</v>
      </c>
      <c r="C31" s="136" t="s">
        <v>2405</v>
      </c>
      <c r="D31" s="136" t="s">
        <v>410</v>
      </c>
      <c r="E31" s="136" t="s">
        <v>243</v>
      </c>
      <c r="F31" s="131"/>
      <c r="H31" s="26" t="s">
        <v>476</v>
      </c>
      <c r="I31" s="26" t="s">
        <v>477</v>
      </c>
      <c r="J31" s="26" t="s">
        <v>79</v>
      </c>
    </row>
    <row r="32" spans="1:12" ht="15" customHeight="1">
      <c r="A32" s="131"/>
      <c r="B32" s="136" t="s">
        <v>411</v>
      </c>
      <c r="C32" s="136" t="s">
        <v>2405</v>
      </c>
      <c r="D32" s="136" t="s">
        <v>412</v>
      </c>
      <c r="E32" s="136" t="s">
        <v>249</v>
      </c>
      <c r="F32" s="131"/>
      <c r="H32" s="26" t="s">
        <v>1259</v>
      </c>
      <c r="I32" s="26" t="s">
        <v>1304</v>
      </c>
      <c r="J32" s="26" t="s">
        <v>79</v>
      </c>
    </row>
    <row r="33" spans="1:10" ht="15" customHeight="1">
      <c r="A33" s="131"/>
      <c r="B33" s="136" t="s">
        <v>413</v>
      </c>
      <c r="C33" s="136" t="s">
        <v>2405</v>
      </c>
      <c r="D33" s="136" t="s">
        <v>414</v>
      </c>
      <c r="E33" s="136" t="s">
        <v>249</v>
      </c>
      <c r="F33" s="131"/>
      <c r="H33" s="26" t="s">
        <v>1219</v>
      </c>
      <c r="I33" s="26" t="s">
        <v>1240</v>
      </c>
      <c r="J33" s="26" t="s">
        <v>79</v>
      </c>
    </row>
    <row r="34" spans="1:10" ht="15" customHeight="1">
      <c r="A34" s="131"/>
      <c r="B34" s="136" t="s">
        <v>458</v>
      </c>
      <c r="C34" s="136" t="s">
        <v>2405</v>
      </c>
      <c r="D34" s="136" t="s">
        <v>459</v>
      </c>
      <c r="E34" s="136" t="s">
        <v>249</v>
      </c>
      <c r="F34" s="131"/>
      <c r="H34" s="26" t="s">
        <v>1210</v>
      </c>
      <c r="I34" s="26" t="s">
        <v>1231</v>
      </c>
      <c r="J34" s="26" t="s">
        <v>79</v>
      </c>
    </row>
    <row r="35" spans="1:10" ht="15" customHeight="1">
      <c r="A35" s="131"/>
      <c r="B35" s="136" t="s">
        <v>415</v>
      </c>
      <c r="C35" s="136" t="s">
        <v>2405</v>
      </c>
      <c r="D35" s="136" t="s">
        <v>460</v>
      </c>
      <c r="E35" s="136" t="s">
        <v>249</v>
      </c>
      <c r="F35" s="131"/>
      <c r="H35" s="26" t="s">
        <v>1217</v>
      </c>
      <c r="I35" s="26" t="s">
        <v>1238</v>
      </c>
      <c r="J35" s="26" t="s">
        <v>79</v>
      </c>
    </row>
    <row r="36" spans="1:10" ht="15" customHeight="1">
      <c r="A36" s="131"/>
      <c r="B36" s="136" t="s">
        <v>1187</v>
      </c>
      <c r="C36" s="136" t="s">
        <v>2405</v>
      </c>
      <c r="D36" s="136" t="s">
        <v>1185</v>
      </c>
      <c r="E36" s="136" t="s">
        <v>249</v>
      </c>
      <c r="F36" s="131"/>
      <c r="H36" s="26" t="s">
        <v>1214</v>
      </c>
      <c r="I36" s="26" t="s">
        <v>1235</v>
      </c>
      <c r="J36" s="26" t="s">
        <v>79</v>
      </c>
    </row>
    <row r="37" spans="1:10" ht="18.75" customHeight="1" thickBot="1">
      <c r="A37" s="131"/>
      <c r="B37" s="170" t="s">
        <v>2420</v>
      </c>
      <c r="C37" s="170"/>
      <c r="D37" s="170"/>
      <c r="E37" s="170"/>
      <c r="F37" s="131"/>
      <c r="H37" s="26" t="s">
        <v>2256</v>
      </c>
      <c r="I37" s="26" t="s">
        <v>2305</v>
      </c>
      <c r="J37" s="26" t="s">
        <v>2736</v>
      </c>
    </row>
    <row r="38" spans="1:10" ht="15" customHeight="1">
      <c r="A38" s="131"/>
      <c r="B38" s="135" t="s">
        <v>244</v>
      </c>
      <c r="C38" s="135" t="s">
        <v>2418</v>
      </c>
      <c r="D38" s="135" t="s">
        <v>245</v>
      </c>
      <c r="E38" s="135" t="s">
        <v>252</v>
      </c>
      <c r="F38" s="131"/>
      <c r="H38" s="26" t="s">
        <v>1215</v>
      </c>
      <c r="I38" s="26" t="s">
        <v>1236</v>
      </c>
      <c r="J38" s="26" t="s">
        <v>79</v>
      </c>
    </row>
    <row r="39" spans="1:10" ht="15" customHeight="1">
      <c r="A39" s="131"/>
      <c r="B39" s="136" t="s">
        <v>247</v>
      </c>
      <c r="C39" s="136" t="s">
        <v>2405</v>
      </c>
      <c r="D39" s="136" t="s">
        <v>462</v>
      </c>
      <c r="E39" s="136" t="s">
        <v>243</v>
      </c>
      <c r="F39" s="131"/>
      <c r="H39" s="26" t="s">
        <v>757</v>
      </c>
      <c r="I39" s="26" t="s">
        <v>807</v>
      </c>
      <c r="J39" s="26" t="s">
        <v>2661</v>
      </c>
    </row>
    <row r="40" spans="1:10" ht="15" customHeight="1">
      <c r="A40" s="131"/>
      <c r="B40" s="136" t="s">
        <v>250</v>
      </c>
      <c r="C40" s="136" t="s">
        <v>2405</v>
      </c>
      <c r="D40" s="136" t="s">
        <v>463</v>
      </c>
      <c r="E40" s="136" t="s">
        <v>243</v>
      </c>
      <c r="F40" s="131"/>
      <c r="H40" s="26" t="s">
        <v>1220</v>
      </c>
      <c r="I40" s="26" t="s">
        <v>1241</v>
      </c>
      <c r="J40" s="26" t="s">
        <v>79</v>
      </c>
    </row>
    <row r="41" spans="1:10" ht="15" customHeight="1">
      <c r="A41" s="131"/>
      <c r="B41" s="136" t="s">
        <v>86</v>
      </c>
      <c r="C41" s="136" t="s">
        <v>2405</v>
      </c>
      <c r="D41" s="136" t="s">
        <v>461</v>
      </c>
      <c r="E41" s="136" t="s">
        <v>243</v>
      </c>
      <c r="F41" s="131"/>
      <c r="H41" s="26" t="s">
        <v>138</v>
      </c>
      <c r="I41" s="26" t="s">
        <v>774</v>
      </c>
      <c r="J41" s="26" t="s">
        <v>2736</v>
      </c>
    </row>
    <row r="42" spans="1:10" ht="15" customHeight="1">
      <c r="A42" s="131"/>
      <c r="B42" s="136" t="s">
        <v>403</v>
      </c>
      <c r="C42" s="136" t="s">
        <v>2405</v>
      </c>
      <c r="D42" s="136" t="s">
        <v>464</v>
      </c>
      <c r="E42" s="136" t="s">
        <v>243</v>
      </c>
      <c r="F42" s="131"/>
      <c r="H42" s="26" t="s">
        <v>173</v>
      </c>
      <c r="I42" s="26" t="s">
        <v>2693</v>
      </c>
      <c r="J42" s="26" t="s">
        <v>79</v>
      </c>
    </row>
    <row r="43" spans="1:10" ht="15" customHeight="1">
      <c r="A43" s="131"/>
      <c r="B43" s="136" t="s">
        <v>405</v>
      </c>
      <c r="C43" s="136" t="s">
        <v>2405</v>
      </c>
      <c r="D43" s="136" t="s">
        <v>457</v>
      </c>
      <c r="E43" s="136" t="s">
        <v>243</v>
      </c>
      <c r="F43" s="131"/>
      <c r="H43" s="26" t="s">
        <v>167</v>
      </c>
      <c r="I43" s="26" t="s">
        <v>803</v>
      </c>
      <c r="J43" s="26" t="s">
        <v>79</v>
      </c>
    </row>
    <row r="44" spans="1:10" ht="15" customHeight="1">
      <c r="A44" s="131"/>
      <c r="B44" s="136" t="s">
        <v>345</v>
      </c>
      <c r="C44" s="136" t="s">
        <v>2405</v>
      </c>
      <c r="D44" s="136" t="s">
        <v>465</v>
      </c>
      <c r="E44" s="136" t="s">
        <v>243</v>
      </c>
      <c r="F44" s="131"/>
      <c r="H44" s="26" t="s">
        <v>1218</v>
      </c>
      <c r="I44" s="26" t="s">
        <v>1239</v>
      </c>
      <c r="J44" s="26" t="s">
        <v>79</v>
      </c>
    </row>
    <row r="45" spans="1:10" ht="15" customHeight="1">
      <c r="A45" s="131"/>
      <c r="B45" s="136" t="s">
        <v>2599</v>
      </c>
      <c r="C45" s="136" t="s">
        <v>2405</v>
      </c>
      <c r="D45" s="136" t="s">
        <v>2601</v>
      </c>
      <c r="E45" s="136" t="s">
        <v>243</v>
      </c>
      <c r="F45" s="131"/>
      <c r="H45" s="26" t="s">
        <v>1209</v>
      </c>
      <c r="I45" s="26" t="s">
        <v>1230</v>
      </c>
      <c r="J45" s="26" t="s">
        <v>79</v>
      </c>
    </row>
    <row r="46" spans="1:10" ht="15" customHeight="1">
      <c r="A46" s="131"/>
      <c r="B46" s="136" t="s">
        <v>409</v>
      </c>
      <c r="C46" s="136" t="s">
        <v>2405</v>
      </c>
      <c r="D46" s="136" t="s">
        <v>466</v>
      </c>
      <c r="E46" s="136" t="s">
        <v>243</v>
      </c>
      <c r="F46" s="131"/>
      <c r="H46" s="26" t="s">
        <v>1216</v>
      </c>
      <c r="I46" s="26" t="s">
        <v>1237</v>
      </c>
      <c r="J46" s="26" t="s">
        <v>79</v>
      </c>
    </row>
    <row r="47" spans="1:10" ht="15" customHeight="1">
      <c r="A47" s="131"/>
      <c r="B47" s="136" t="s">
        <v>458</v>
      </c>
      <c r="C47" s="136" t="s">
        <v>2405</v>
      </c>
      <c r="D47" s="136" t="s">
        <v>467</v>
      </c>
      <c r="E47" s="136" t="s">
        <v>243</v>
      </c>
      <c r="F47" s="131"/>
      <c r="H47" s="26" t="s">
        <v>1254</v>
      </c>
      <c r="I47" s="26" t="s">
        <v>1299</v>
      </c>
      <c r="J47" s="26" t="s">
        <v>79</v>
      </c>
    </row>
    <row r="48" spans="1:10" ht="15" customHeight="1">
      <c r="A48" s="131"/>
      <c r="B48" s="136" t="s">
        <v>415</v>
      </c>
      <c r="C48" s="136" t="s">
        <v>2405</v>
      </c>
      <c r="D48" s="136" t="s">
        <v>468</v>
      </c>
      <c r="E48" s="136" t="s">
        <v>243</v>
      </c>
      <c r="F48" s="131"/>
      <c r="H48" s="26" t="s">
        <v>141</v>
      </c>
      <c r="I48" s="26" t="s">
        <v>790</v>
      </c>
      <c r="J48" s="26" t="s">
        <v>79</v>
      </c>
    </row>
    <row r="49" spans="1:11" ht="15" customHeight="1">
      <c r="A49" s="131"/>
      <c r="B49" s="136" t="s">
        <v>1187</v>
      </c>
      <c r="C49" s="136" t="s">
        <v>2405</v>
      </c>
      <c r="D49" s="136" t="s">
        <v>1188</v>
      </c>
      <c r="E49" s="136" t="s">
        <v>243</v>
      </c>
      <c r="F49" s="131"/>
      <c r="H49" s="26" t="s">
        <v>1258</v>
      </c>
      <c r="I49" s="26" t="s">
        <v>1303</v>
      </c>
      <c r="J49" s="26" t="s">
        <v>79</v>
      </c>
    </row>
    <row r="50" spans="1:11" ht="15" customHeight="1">
      <c r="A50" s="131"/>
      <c r="B50" s="136" t="s">
        <v>1189</v>
      </c>
      <c r="C50" s="136" t="s">
        <v>2405</v>
      </c>
      <c r="D50" s="136" t="s">
        <v>1190</v>
      </c>
      <c r="E50" s="136" t="s">
        <v>243</v>
      </c>
      <c r="F50" s="131"/>
      <c r="H50" s="26" t="s">
        <v>761</v>
      </c>
      <c r="I50" s="26" t="s">
        <v>811</v>
      </c>
      <c r="J50" s="26" t="s">
        <v>2661</v>
      </c>
    </row>
    <row r="51" spans="1:11" ht="15" customHeight="1">
      <c r="A51" s="131"/>
      <c r="B51" s="136" t="s">
        <v>411</v>
      </c>
      <c r="C51" s="136" t="s">
        <v>2405</v>
      </c>
      <c r="D51" s="136" t="s">
        <v>1191</v>
      </c>
      <c r="E51" s="136" t="s">
        <v>243</v>
      </c>
      <c r="F51" s="131"/>
      <c r="H51" s="26" t="s">
        <v>1255</v>
      </c>
      <c r="I51" s="26" t="s">
        <v>1300</v>
      </c>
      <c r="J51" s="26" t="s">
        <v>79</v>
      </c>
    </row>
    <row r="52" spans="1:11" ht="15" customHeight="1">
      <c r="A52" s="131"/>
      <c r="B52" s="136" t="s">
        <v>413</v>
      </c>
      <c r="C52" s="136" t="s">
        <v>2405</v>
      </c>
      <c r="D52" s="136" t="s">
        <v>1192</v>
      </c>
      <c r="E52" s="136" t="s">
        <v>243</v>
      </c>
      <c r="F52" s="131"/>
      <c r="H52" s="26" t="s">
        <v>1257</v>
      </c>
      <c r="I52" s="26" t="s">
        <v>1302</v>
      </c>
      <c r="J52" s="26" t="s">
        <v>79</v>
      </c>
    </row>
    <row r="53" spans="1:11" ht="15" customHeight="1">
      <c r="A53" s="131"/>
      <c r="B53" s="136" t="s">
        <v>1624</v>
      </c>
      <c r="C53" s="136" t="s">
        <v>2405</v>
      </c>
      <c r="D53" s="136" t="s">
        <v>1626</v>
      </c>
      <c r="E53" s="136" t="s">
        <v>243</v>
      </c>
      <c r="F53" s="131"/>
      <c r="H53" s="26" t="s">
        <v>146</v>
      </c>
      <c r="I53" s="26" t="s">
        <v>793</v>
      </c>
      <c r="J53" s="26" t="s">
        <v>79</v>
      </c>
    </row>
    <row r="54" spans="1:11" ht="15" customHeight="1">
      <c r="A54" s="131"/>
      <c r="B54" s="131"/>
      <c r="C54" s="131"/>
      <c r="D54" s="131"/>
      <c r="E54" s="131"/>
      <c r="F54" s="131"/>
      <c r="H54" s="26" t="s">
        <v>2257</v>
      </c>
      <c r="I54" s="26" t="s">
        <v>2306</v>
      </c>
      <c r="J54" s="26" t="s">
        <v>2736</v>
      </c>
    </row>
    <row r="55" spans="1:11" ht="15" customHeight="1">
      <c r="A55" s="131"/>
      <c r="B55" s="131"/>
      <c r="C55" s="131"/>
      <c r="D55" s="131"/>
      <c r="E55" s="131"/>
      <c r="F55" s="131"/>
      <c r="H55" s="26" t="s">
        <v>1212</v>
      </c>
      <c r="I55" s="26" t="s">
        <v>1233</v>
      </c>
      <c r="J55" s="26" t="s">
        <v>79</v>
      </c>
    </row>
    <row r="56" spans="1:11" ht="15" customHeight="1">
      <c r="H56" s="26" t="s">
        <v>763</v>
      </c>
      <c r="I56" s="26" t="s">
        <v>813</v>
      </c>
      <c r="J56" s="26" t="s">
        <v>2661</v>
      </c>
    </row>
    <row r="57" spans="1:11" ht="15" customHeight="1">
      <c r="H57" s="26" t="s">
        <v>1211</v>
      </c>
      <c r="I57" s="26" t="s">
        <v>1232</v>
      </c>
      <c r="J57" s="26" t="s">
        <v>79</v>
      </c>
    </row>
    <row r="59" spans="1:11" ht="15" customHeight="1">
      <c r="A59" s="137"/>
      <c r="B59" s="138"/>
      <c r="C59" s="137"/>
      <c r="H59" s="166">
        <v>2</v>
      </c>
      <c r="I59" s="166" t="s">
        <v>490</v>
      </c>
      <c r="J59" s="165">
        <v>46307</v>
      </c>
      <c r="K59" s="166" t="s">
        <v>2237</v>
      </c>
    </row>
    <row r="60" spans="1:11" ht="15" customHeight="1">
      <c r="A60" s="137"/>
      <c r="B60" s="138"/>
      <c r="C60" s="137"/>
      <c r="H60" s="166">
        <v>3</v>
      </c>
      <c r="I60" s="166" t="s">
        <v>490</v>
      </c>
      <c r="J60" s="165">
        <v>46381</v>
      </c>
      <c r="K60" s="166" t="s">
        <v>491</v>
      </c>
    </row>
    <row r="61" spans="1:11" ht="15" customHeight="1">
      <c r="A61" s="137"/>
      <c r="B61" s="138"/>
      <c r="C61" s="137"/>
      <c r="H61" s="166">
        <v>4</v>
      </c>
      <c r="I61" s="166" t="s">
        <v>490</v>
      </c>
      <c r="J61" s="165">
        <v>46382</v>
      </c>
      <c r="K61" s="166" t="s">
        <v>492</v>
      </c>
    </row>
    <row r="62" spans="1:11" ht="15" customHeight="1">
      <c r="A62" s="137"/>
      <c r="B62" s="138"/>
      <c r="C62" s="137"/>
      <c r="H62" s="166">
        <v>5</v>
      </c>
      <c r="I62" s="166" t="s">
        <v>490</v>
      </c>
      <c r="J62" s="165">
        <v>46023</v>
      </c>
      <c r="K62" s="166" t="s">
        <v>1582</v>
      </c>
    </row>
    <row r="63" spans="1:11" ht="15" customHeight="1">
      <c r="A63" s="137"/>
      <c r="B63" s="138"/>
      <c r="C63" s="137"/>
      <c r="H63" s="166">
        <v>6</v>
      </c>
      <c r="I63" s="166" t="s">
        <v>490</v>
      </c>
      <c r="J63" s="165">
        <v>46272</v>
      </c>
      <c r="K63" s="166" t="s">
        <v>1583</v>
      </c>
    </row>
    <row r="64" spans="1:11" ht="15" customHeight="1">
      <c r="A64" s="137"/>
      <c r="B64" s="138"/>
      <c r="C64" s="137"/>
      <c r="H64" s="166">
        <v>7</v>
      </c>
      <c r="I64" s="166" t="s">
        <v>490</v>
      </c>
      <c r="J64" s="165">
        <v>46115</v>
      </c>
      <c r="K64" s="166" t="s">
        <v>1734</v>
      </c>
    </row>
    <row r="65" spans="1:11" ht="15" customHeight="1">
      <c r="A65" s="137"/>
      <c r="B65" s="138"/>
      <c r="C65" s="137"/>
      <c r="H65" s="166">
        <v>8</v>
      </c>
      <c r="I65" s="166" t="s">
        <v>490</v>
      </c>
      <c r="J65" s="165">
        <v>46118</v>
      </c>
      <c r="K65" s="166" t="s">
        <v>1735</v>
      </c>
    </row>
    <row r="66" spans="1:11" ht="15" customHeight="1">
      <c r="A66" s="137"/>
      <c r="B66" s="138"/>
      <c r="C66" s="137"/>
      <c r="H66" s="166">
        <v>9</v>
      </c>
      <c r="I66" s="166" t="s">
        <v>490</v>
      </c>
      <c r="J66" s="165">
        <v>46167</v>
      </c>
      <c r="K66" s="166" t="s">
        <v>1736</v>
      </c>
    </row>
    <row r="67" spans="1:11" ht="15" customHeight="1">
      <c r="A67" s="137"/>
      <c r="B67" s="138"/>
      <c r="C67" s="137"/>
      <c r="H67" s="166">
        <v>10</v>
      </c>
      <c r="I67" s="166" t="s">
        <v>490</v>
      </c>
      <c r="J67" s="165">
        <v>46204</v>
      </c>
      <c r="K67" s="166" t="s">
        <v>1737</v>
      </c>
    </row>
    <row r="68" spans="1:11" ht="15" customHeight="1">
      <c r="A68" s="137"/>
      <c r="B68" s="138"/>
      <c r="C68" s="137"/>
      <c r="H68" s="166">
        <v>11</v>
      </c>
      <c r="I68" s="166" t="s">
        <v>490</v>
      </c>
      <c r="J68" s="165">
        <v>46237</v>
      </c>
      <c r="K68" s="166" t="s">
        <v>1738</v>
      </c>
    </row>
    <row r="69" spans="1:11" ht="15" customHeight="1">
      <c r="A69" s="137"/>
      <c r="B69" s="138"/>
      <c r="C69" s="137"/>
      <c r="H69" s="166">
        <v>12</v>
      </c>
      <c r="I69" s="166" t="s">
        <v>490</v>
      </c>
      <c r="J69" s="165">
        <v>46671</v>
      </c>
      <c r="K69" s="166" t="s">
        <v>2237</v>
      </c>
    </row>
    <row r="70" spans="1:11" ht="15" customHeight="1">
      <c r="A70" s="137"/>
      <c r="B70" s="138"/>
      <c r="C70" s="137"/>
      <c r="H70" s="166">
        <v>13</v>
      </c>
      <c r="I70" s="166" t="s">
        <v>490</v>
      </c>
      <c r="J70" s="165">
        <v>46746</v>
      </c>
      <c r="K70" s="166" t="s">
        <v>491</v>
      </c>
    </row>
    <row r="71" spans="1:11" ht="15" customHeight="1">
      <c r="A71" s="137"/>
      <c r="B71" s="138"/>
      <c r="C71" s="137"/>
      <c r="H71" s="166">
        <v>14</v>
      </c>
      <c r="I71" s="166" t="s">
        <v>490</v>
      </c>
      <c r="J71" s="165">
        <v>46747</v>
      </c>
      <c r="K71" s="166" t="s">
        <v>492</v>
      </c>
    </row>
    <row r="72" spans="1:11" ht="15" customHeight="1">
      <c r="A72" s="137"/>
      <c r="B72" s="138"/>
      <c r="C72" s="137"/>
      <c r="H72" s="166">
        <v>15</v>
      </c>
      <c r="I72" s="166" t="s">
        <v>490</v>
      </c>
      <c r="J72" s="165">
        <v>46388</v>
      </c>
      <c r="K72" s="166" t="s">
        <v>1582</v>
      </c>
    </row>
    <row r="73" spans="1:11" ht="15" customHeight="1">
      <c r="A73" s="137"/>
      <c r="B73" s="138"/>
      <c r="C73" s="137"/>
      <c r="H73" s="166">
        <v>16</v>
      </c>
      <c r="I73" s="166" t="s">
        <v>490</v>
      </c>
      <c r="J73" s="165">
        <v>46636</v>
      </c>
      <c r="K73" s="166" t="s">
        <v>1583</v>
      </c>
    </row>
    <row r="74" spans="1:11" ht="15" customHeight="1">
      <c r="A74" s="137"/>
      <c r="B74" s="138"/>
      <c r="C74" s="137"/>
      <c r="H74" s="166">
        <v>17</v>
      </c>
      <c r="I74" s="166" t="s">
        <v>490</v>
      </c>
      <c r="J74" s="165">
        <v>46472</v>
      </c>
      <c r="K74" s="166" t="s">
        <v>1734</v>
      </c>
    </row>
    <row r="75" spans="1:11" ht="15" customHeight="1">
      <c r="A75" s="137"/>
      <c r="B75" s="138"/>
      <c r="C75" s="137"/>
      <c r="H75" s="166">
        <v>18</v>
      </c>
      <c r="I75" s="166" t="s">
        <v>490</v>
      </c>
      <c r="J75" s="165">
        <v>46475</v>
      </c>
      <c r="K75" s="166" t="s">
        <v>1735</v>
      </c>
    </row>
    <row r="76" spans="1:11" ht="15" customHeight="1">
      <c r="A76" s="137"/>
      <c r="B76" s="138"/>
      <c r="C76" s="137"/>
      <c r="H76" s="166">
        <v>19</v>
      </c>
      <c r="I76" s="166" t="s">
        <v>490</v>
      </c>
      <c r="J76" s="165">
        <v>46531</v>
      </c>
      <c r="K76" s="166" t="s">
        <v>1736</v>
      </c>
    </row>
    <row r="77" spans="1:11" ht="15" customHeight="1">
      <c r="A77" s="137"/>
      <c r="B77" s="138"/>
      <c r="C77" s="137"/>
      <c r="H77" s="166">
        <v>20</v>
      </c>
      <c r="I77" s="166" t="s">
        <v>490</v>
      </c>
      <c r="J77" s="165">
        <v>46569</v>
      </c>
      <c r="K77" s="166" t="s">
        <v>1737</v>
      </c>
    </row>
    <row r="78" spans="1:11" ht="15" customHeight="1">
      <c r="A78" s="137"/>
      <c r="B78" s="138"/>
      <c r="C78" s="137"/>
      <c r="H78" s="166">
        <v>21</v>
      </c>
      <c r="I78" s="166" t="s">
        <v>490</v>
      </c>
      <c r="J78" s="165">
        <v>46601</v>
      </c>
      <c r="K78" s="166" t="s">
        <v>1738</v>
      </c>
    </row>
  </sheetData>
  <mergeCells count="2">
    <mergeCell ref="B21:E21"/>
    <mergeCell ref="B37:E37"/>
  </mergeCells>
  <dataValidations count="1">
    <dataValidation type="list" allowBlank="1" showInputMessage="1" showErrorMessage="1" sqref="E39:E53 E23:E36" xr:uid="{9AE45D01-C64C-490D-9820-B30E52667B7C}">
      <formula1>"Yes,No"</formula1>
    </dataValidation>
  </dataValidations>
  <pageMargins left="0.78749999999999998" right="0.78749999999999998" top="0.78749999999999998" bottom="0.78749999999999998" header="0.511811023622047" footer="0.511811023622047"/>
  <pageSetup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8FFD2-22AE-4089-A069-9D1D5E1E66FE}">
  <sheetPr codeName="AdminPanelSht">
    <tabColor theme="9"/>
  </sheetPr>
  <dimension ref="A1:BE30"/>
  <sheetViews>
    <sheetView tabSelected="1" zoomScaleNormal="100" workbookViewId="0">
      <pane ySplit="3" topLeftCell="A4" activePane="bottomLeft" state="frozen"/>
      <selection pane="bottomLeft" activeCell="D9" sqref="D9"/>
    </sheetView>
  </sheetViews>
  <sheetFormatPr defaultColWidth="8.6640625" defaultRowHeight="13.5"/>
  <cols>
    <col min="1" max="1" width="8.59765625" style="63" customWidth="1"/>
    <col min="2" max="2" width="30.59765625" style="63" customWidth="1"/>
    <col min="3" max="3" width="18.59765625" style="64" customWidth="1"/>
    <col min="4" max="4" width="20.59765625" style="63" customWidth="1"/>
    <col min="5" max="6" width="18.59765625" style="64" customWidth="1"/>
    <col min="7" max="7" width="8.59765625" style="63" customWidth="1"/>
    <col min="8" max="15" width="8.796875" style="63" customWidth="1"/>
    <col min="16" max="20" width="10.59765625" style="63" customWidth="1"/>
    <col min="21" max="21" width="18.59765625" style="64" customWidth="1"/>
    <col min="22" max="23" width="9.59765625" style="63" customWidth="1"/>
    <col min="24" max="49" width="10.59765625" style="63" customWidth="1"/>
    <col min="50" max="56" width="8.6640625" style="9"/>
    <col min="57" max="57" width="30.59765625" style="63" customWidth="1"/>
    <col min="58" max="16384" width="8.6640625" style="9"/>
  </cols>
  <sheetData>
    <row r="1" spans="1:57" s="19" customFormat="1" ht="19.5" customHeight="1">
      <c r="A1" s="95" t="s">
        <v>212</v>
      </c>
      <c r="B1" s="95" t="s">
        <v>211</v>
      </c>
      <c r="C1" s="98" t="s">
        <v>224</v>
      </c>
      <c r="D1" s="95" t="s">
        <v>225</v>
      </c>
      <c r="E1" s="100" t="s">
        <v>217</v>
      </c>
      <c r="F1" s="98" t="s">
        <v>222</v>
      </c>
      <c r="G1" s="95" t="s">
        <v>213</v>
      </c>
      <c r="H1" s="95" t="s">
        <v>1716</v>
      </c>
      <c r="I1" s="95" t="s">
        <v>1717</v>
      </c>
      <c r="J1" s="95" t="s">
        <v>1718</v>
      </c>
      <c r="K1" s="95" t="s">
        <v>1720</v>
      </c>
      <c r="L1" s="95" t="s">
        <v>1719</v>
      </c>
      <c r="M1" s="95" t="s">
        <v>1721</v>
      </c>
      <c r="N1" s="95" t="s">
        <v>1722</v>
      </c>
      <c r="O1" s="95" t="s">
        <v>1723</v>
      </c>
      <c r="P1" s="95" t="s">
        <v>214</v>
      </c>
      <c r="Q1" s="95" t="s">
        <v>721</v>
      </c>
      <c r="R1" s="95" t="s">
        <v>722</v>
      </c>
      <c r="S1" s="95" t="s">
        <v>215</v>
      </c>
      <c r="T1" s="95" t="s">
        <v>216</v>
      </c>
      <c r="U1" s="98" t="s">
        <v>218</v>
      </c>
      <c r="V1" s="95" t="s">
        <v>219</v>
      </c>
      <c r="W1" s="95" t="s">
        <v>220</v>
      </c>
      <c r="X1" s="95" t="s">
        <v>221</v>
      </c>
      <c r="Y1" s="95" t="s">
        <v>223</v>
      </c>
      <c r="Z1" s="95" t="s">
        <v>226</v>
      </c>
      <c r="AA1" s="95" t="s">
        <v>227</v>
      </c>
      <c r="AB1" s="95" t="s">
        <v>228</v>
      </c>
      <c r="AC1" s="95" t="s">
        <v>229</v>
      </c>
      <c r="AD1" s="95" t="s">
        <v>230</v>
      </c>
      <c r="AE1" s="95" t="s">
        <v>231</v>
      </c>
      <c r="AF1" s="95" t="s">
        <v>269</v>
      </c>
      <c r="AG1" s="95" t="s">
        <v>270</v>
      </c>
      <c r="AH1" s="95" t="s">
        <v>271</v>
      </c>
      <c r="AI1" s="95" t="s">
        <v>272</v>
      </c>
      <c r="AJ1" s="95" t="s">
        <v>232</v>
      </c>
      <c r="AK1" s="95" t="s">
        <v>233</v>
      </c>
      <c r="AL1" s="95" t="s">
        <v>234</v>
      </c>
      <c r="AM1" s="95" t="s">
        <v>235</v>
      </c>
      <c r="AN1" s="95" t="s">
        <v>236</v>
      </c>
      <c r="AO1" s="95" t="s">
        <v>237</v>
      </c>
      <c r="AP1" s="95" t="s">
        <v>238</v>
      </c>
      <c r="AQ1" s="95" t="s">
        <v>239</v>
      </c>
      <c r="AR1" s="95" t="s">
        <v>240</v>
      </c>
      <c r="AS1" s="95" t="s">
        <v>241</v>
      </c>
      <c r="AT1" s="95" t="s">
        <v>273</v>
      </c>
      <c r="AU1" s="95" t="s">
        <v>274</v>
      </c>
      <c r="AV1" s="95" t="s">
        <v>275</v>
      </c>
      <c r="AW1" s="95" t="s">
        <v>276</v>
      </c>
      <c r="AX1" s="30" t="s">
        <v>1242</v>
      </c>
      <c r="AY1" s="30" t="s">
        <v>1243</v>
      </c>
      <c r="AZ1" s="30" t="s">
        <v>1244</v>
      </c>
      <c r="BA1" s="30" t="s">
        <v>1543</v>
      </c>
      <c r="BB1" s="30" t="s">
        <v>1544</v>
      </c>
      <c r="BC1" s="30" t="s">
        <v>1545</v>
      </c>
      <c r="BD1" s="30" t="s">
        <v>2603</v>
      </c>
      <c r="BE1" s="172" t="s">
        <v>3013</v>
      </c>
    </row>
    <row r="2" spans="1:57" ht="38.25" customHeight="1">
      <c r="A2" s="96" t="s">
        <v>1715</v>
      </c>
      <c r="B2" s="79"/>
      <c r="C2" s="99"/>
      <c r="D2" s="97"/>
      <c r="E2" s="101"/>
      <c r="F2" s="99"/>
      <c r="G2" s="97"/>
      <c r="H2" s="97"/>
      <c r="I2" s="97"/>
      <c r="J2" s="97"/>
      <c r="K2" s="97"/>
      <c r="L2" s="97"/>
      <c r="M2" s="97"/>
      <c r="N2" s="97"/>
      <c r="O2" s="97"/>
      <c r="P2" s="97"/>
      <c r="Q2" s="97"/>
      <c r="R2" s="97"/>
      <c r="S2" s="97"/>
      <c r="T2" s="97"/>
      <c r="U2" s="99"/>
      <c r="V2" s="97"/>
      <c r="W2" s="97"/>
      <c r="X2" s="97"/>
      <c r="Y2" s="97"/>
      <c r="Z2" s="97"/>
      <c r="AA2" s="97"/>
      <c r="AB2" s="97"/>
      <c r="AC2" s="97"/>
      <c r="AD2" s="97"/>
      <c r="AE2" s="97"/>
      <c r="AF2" s="79"/>
      <c r="AG2" s="79"/>
      <c r="AH2" s="79"/>
      <c r="AI2" s="79" t="s">
        <v>277</v>
      </c>
      <c r="AJ2" s="102" t="s">
        <v>1702</v>
      </c>
      <c r="AK2" s="103" t="s">
        <v>1703</v>
      </c>
      <c r="AL2" s="103" t="s">
        <v>1704</v>
      </c>
      <c r="AM2" s="103" t="s">
        <v>1705</v>
      </c>
      <c r="AN2" s="103" t="s">
        <v>1706</v>
      </c>
      <c r="AO2" s="103" t="s">
        <v>1707</v>
      </c>
      <c r="AP2" s="103" t="s">
        <v>1708</v>
      </c>
      <c r="AQ2" s="103" t="s">
        <v>1709</v>
      </c>
      <c r="AR2" s="103" t="s">
        <v>1710</v>
      </c>
      <c r="AS2" s="102" t="s">
        <v>1711</v>
      </c>
      <c r="AT2" s="103" t="s">
        <v>1712</v>
      </c>
      <c r="AU2" s="103" t="s">
        <v>278</v>
      </c>
      <c r="AV2" s="103" t="s">
        <v>1713</v>
      </c>
      <c r="AW2" s="102" t="s">
        <v>1714</v>
      </c>
      <c r="AX2"/>
      <c r="AY2"/>
      <c r="AZ2"/>
      <c r="BA2"/>
      <c r="BB2"/>
      <c r="BC2"/>
      <c r="BD2"/>
    </row>
    <row r="3" spans="1:57" ht="52.25" customHeight="1">
      <c r="A3" s="78" t="s">
        <v>268</v>
      </c>
      <c r="B3" s="78" t="s">
        <v>2</v>
      </c>
      <c r="C3" s="117" t="s">
        <v>290</v>
      </c>
      <c r="D3" s="78" t="s">
        <v>291</v>
      </c>
      <c r="E3" s="117" t="s">
        <v>283</v>
      </c>
      <c r="F3" s="117" t="s">
        <v>288</v>
      </c>
      <c r="G3" s="78" t="s">
        <v>20</v>
      </c>
      <c r="H3" s="78" t="s">
        <v>1724</v>
      </c>
      <c r="I3" s="78" t="s">
        <v>1725</v>
      </c>
      <c r="J3" s="78" t="s">
        <v>1726</v>
      </c>
      <c r="K3" s="78" t="s">
        <v>1727</v>
      </c>
      <c r="L3" s="78" t="s">
        <v>1728</v>
      </c>
      <c r="M3" s="78" t="s">
        <v>1731</v>
      </c>
      <c r="N3" s="78" t="s">
        <v>1729</v>
      </c>
      <c r="O3" s="78" t="s">
        <v>1730</v>
      </c>
      <c r="P3" s="78" t="s">
        <v>279</v>
      </c>
      <c r="Q3" s="78" t="s">
        <v>723</v>
      </c>
      <c r="R3" s="78" t="s">
        <v>724</v>
      </c>
      <c r="S3" s="78" t="s">
        <v>281</v>
      </c>
      <c r="T3" s="78" t="s">
        <v>282</v>
      </c>
      <c r="U3" s="117" t="s">
        <v>284</v>
      </c>
      <c r="V3" s="78" t="s">
        <v>285</v>
      </c>
      <c r="W3" s="78" t="s">
        <v>286</v>
      </c>
      <c r="X3" s="78" t="s">
        <v>287</v>
      </c>
      <c r="Y3" s="78" t="s">
        <v>289</v>
      </c>
      <c r="Z3" s="78" t="s">
        <v>292</v>
      </c>
      <c r="AA3" s="78" t="s">
        <v>293</v>
      </c>
      <c r="AB3" s="78" t="s">
        <v>294</v>
      </c>
      <c r="AC3" s="78" t="s">
        <v>295</v>
      </c>
      <c r="AD3" s="78" t="s">
        <v>296</v>
      </c>
      <c r="AE3" s="78" t="s">
        <v>297</v>
      </c>
      <c r="AF3" s="78" t="s">
        <v>298</v>
      </c>
      <c r="AG3" s="78" t="s">
        <v>299</v>
      </c>
      <c r="AH3" s="78" t="s">
        <v>271</v>
      </c>
      <c r="AI3" s="78" t="s">
        <v>272</v>
      </c>
      <c r="AJ3" s="78" t="s">
        <v>232</v>
      </c>
      <c r="AK3" s="78" t="s">
        <v>233</v>
      </c>
      <c r="AL3" s="78" t="s">
        <v>234</v>
      </c>
      <c r="AM3" s="78" t="s">
        <v>235</v>
      </c>
      <c r="AN3" s="78" t="s">
        <v>236</v>
      </c>
      <c r="AO3" s="78" t="s">
        <v>237</v>
      </c>
      <c r="AP3" s="78" t="s">
        <v>238</v>
      </c>
      <c r="AQ3" s="78" t="s">
        <v>239</v>
      </c>
      <c r="AR3" s="78" t="s">
        <v>240</v>
      </c>
      <c r="AS3" s="78" t="s">
        <v>241</v>
      </c>
      <c r="AT3" s="78" t="s">
        <v>273</v>
      </c>
      <c r="AU3" s="78" t="s">
        <v>274</v>
      </c>
      <c r="AV3" s="78" t="s">
        <v>275</v>
      </c>
      <c r="AW3" s="78" t="s">
        <v>276</v>
      </c>
      <c r="AX3" s="78" t="s">
        <v>1245</v>
      </c>
      <c r="AY3" s="78" t="s">
        <v>1246</v>
      </c>
      <c r="AZ3" s="78" t="s">
        <v>1247</v>
      </c>
      <c r="BA3" s="78" t="s">
        <v>1543</v>
      </c>
      <c r="BB3" s="78" t="s">
        <v>1544</v>
      </c>
      <c r="BC3" s="78" t="s">
        <v>1545</v>
      </c>
      <c r="BD3" s="78" t="s">
        <v>2603</v>
      </c>
      <c r="BE3" s="78" t="s">
        <v>3013</v>
      </c>
    </row>
    <row r="4" spans="1:57" s="62" customFormat="1" ht="18" customHeight="1">
      <c r="A4" s="166">
        <v>1</v>
      </c>
      <c r="B4" s="166" t="s">
        <v>488</v>
      </c>
      <c r="C4" s="167" t="s">
        <v>838</v>
      </c>
      <c r="D4" s="166"/>
      <c r="E4" s="165">
        <v>46279</v>
      </c>
      <c r="F4" s="165">
        <v>46286</v>
      </c>
      <c r="G4" s="166">
        <v>44</v>
      </c>
      <c r="P4" s="166" t="s">
        <v>1733</v>
      </c>
      <c r="Q4" s="166" t="s">
        <v>243</v>
      </c>
      <c r="R4" s="166" t="s">
        <v>243</v>
      </c>
      <c r="S4" s="166" t="s">
        <v>3098</v>
      </c>
      <c r="T4" s="166">
        <v>10</v>
      </c>
      <c r="U4" s="165"/>
      <c r="V4" s="166">
        <v>50</v>
      </c>
      <c r="W4" s="166">
        <v>400</v>
      </c>
      <c r="X4" s="166">
        <v>2</v>
      </c>
      <c r="Y4" s="166" t="s">
        <v>3093</v>
      </c>
      <c r="Z4" s="166" t="s">
        <v>2406</v>
      </c>
      <c r="AA4" s="166" t="s">
        <v>489</v>
      </c>
      <c r="AB4" s="166"/>
      <c r="AC4" s="166"/>
      <c r="AD4" s="166"/>
      <c r="AE4" s="166" t="s">
        <v>243</v>
      </c>
      <c r="AF4" s="166" t="s">
        <v>249</v>
      </c>
      <c r="AG4" s="166" t="s">
        <v>249</v>
      </c>
      <c r="AH4" s="166" t="s">
        <v>3093</v>
      </c>
      <c r="AI4" s="166" t="s">
        <v>3102</v>
      </c>
      <c r="AJ4" s="166" t="b">
        <v>0</v>
      </c>
      <c r="AK4" s="166" t="s">
        <v>3099</v>
      </c>
      <c r="AL4" s="166">
        <v>46186</v>
      </c>
      <c r="AM4" s="166">
        <v>31</v>
      </c>
      <c r="AN4" s="166">
        <v>3</v>
      </c>
      <c r="AO4" s="166" t="s">
        <v>3100</v>
      </c>
      <c r="AP4" s="166" t="s">
        <v>2430</v>
      </c>
      <c r="AQ4" s="166" t="s">
        <v>3101</v>
      </c>
      <c r="AR4" s="166">
        <v>99</v>
      </c>
      <c r="AS4" s="166" t="b">
        <v>0</v>
      </c>
      <c r="AT4" s="166" t="s">
        <v>243</v>
      </c>
      <c r="AU4" s="166" t="s">
        <v>249</v>
      </c>
      <c r="AV4" s="166">
        <v>0</v>
      </c>
      <c r="AW4" s="166" t="b">
        <v>0</v>
      </c>
      <c r="AX4" s="62" t="s">
        <v>249</v>
      </c>
      <c r="AY4" s="62" t="s">
        <v>249</v>
      </c>
      <c r="AZ4" s="62" t="s">
        <v>249</v>
      </c>
      <c r="BA4" s="62" t="s">
        <v>11</v>
      </c>
      <c r="BB4" s="62" t="s">
        <v>1732</v>
      </c>
      <c r="BC4" s="62" t="s">
        <v>621</v>
      </c>
      <c r="BE4" s="166"/>
    </row>
    <row r="5" spans="1:57" s="62" customFormat="1" ht="18" customHeight="1">
      <c r="A5" s="166">
        <v>14</v>
      </c>
      <c r="B5" s="166" t="s">
        <v>490</v>
      </c>
      <c r="C5" s="165">
        <v>46307</v>
      </c>
      <c r="D5" s="166" t="s">
        <v>2237</v>
      </c>
      <c r="E5" s="165"/>
      <c r="F5" s="165"/>
      <c r="G5" s="166"/>
      <c r="P5" s="166"/>
      <c r="Q5" s="166"/>
      <c r="R5" s="166"/>
      <c r="S5" s="166"/>
      <c r="T5" s="166"/>
      <c r="U5" s="165"/>
      <c r="V5" s="166"/>
      <c r="W5" s="166"/>
      <c r="X5" s="166"/>
      <c r="Y5" s="166"/>
      <c r="Z5" s="166"/>
      <c r="AA5" s="166"/>
      <c r="AB5" s="166">
        <v>30</v>
      </c>
      <c r="AC5" s="166">
        <v>3</v>
      </c>
      <c r="AD5" s="166">
        <v>7</v>
      </c>
      <c r="AE5" s="166"/>
      <c r="AF5" s="166"/>
      <c r="AG5" s="166"/>
      <c r="AH5" s="166"/>
      <c r="AI5" s="166"/>
      <c r="AJ5" s="166"/>
      <c r="AK5" s="166"/>
      <c r="AL5" s="166"/>
      <c r="AM5" s="166"/>
      <c r="AN5" s="166"/>
      <c r="AO5" s="166"/>
      <c r="AP5" s="166"/>
      <c r="AQ5" s="166"/>
      <c r="AR5" s="166"/>
      <c r="AS5" s="166"/>
      <c r="AT5" s="166"/>
      <c r="AU5" s="166"/>
      <c r="AV5" s="166"/>
      <c r="AW5" s="166"/>
      <c r="BE5" s="166"/>
    </row>
    <row r="6" spans="1:57" s="62" customFormat="1" ht="18" customHeight="1">
      <c r="A6" s="166">
        <v>15</v>
      </c>
      <c r="B6" s="166" t="s">
        <v>490</v>
      </c>
      <c r="C6" s="165">
        <v>46381</v>
      </c>
      <c r="D6" s="166" t="s">
        <v>491</v>
      </c>
      <c r="E6" s="165"/>
      <c r="F6" s="165"/>
      <c r="G6" s="166"/>
      <c r="P6" s="166"/>
      <c r="Q6" s="166"/>
      <c r="R6" s="166"/>
      <c r="S6" s="166"/>
      <c r="T6" s="166"/>
      <c r="U6" s="165"/>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BE6" s="166"/>
    </row>
    <row r="7" spans="1:57" s="62" customFormat="1" ht="18" customHeight="1">
      <c r="A7" s="166">
        <v>16</v>
      </c>
      <c r="B7" s="166" t="s">
        <v>490</v>
      </c>
      <c r="C7" s="165">
        <v>46382</v>
      </c>
      <c r="D7" s="166" t="s">
        <v>492</v>
      </c>
      <c r="E7" s="165"/>
      <c r="F7" s="165"/>
      <c r="G7" s="166"/>
      <c r="P7" s="166"/>
      <c r="Q7" s="166"/>
      <c r="R7" s="166"/>
      <c r="S7" s="166"/>
      <c r="T7" s="166"/>
      <c r="U7" s="165"/>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BE7" s="166"/>
    </row>
    <row r="8" spans="1:57" s="62" customFormat="1" ht="18" customHeight="1">
      <c r="A8" s="166">
        <v>17</v>
      </c>
      <c r="B8" s="166" t="s">
        <v>490</v>
      </c>
      <c r="C8" s="165">
        <v>46023</v>
      </c>
      <c r="D8" s="166" t="s">
        <v>1582</v>
      </c>
      <c r="E8" s="165"/>
      <c r="F8" s="165"/>
      <c r="G8" s="166"/>
      <c r="P8" s="166"/>
      <c r="Q8" s="166"/>
      <c r="R8" s="166"/>
      <c r="S8" s="166"/>
      <c r="T8" s="166"/>
      <c r="U8" s="165"/>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BE8" s="166"/>
    </row>
    <row r="9" spans="1:57" s="62" customFormat="1" ht="18" customHeight="1">
      <c r="A9" s="166">
        <v>18</v>
      </c>
      <c r="B9" s="166" t="s">
        <v>490</v>
      </c>
      <c r="C9" s="165">
        <v>46272</v>
      </c>
      <c r="D9" s="166" t="s">
        <v>1583</v>
      </c>
      <c r="E9" s="165"/>
      <c r="F9" s="165"/>
      <c r="G9" s="166"/>
      <c r="P9" s="166"/>
      <c r="Q9" s="166"/>
      <c r="R9" s="166"/>
      <c r="S9" s="166"/>
      <c r="T9" s="166"/>
      <c r="U9" s="165"/>
      <c r="V9" s="166"/>
      <c r="W9" s="166"/>
      <c r="X9" s="166"/>
      <c r="Y9" s="166"/>
      <c r="Z9" s="166"/>
      <c r="AA9" s="166"/>
      <c r="AB9" s="166"/>
      <c r="AC9" s="166"/>
      <c r="AD9" s="166"/>
      <c r="AE9" s="166"/>
      <c r="AF9" s="166"/>
      <c r="AG9" s="166"/>
      <c r="AH9" s="166"/>
      <c r="AI9" s="166"/>
      <c r="AJ9" s="166"/>
      <c r="AK9" s="166"/>
      <c r="AL9" s="166"/>
      <c r="AM9" s="166"/>
      <c r="AN9" s="166"/>
      <c r="AO9" s="166"/>
      <c r="AP9" s="166"/>
      <c r="AQ9" s="166"/>
      <c r="AR9" s="166"/>
      <c r="AS9" s="166"/>
      <c r="AT9" s="166"/>
      <c r="AU9" s="166"/>
      <c r="AV9" s="166"/>
      <c r="AW9" s="166"/>
      <c r="BE9" s="166"/>
    </row>
    <row r="10" spans="1:57" s="62" customFormat="1" ht="18" customHeight="1">
      <c r="A10" s="166">
        <v>19</v>
      </c>
      <c r="B10" s="166" t="s">
        <v>490</v>
      </c>
      <c r="C10" s="165">
        <v>46115</v>
      </c>
      <c r="D10" s="166" t="s">
        <v>1734</v>
      </c>
      <c r="E10" s="165"/>
      <c r="F10" s="165"/>
      <c r="G10" s="166"/>
      <c r="P10" s="166"/>
      <c r="Q10" s="166"/>
      <c r="R10" s="166"/>
      <c r="S10" s="166"/>
      <c r="T10" s="166"/>
      <c r="U10" s="165"/>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BE10" s="166"/>
    </row>
    <row r="11" spans="1:57" s="62" customFormat="1" ht="18" customHeight="1">
      <c r="A11" s="166">
        <v>20</v>
      </c>
      <c r="B11" s="166" t="s">
        <v>490</v>
      </c>
      <c r="C11" s="165">
        <v>46118</v>
      </c>
      <c r="D11" s="166" t="s">
        <v>1735</v>
      </c>
      <c r="E11" s="165"/>
      <c r="F11" s="165"/>
      <c r="G11" s="166"/>
      <c r="P11" s="166"/>
      <c r="Q11" s="166"/>
      <c r="R11" s="166"/>
      <c r="S11" s="166"/>
      <c r="T11" s="166"/>
      <c r="U11" s="165"/>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BE11" s="166"/>
    </row>
    <row r="12" spans="1:57" s="62" customFormat="1" ht="18" customHeight="1">
      <c r="A12" s="166">
        <v>21</v>
      </c>
      <c r="B12" s="166" t="s">
        <v>490</v>
      </c>
      <c r="C12" s="165">
        <v>46167</v>
      </c>
      <c r="D12" s="166" t="s">
        <v>1736</v>
      </c>
      <c r="E12" s="165"/>
      <c r="F12" s="165"/>
      <c r="G12" s="166"/>
      <c r="P12" s="166"/>
      <c r="Q12" s="166"/>
      <c r="R12" s="166"/>
      <c r="S12" s="166"/>
      <c r="T12" s="166"/>
      <c r="U12" s="165"/>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BE12" s="166"/>
    </row>
    <row r="13" spans="1:57" s="62" customFormat="1" ht="18" customHeight="1">
      <c r="A13" s="166">
        <v>22</v>
      </c>
      <c r="B13" s="166" t="s">
        <v>490</v>
      </c>
      <c r="C13" s="165">
        <v>46204</v>
      </c>
      <c r="D13" s="166" t="s">
        <v>1737</v>
      </c>
      <c r="E13" s="165"/>
      <c r="F13" s="165"/>
      <c r="G13" s="166"/>
      <c r="P13" s="166"/>
      <c r="Q13" s="166"/>
      <c r="R13" s="166"/>
      <c r="S13" s="166"/>
      <c r="T13" s="166"/>
      <c r="U13" s="165"/>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BE13" s="166"/>
    </row>
    <row r="14" spans="1:57" s="62" customFormat="1" ht="18" customHeight="1">
      <c r="A14" s="166">
        <v>23</v>
      </c>
      <c r="B14" s="166" t="s">
        <v>490</v>
      </c>
      <c r="C14" s="165">
        <v>46237</v>
      </c>
      <c r="D14" s="166" t="s">
        <v>1738</v>
      </c>
      <c r="E14" s="165"/>
      <c r="F14" s="165"/>
      <c r="G14" s="166"/>
      <c r="P14" s="166"/>
      <c r="Q14" s="166"/>
      <c r="R14" s="166"/>
      <c r="S14" s="166"/>
      <c r="T14" s="166"/>
      <c r="U14" s="165"/>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BE14" s="166"/>
    </row>
    <row r="15" spans="1:57" s="62" customFormat="1" ht="18" customHeight="1">
      <c r="A15" s="166">
        <v>24</v>
      </c>
      <c r="B15" s="166" t="s">
        <v>490</v>
      </c>
      <c r="C15" s="165">
        <v>46671</v>
      </c>
      <c r="D15" s="166" t="s">
        <v>2237</v>
      </c>
      <c r="E15" s="165"/>
      <c r="F15" s="165"/>
      <c r="G15" s="166"/>
      <c r="P15" s="166"/>
      <c r="Q15" s="166"/>
      <c r="R15" s="166"/>
      <c r="S15" s="166"/>
      <c r="T15" s="166"/>
      <c r="U15" s="165"/>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BE15" s="166"/>
    </row>
    <row r="16" spans="1:57" s="62" customFormat="1" ht="18" customHeight="1">
      <c r="A16" s="166">
        <v>25</v>
      </c>
      <c r="B16" s="166" t="s">
        <v>490</v>
      </c>
      <c r="C16" s="165">
        <v>46746</v>
      </c>
      <c r="D16" s="166" t="s">
        <v>491</v>
      </c>
      <c r="E16" s="165"/>
      <c r="F16" s="165"/>
      <c r="G16" s="166"/>
      <c r="P16" s="166"/>
      <c r="Q16" s="166"/>
      <c r="R16" s="166"/>
      <c r="S16" s="166"/>
      <c r="T16" s="166"/>
      <c r="U16" s="165"/>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BE16" s="166"/>
    </row>
    <row r="17" spans="1:57" s="62" customFormat="1" ht="18" customHeight="1">
      <c r="A17" s="166">
        <v>26</v>
      </c>
      <c r="B17" s="166" t="s">
        <v>490</v>
      </c>
      <c r="C17" s="165">
        <v>46747</v>
      </c>
      <c r="D17" s="166" t="s">
        <v>492</v>
      </c>
      <c r="E17" s="165"/>
      <c r="F17" s="165"/>
      <c r="G17" s="166"/>
      <c r="P17" s="166"/>
      <c r="Q17" s="166"/>
      <c r="R17" s="166"/>
      <c r="S17" s="166"/>
      <c r="T17" s="166"/>
      <c r="U17" s="165"/>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BE17" s="166"/>
    </row>
    <row r="18" spans="1:57" s="62" customFormat="1" ht="18" customHeight="1">
      <c r="A18" s="166">
        <v>27</v>
      </c>
      <c r="B18" s="166" t="s">
        <v>490</v>
      </c>
      <c r="C18" s="165">
        <v>46388</v>
      </c>
      <c r="D18" s="166" t="s">
        <v>1582</v>
      </c>
      <c r="E18" s="165"/>
      <c r="F18" s="165"/>
      <c r="G18" s="166"/>
      <c r="P18" s="166"/>
      <c r="Q18" s="166"/>
      <c r="R18" s="166"/>
      <c r="S18" s="166"/>
      <c r="T18" s="166"/>
      <c r="U18" s="165"/>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BE18" s="166"/>
    </row>
    <row r="19" spans="1:57" s="62" customFormat="1" ht="18" customHeight="1">
      <c r="A19" s="166">
        <v>28</v>
      </c>
      <c r="B19" s="166" t="s">
        <v>490</v>
      </c>
      <c r="C19" s="165">
        <v>46636</v>
      </c>
      <c r="D19" s="166" t="s">
        <v>1583</v>
      </c>
      <c r="E19" s="165"/>
      <c r="F19" s="165"/>
      <c r="G19" s="166"/>
      <c r="P19" s="166"/>
      <c r="Q19" s="166"/>
      <c r="R19" s="166"/>
      <c r="S19" s="166"/>
      <c r="T19" s="166"/>
      <c r="U19" s="165"/>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BE19" s="166"/>
    </row>
    <row r="20" spans="1:57" s="62" customFormat="1" ht="18" customHeight="1">
      <c r="A20" s="166">
        <v>29</v>
      </c>
      <c r="B20" s="166" t="s">
        <v>490</v>
      </c>
      <c r="C20" s="165">
        <v>46472</v>
      </c>
      <c r="D20" s="166" t="s">
        <v>1734</v>
      </c>
      <c r="E20" s="165"/>
      <c r="F20" s="165"/>
      <c r="G20" s="166"/>
      <c r="P20" s="166"/>
      <c r="Q20" s="166"/>
      <c r="R20" s="166"/>
      <c r="S20" s="166"/>
      <c r="T20" s="166"/>
      <c r="U20" s="165"/>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BE20" s="166"/>
    </row>
    <row r="21" spans="1:57" s="62" customFormat="1" ht="18" customHeight="1">
      <c r="A21" s="166">
        <v>30</v>
      </c>
      <c r="B21" s="166" t="s">
        <v>490</v>
      </c>
      <c r="C21" s="165">
        <v>46475</v>
      </c>
      <c r="D21" s="166" t="s">
        <v>1735</v>
      </c>
      <c r="E21" s="165"/>
      <c r="F21" s="165"/>
      <c r="G21" s="166"/>
      <c r="P21" s="166"/>
      <c r="Q21" s="166"/>
      <c r="R21" s="166"/>
      <c r="S21" s="166"/>
      <c r="T21" s="166"/>
      <c r="U21" s="165"/>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BE21" s="166"/>
    </row>
    <row r="22" spans="1:57" s="62" customFormat="1" ht="18" customHeight="1">
      <c r="A22" s="166">
        <v>31</v>
      </c>
      <c r="B22" s="166" t="s">
        <v>490</v>
      </c>
      <c r="C22" s="165">
        <v>46531</v>
      </c>
      <c r="D22" s="166" t="s">
        <v>1736</v>
      </c>
      <c r="E22" s="165"/>
      <c r="F22" s="165"/>
      <c r="G22" s="166"/>
      <c r="P22" s="166"/>
      <c r="Q22" s="166"/>
      <c r="R22" s="166"/>
      <c r="S22" s="166"/>
      <c r="T22" s="166"/>
      <c r="U22" s="165"/>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BE22" s="166"/>
    </row>
    <row r="23" spans="1:57" s="62" customFormat="1" ht="18" customHeight="1">
      <c r="A23" s="166">
        <v>32</v>
      </c>
      <c r="B23" s="166" t="s">
        <v>490</v>
      </c>
      <c r="C23" s="165">
        <v>46569</v>
      </c>
      <c r="D23" s="166" t="s">
        <v>1737</v>
      </c>
      <c r="E23" s="165"/>
      <c r="F23" s="165"/>
      <c r="G23" s="166"/>
      <c r="P23" s="166"/>
      <c r="Q23" s="166"/>
      <c r="R23" s="166"/>
      <c r="S23" s="166"/>
      <c r="T23" s="166"/>
      <c r="U23" s="165"/>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BE23" s="166"/>
    </row>
    <row r="24" spans="1:57" s="62" customFormat="1" ht="18" customHeight="1">
      <c r="A24" s="166">
        <v>33</v>
      </c>
      <c r="B24" s="166" t="s">
        <v>490</v>
      </c>
      <c r="C24" s="165">
        <v>46601</v>
      </c>
      <c r="D24" s="166" t="s">
        <v>1738</v>
      </c>
      <c r="E24" s="165"/>
      <c r="F24" s="165"/>
      <c r="G24" s="166"/>
      <c r="P24" s="166"/>
      <c r="Q24" s="166"/>
      <c r="R24" s="166"/>
      <c r="S24" s="166"/>
      <c r="T24" s="166"/>
      <c r="U24" s="165"/>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BE24" s="166"/>
    </row>
    <row r="25" spans="1:57">
      <c r="H25" s="9"/>
      <c r="I25" s="9"/>
      <c r="J25" s="9"/>
      <c r="K25" s="9"/>
      <c r="L25" s="9"/>
      <c r="M25" s="9"/>
      <c r="N25" s="9"/>
      <c r="O25" s="9"/>
    </row>
    <row r="26" spans="1:57">
      <c r="H26" s="9"/>
      <c r="I26" s="9"/>
      <c r="J26" s="9"/>
      <c r="K26" s="9"/>
      <c r="L26" s="9"/>
      <c r="M26" s="9"/>
      <c r="N26" s="9"/>
      <c r="O26" s="9"/>
    </row>
    <row r="27" spans="1:57">
      <c r="H27" s="9"/>
      <c r="I27" s="9"/>
      <c r="J27" s="9"/>
      <c r="K27" s="9"/>
      <c r="L27" s="9"/>
      <c r="M27" s="9"/>
      <c r="N27" s="9"/>
      <c r="O27" s="9"/>
    </row>
    <row r="28" spans="1:57">
      <c r="H28" s="9"/>
      <c r="I28" s="9"/>
      <c r="J28" s="9"/>
      <c r="K28" s="9"/>
      <c r="L28" s="9"/>
      <c r="M28" s="9"/>
      <c r="N28" s="9"/>
      <c r="O28" s="9"/>
    </row>
    <row r="29" spans="1:57">
      <c r="H29" s="9"/>
      <c r="I29" s="9"/>
      <c r="J29" s="9"/>
      <c r="K29" s="9"/>
      <c r="L29" s="9"/>
      <c r="M29" s="9"/>
      <c r="N29" s="9"/>
      <c r="O29" s="9"/>
    </row>
    <row r="30" spans="1:57">
      <c r="H30" s="9"/>
      <c r="I30" s="9"/>
      <c r="J30" s="9"/>
      <c r="K30" s="9"/>
      <c r="L30" s="9"/>
      <c r="M30" s="9"/>
      <c r="N30" s="9"/>
      <c r="O30" s="9"/>
    </row>
  </sheetData>
  <autoFilter ref="A3:BE3" xr:uid="{6278FFD2-22AE-4089-A069-9D1D5E1E66FE}"/>
  <pageMargins left="0" right="0" top="0.39370000000000011" bottom="0.39370000000000011" header="0" footer="0"/>
  <pageSetup fitToWidth="0" fitToHeight="0" pageOrder="overThenDown"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08D6B-D377-448F-B2BB-D61509BA2DB4}">
  <sheetPr codeName="TimeSht">
    <tabColor theme="9"/>
  </sheetPr>
  <dimension ref="A1:BL34"/>
  <sheetViews>
    <sheetView zoomScaleNormal="100" workbookViewId="0">
      <pane ySplit="3" topLeftCell="A4" activePane="bottomLeft" state="frozen"/>
      <selection pane="bottomLeft" activeCell="C11" sqref="C11"/>
    </sheetView>
  </sheetViews>
  <sheetFormatPr defaultColWidth="11.53125" defaultRowHeight="14.25"/>
  <cols>
    <col min="1" max="2" width="8.59765625" style="59" customWidth="1"/>
    <col min="3" max="3" width="50.59765625" style="59" customWidth="1"/>
    <col min="4" max="4" width="11.59765625" style="59" customWidth="1"/>
    <col min="5" max="5" width="7.59765625" style="59" customWidth="1"/>
    <col min="6" max="6" width="15.59765625" style="59" customWidth="1"/>
    <col min="7" max="7" width="9.59765625" style="112" customWidth="1"/>
    <col min="8" max="8" width="9.59765625" style="24" customWidth="1"/>
    <col min="9" max="10" width="9.59765625" style="112" customWidth="1"/>
    <col min="11" max="11" width="8.59765625" style="59" customWidth="1"/>
    <col min="12" max="12" width="6.59765625" style="59" customWidth="1"/>
    <col min="13" max="13" width="4.59765625" style="59" customWidth="1"/>
    <col min="14" max="14" width="12.59765625" style="59" customWidth="1"/>
    <col min="15" max="18" width="12.59765625" style="65" customWidth="1"/>
    <col min="19" max="20" width="8.59765625" style="24" customWidth="1"/>
    <col min="21" max="21" width="9.59765625" style="59" customWidth="1"/>
    <col min="22" max="26" width="10.59765625" style="24" customWidth="1"/>
    <col min="27" max="29" width="10.59765625" style="146" customWidth="1"/>
    <col min="30" max="36" width="5.59765625" style="59" customWidth="1"/>
    <col min="37" max="39" width="30.59765625" style="59" customWidth="1"/>
    <col min="40" max="41" width="15.59765625" style="59" customWidth="1"/>
    <col min="42" max="42" width="6.59765625" style="59" customWidth="1"/>
    <col min="43" max="43" width="12.59765625" style="65" customWidth="1"/>
    <col min="44" max="45" width="6.59765625" style="59" customWidth="1"/>
    <col min="46" max="46" width="10.59765625" style="59" customWidth="1"/>
    <col min="47" max="48" width="9.59765625" style="59" customWidth="1"/>
    <col min="49" max="63" width="6.59765625" style="59" customWidth="1"/>
    <col min="64" max="64" width="8.59765625" style="59" customWidth="1"/>
  </cols>
  <sheetData>
    <row r="1" spans="1:64" ht="16.5" customHeight="1">
      <c r="A1" s="76" t="s">
        <v>23</v>
      </c>
      <c r="B1" s="76" t="s">
        <v>24</v>
      </c>
      <c r="C1" s="76" t="s">
        <v>29</v>
      </c>
      <c r="D1" s="76" t="s">
        <v>30</v>
      </c>
      <c r="E1" s="76" t="s">
        <v>257</v>
      </c>
      <c r="F1" s="81" t="s">
        <v>28</v>
      </c>
      <c r="G1" s="110" t="s">
        <v>27</v>
      </c>
      <c r="H1" s="110" t="s">
        <v>74</v>
      </c>
      <c r="I1" s="110" t="s">
        <v>726</v>
      </c>
      <c r="J1" s="21" t="s">
        <v>73</v>
      </c>
      <c r="K1" s="76" t="s">
        <v>25</v>
      </c>
      <c r="L1" s="76" t="s">
        <v>26</v>
      </c>
      <c r="M1" s="76" t="s">
        <v>67</v>
      </c>
      <c r="N1" s="76" t="s">
        <v>44</v>
      </c>
      <c r="O1" s="85" t="s">
        <v>45</v>
      </c>
      <c r="P1" s="85" t="s">
        <v>46</v>
      </c>
      <c r="Q1" s="85" t="s">
        <v>48</v>
      </c>
      <c r="R1" s="85" t="s">
        <v>49</v>
      </c>
      <c r="S1" s="21" t="s">
        <v>47</v>
      </c>
      <c r="T1" s="21" t="s">
        <v>50</v>
      </c>
      <c r="U1" s="76" t="s">
        <v>1202</v>
      </c>
      <c r="V1" s="21" t="s">
        <v>51</v>
      </c>
      <c r="W1" s="21" t="s">
        <v>52</v>
      </c>
      <c r="X1" s="21" t="s">
        <v>53</v>
      </c>
      <c r="Y1" s="21" t="s">
        <v>54</v>
      </c>
      <c r="Z1" s="21" t="s">
        <v>1203</v>
      </c>
      <c r="AA1" s="143" t="s">
        <v>55</v>
      </c>
      <c r="AB1" s="143" t="s">
        <v>258</v>
      </c>
      <c r="AC1" s="143" t="s">
        <v>56</v>
      </c>
      <c r="AD1" s="76" t="s">
        <v>57</v>
      </c>
      <c r="AE1" s="76" t="s">
        <v>60</v>
      </c>
      <c r="AF1" s="76" t="s">
        <v>58</v>
      </c>
      <c r="AG1" s="76" t="s">
        <v>59</v>
      </c>
      <c r="AH1" s="76" t="s">
        <v>62</v>
      </c>
      <c r="AI1" s="76" t="s">
        <v>61</v>
      </c>
      <c r="AJ1" s="76" t="s">
        <v>43</v>
      </c>
      <c r="AK1" s="76" t="s">
        <v>31</v>
      </c>
      <c r="AL1" s="76" t="s">
        <v>32</v>
      </c>
      <c r="AM1" s="76" t="s">
        <v>33</v>
      </c>
      <c r="AN1" s="76" t="s">
        <v>34</v>
      </c>
      <c r="AO1" s="76" t="s">
        <v>35</v>
      </c>
      <c r="AP1" s="76" t="s">
        <v>63</v>
      </c>
      <c r="AQ1" s="85" t="s">
        <v>64</v>
      </c>
      <c r="AR1" s="76" t="s">
        <v>65</v>
      </c>
      <c r="AS1" s="76" t="s">
        <v>66</v>
      </c>
      <c r="AT1" s="76" t="s">
        <v>68</v>
      </c>
      <c r="AU1" s="76" t="s">
        <v>75</v>
      </c>
      <c r="AV1" s="76" t="s">
        <v>76</v>
      </c>
      <c r="AW1" s="76" t="s">
        <v>71</v>
      </c>
      <c r="AX1" s="76" t="s">
        <v>72</v>
      </c>
      <c r="AY1" s="76" t="s">
        <v>259</v>
      </c>
      <c r="AZ1" s="76" t="s">
        <v>70</v>
      </c>
      <c r="BA1" s="76" t="s">
        <v>69</v>
      </c>
      <c r="BB1" s="76" t="s">
        <v>728</v>
      </c>
      <c r="BC1" s="76" t="s">
        <v>77</v>
      </c>
      <c r="BD1" s="76" t="s">
        <v>78</v>
      </c>
      <c r="BE1" s="76" t="s">
        <v>38</v>
      </c>
      <c r="BF1" s="76" t="s">
        <v>39</v>
      </c>
      <c r="BG1" s="76" t="s">
        <v>40</v>
      </c>
      <c r="BH1" s="76" t="s">
        <v>41</v>
      </c>
      <c r="BI1" s="76" t="s">
        <v>36</v>
      </c>
      <c r="BJ1" s="76" t="s">
        <v>37</v>
      </c>
      <c r="BK1" s="76" t="s">
        <v>42</v>
      </c>
      <c r="BL1" s="60" t="s">
        <v>2651</v>
      </c>
    </row>
    <row r="2" spans="1:64" ht="36.4" customHeight="1">
      <c r="A2" s="77" t="s">
        <v>2421</v>
      </c>
      <c r="B2" s="79"/>
      <c r="C2" s="79"/>
      <c r="D2" s="80"/>
      <c r="E2" s="80"/>
      <c r="F2" s="80"/>
      <c r="G2" s="111"/>
      <c r="H2" s="111"/>
      <c r="I2" s="23"/>
      <c r="J2" s="23"/>
      <c r="K2" s="80"/>
      <c r="L2" s="80"/>
      <c r="M2" s="80"/>
      <c r="N2" s="80"/>
      <c r="O2" s="86"/>
      <c r="P2" s="86"/>
      <c r="Q2" s="86"/>
      <c r="R2" s="86"/>
      <c r="S2" s="23"/>
      <c r="T2" s="23"/>
      <c r="U2" s="80"/>
      <c r="V2" s="23"/>
      <c r="W2" s="23"/>
      <c r="X2" s="23"/>
      <c r="Y2" s="23"/>
      <c r="Z2" s="23"/>
      <c r="AA2" s="144"/>
      <c r="AB2" s="144"/>
      <c r="AC2" s="144"/>
      <c r="AD2" s="80"/>
      <c r="AE2" s="80"/>
      <c r="AF2" s="80"/>
      <c r="AG2" s="80"/>
      <c r="AH2" s="80"/>
      <c r="AI2" s="80"/>
      <c r="AJ2" s="80"/>
      <c r="AK2" s="80"/>
      <c r="AL2" s="80"/>
      <c r="AM2" s="80"/>
      <c r="AN2" s="80"/>
      <c r="AO2" s="80"/>
      <c r="AP2" s="80"/>
      <c r="AQ2" s="86"/>
      <c r="AR2" s="80"/>
      <c r="AS2" s="80"/>
      <c r="AT2" s="80"/>
      <c r="AU2" s="80"/>
      <c r="AV2" s="80"/>
      <c r="AW2" s="80"/>
      <c r="AX2" s="80"/>
      <c r="AY2" s="80"/>
      <c r="AZ2" s="80"/>
      <c r="BA2" s="80"/>
      <c r="BB2" s="80"/>
      <c r="BC2" s="80"/>
      <c r="BD2" s="80"/>
      <c r="BE2" s="80" t="s">
        <v>1204</v>
      </c>
      <c r="BF2" s="80"/>
      <c r="BG2" s="80"/>
      <c r="BH2" s="80"/>
      <c r="BJ2" s="80"/>
      <c r="BK2" s="80"/>
    </row>
    <row r="3" spans="1:64" ht="35.450000000000003" customHeight="1">
      <c r="A3" s="78" t="s">
        <v>1</v>
      </c>
      <c r="B3" s="71" t="s">
        <v>260</v>
      </c>
      <c r="C3" s="71" t="s">
        <v>2</v>
      </c>
      <c r="D3" s="71" t="s">
        <v>3</v>
      </c>
      <c r="E3" s="71" t="s">
        <v>261</v>
      </c>
      <c r="F3" s="71" t="s">
        <v>445</v>
      </c>
      <c r="G3" s="67" t="s">
        <v>730</v>
      </c>
      <c r="H3" s="67" t="s">
        <v>74</v>
      </c>
      <c r="I3" s="67" t="s">
        <v>731</v>
      </c>
      <c r="J3" s="67" t="s">
        <v>262</v>
      </c>
      <c r="K3" s="71" t="s">
        <v>440</v>
      </c>
      <c r="L3" s="71" t="s">
        <v>1799</v>
      </c>
      <c r="M3" s="71" t="s">
        <v>446</v>
      </c>
      <c r="N3" s="71" t="s">
        <v>265</v>
      </c>
      <c r="O3" s="87" t="s">
        <v>11</v>
      </c>
      <c r="P3" s="87" t="s">
        <v>12</v>
      </c>
      <c r="Q3" s="87" t="s">
        <v>736</v>
      </c>
      <c r="R3" s="87" t="s">
        <v>737</v>
      </c>
      <c r="S3" s="67" t="s">
        <v>263</v>
      </c>
      <c r="T3" s="67" t="s">
        <v>264</v>
      </c>
      <c r="U3" s="71" t="s">
        <v>1248</v>
      </c>
      <c r="V3" s="67" t="s">
        <v>732</v>
      </c>
      <c r="W3" s="67" t="s">
        <v>733</v>
      </c>
      <c r="X3" s="67" t="s">
        <v>734</v>
      </c>
      <c r="Y3" s="67" t="s">
        <v>735</v>
      </c>
      <c r="Z3" s="67" t="s">
        <v>1205</v>
      </c>
      <c r="AA3" s="145" t="s">
        <v>442</v>
      </c>
      <c r="AB3" s="145" t="s">
        <v>738</v>
      </c>
      <c r="AC3" s="145" t="s">
        <v>739</v>
      </c>
      <c r="AD3" s="71" t="s">
        <v>364</v>
      </c>
      <c r="AE3" s="71" t="s">
        <v>740</v>
      </c>
      <c r="AF3" s="71" t="s">
        <v>741</v>
      </c>
      <c r="AG3" s="71" t="s">
        <v>742</v>
      </c>
      <c r="AH3" s="71" t="s">
        <v>62</v>
      </c>
      <c r="AI3" s="71" t="s">
        <v>444</v>
      </c>
      <c r="AJ3" s="71" t="s">
        <v>82</v>
      </c>
      <c r="AK3" s="71" t="s">
        <v>31</v>
      </c>
      <c r="AL3" s="71" t="s">
        <v>32</v>
      </c>
      <c r="AM3" s="71" t="s">
        <v>33</v>
      </c>
      <c r="AN3" s="71" t="s">
        <v>34</v>
      </c>
      <c r="AO3" s="71" t="s">
        <v>35</v>
      </c>
      <c r="AP3" s="71" t="s">
        <v>63</v>
      </c>
      <c r="AQ3" s="87" t="s">
        <v>64</v>
      </c>
      <c r="AR3" s="71" t="s">
        <v>441</v>
      </c>
      <c r="AS3" s="71" t="s">
        <v>66</v>
      </c>
      <c r="AT3" s="71" t="s">
        <v>68</v>
      </c>
      <c r="AU3" s="71" t="s">
        <v>75</v>
      </c>
      <c r="AV3" s="71" t="s">
        <v>76</v>
      </c>
      <c r="AW3" s="71" t="s">
        <v>71</v>
      </c>
      <c r="AX3" s="71" t="s">
        <v>72</v>
      </c>
      <c r="AY3" s="71" t="s">
        <v>267</v>
      </c>
      <c r="AZ3" s="71" t="s">
        <v>70</v>
      </c>
      <c r="BA3" s="71" t="s">
        <v>69</v>
      </c>
      <c r="BB3" s="71" t="s">
        <v>728</v>
      </c>
      <c r="BC3" s="71" t="s">
        <v>77</v>
      </c>
      <c r="BD3" s="71" t="s">
        <v>78</v>
      </c>
      <c r="BE3" s="88" t="s">
        <v>38</v>
      </c>
      <c r="BF3" s="88" t="s">
        <v>39</v>
      </c>
      <c r="BG3" s="88" t="s">
        <v>40</v>
      </c>
      <c r="BH3" s="88" t="s">
        <v>41</v>
      </c>
      <c r="BI3" s="88" t="s">
        <v>743</v>
      </c>
      <c r="BJ3" s="88" t="s">
        <v>5</v>
      </c>
      <c r="BK3" s="88" t="s">
        <v>81</v>
      </c>
      <c r="BL3" s="71" t="s">
        <v>801</v>
      </c>
    </row>
    <row r="4" spans="1:64" s="58" customFormat="1" ht="18" customHeight="1">
      <c r="A4" s="153" t="s">
        <v>3103</v>
      </c>
      <c r="B4" s="153"/>
      <c r="C4" s="157" t="s">
        <v>633</v>
      </c>
      <c r="D4" s="157" t="s">
        <v>86</v>
      </c>
      <c r="E4" s="153"/>
      <c r="F4" s="153" t="s">
        <v>2407</v>
      </c>
      <c r="G4" s="159">
        <v>34</v>
      </c>
      <c r="H4" s="154">
        <v>76</v>
      </c>
      <c r="I4" s="159"/>
      <c r="J4" s="159">
        <v>0</v>
      </c>
      <c r="K4" s="153"/>
      <c r="L4" s="153"/>
      <c r="M4" s="127"/>
      <c r="N4" s="153" t="s">
        <v>2408</v>
      </c>
      <c r="O4" s="156">
        <v>46293</v>
      </c>
      <c r="P4" s="156">
        <v>46653</v>
      </c>
      <c r="Q4" s="156"/>
      <c r="R4" s="156"/>
      <c r="S4" s="154">
        <v>250</v>
      </c>
      <c r="T4" s="154">
        <v>250</v>
      </c>
      <c r="U4" s="153"/>
      <c r="V4" s="154">
        <v>793.5</v>
      </c>
      <c r="W4" s="154">
        <v>0</v>
      </c>
      <c r="X4" s="154">
        <v>793.5</v>
      </c>
      <c r="Y4" s="154">
        <v>0</v>
      </c>
      <c r="Z4" s="154"/>
      <c r="AA4" s="155">
        <v>57959.5</v>
      </c>
      <c r="AB4" s="155">
        <v>0</v>
      </c>
      <c r="AC4" s="155">
        <v>57959.5</v>
      </c>
      <c r="AD4" s="153"/>
      <c r="AE4" s="153"/>
      <c r="AF4" s="153"/>
      <c r="AG4" s="153"/>
      <c r="AH4" s="153"/>
      <c r="AI4" s="153"/>
      <c r="AJ4" s="153"/>
      <c r="AK4" s="153" t="s">
        <v>633</v>
      </c>
      <c r="AL4" s="153"/>
      <c r="AM4" s="153"/>
      <c r="AN4" s="153"/>
      <c r="AO4" s="153"/>
      <c r="AP4" s="153"/>
      <c r="AQ4" s="156"/>
      <c r="AR4" s="153"/>
      <c r="AS4" s="153"/>
      <c r="AT4" s="153"/>
      <c r="AU4" s="153"/>
      <c r="AV4" s="153"/>
      <c r="AW4" s="153"/>
      <c r="AX4" s="153"/>
      <c r="AY4" s="153"/>
      <c r="AZ4" s="153"/>
      <c r="BA4" s="153">
        <v>44</v>
      </c>
      <c r="BB4" s="153"/>
      <c r="BC4" s="153"/>
      <c r="BD4" s="153"/>
      <c r="BE4" s="153" t="s">
        <v>3104</v>
      </c>
      <c r="BF4" s="153"/>
      <c r="BG4" s="153"/>
      <c r="BH4" s="153"/>
      <c r="BI4" s="153"/>
      <c r="BJ4" s="153"/>
      <c r="BK4" s="153" t="s">
        <v>625</v>
      </c>
      <c r="BL4" s="153"/>
    </row>
    <row r="5" spans="1:64" s="58" customFormat="1" ht="18" customHeight="1">
      <c r="A5" s="153" t="s">
        <v>3093</v>
      </c>
      <c r="B5" s="153" t="s">
        <v>3103</v>
      </c>
      <c r="C5" s="158" t="s">
        <v>3105</v>
      </c>
      <c r="D5" s="158" t="s">
        <v>79</v>
      </c>
      <c r="E5" s="153"/>
      <c r="F5" s="153" t="s">
        <v>2409</v>
      </c>
      <c r="G5" s="159">
        <v>77</v>
      </c>
      <c r="H5" s="154">
        <v>119</v>
      </c>
      <c r="I5" s="159"/>
      <c r="J5" s="159">
        <v>0</v>
      </c>
      <c r="K5" s="153"/>
      <c r="L5" s="153"/>
      <c r="M5" s="127"/>
      <c r="N5" s="153" t="s">
        <v>2408</v>
      </c>
      <c r="O5" s="156">
        <v>46293</v>
      </c>
      <c r="P5" s="156">
        <v>46564</v>
      </c>
      <c r="Q5" s="156"/>
      <c r="R5" s="156"/>
      <c r="S5" s="154">
        <v>189</v>
      </c>
      <c r="T5" s="154">
        <v>189</v>
      </c>
      <c r="U5" s="153"/>
      <c r="V5" s="154">
        <v>395.5</v>
      </c>
      <c r="W5" s="154">
        <v>0</v>
      </c>
      <c r="X5" s="154">
        <v>395.5</v>
      </c>
      <c r="Y5" s="154">
        <v>0</v>
      </c>
      <c r="Z5" s="154"/>
      <c r="AA5" s="155">
        <v>28962.5</v>
      </c>
      <c r="AB5" s="155">
        <v>0</v>
      </c>
      <c r="AC5" s="155">
        <v>28962.5</v>
      </c>
      <c r="AD5" s="153"/>
      <c r="AE5" s="153"/>
      <c r="AF5" s="153"/>
      <c r="AG5" s="153"/>
      <c r="AH5" s="153"/>
      <c r="AI5" s="153"/>
      <c r="AJ5" s="153"/>
      <c r="AK5" s="153" t="s">
        <v>633</v>
      </c>
      <c r="AL5" s="153" t="s">
        <v>3105</v>
      </c>
      <c r="AM5" s="153"/>
      <c r="AN5" s="153"/>
      <c r="AO5" s="153"/>
      <c r="AP5" s="153"/>
      <c r="AQ5" s="156"/>
      <c r="AR5" s="153"/>
      <c r="AS5" s="153"/>
      <c r="AT5" s="153"/>
      <c r="AU5" s="153"/>
      <c r="AV5" s="153"/>
      <c r="AW5" s="153"/>
      <c r="AX5" s="153"/>
      <c r="AY5" s="153">
        <v>30</v>
      </c>
      <c r="AZ5" s="153"/>
      <c r="BA5" s="153">
        <v>44</v>
      </c>
      <c r="BB5" s="153"/>
      <c r="BC5" s="153"/>
      <c r="BD5" s="153"/>
      <c r="BE5" s="153" t="s">
        <v>3104</v>
      </c>
      <c r="BF5" s="153"/>
      <c r="BG5" s="153"/>
      <c r="BH5" s="153"/>
      <c r="BI5" s="153"/>
      <c r="BJ5" s="153"/>
      <c r="BK5" s="153" t="s">
        <v>625</v>
      </c>
      <c r="BL5" s="153"/>
    </row>
    <row r="6" spans="1:64" s="58" customFormat="1" ht="18" customHeight="1">
      <c r="A6" s="153" t="s">
        <v>3094</v>
      </c>
      <c r="B6" s="153" t="s">
        <v>3093</v>
      </c>
      <c r="C6" s="164" t="s">
        <v>1685</v>
      </c>
      <c r="D6" s="164" t="s">
        <v>83</v>
      </c>
      <c r="E6" s="153"/>
      <c r="F6" s="153" t="s">
        <v>744</v>
      </c>
      <c r="G6" s="159">
        <v>117</v>
      </c>
      <c r="H6" s="154">
        <v>159</v>
      </c>
      <c r="I6" s="159"/>
      <c r="J6" s="159">
        <v>0</v>
      </c>
      <c r="K6" s="153"/>
      <c r="L6" s="153"/>
      <c r="M6" s="127"/>
      <c r="N6" s="153" t="s">
        <v>2408</v>
      </c>
      <c r="O6" s="156">
        <v>46293</v>
      </c>
      <c r="P6" s="156">
        <v>46382</v>
      </c>
      <c r="Q6" s="156"/>
      <c r="R6" s="156"/>
      <c r="S6" s="154">
        <v>63</v>
      </c>
      <c r="T6" s="154">
        <v>63</v>
      </c>
      <c r="U6" s="153"/>
      <c r="V6" s="154">
        <v>64</v>
      </c>
      <c r="W6" s="154">
        <v>0</v>
      </c>
      <c r="X6" s="154">
        <v>64</v>
      </c>
      <c r="Y6" s="154">
        <v>0</v>
      </c>
      <c r="Z6" s="154"/>
      <c r="AA6" s="155">
        <v>4100</v>
      </c>
      <c r="AB6" s="155">
        <v>0</v>
      </c>
      <c r="AC6" s="155">
        <v>4100</v>
      </c>
      <c r="AD6" s="153"/>
      <c r="AE6" s="153"/>
      <c r="AF6" s="153"/>
      <c r="AG6" s="153"/>
      <c r="AH6" s="153"/>
      <c r="AI6" s="153"/>
      <c r="AJ6" s="153"/>
      <c r="AK6" s="153" t="s">
        <v>633</v>
      </c>
      <c r="AL6" s="153" t="s">
        <v>3105</v>
      </c>
      <c r="AM6" s="153" t="s">
        <v>1685</v>
      </c>
      <c r="AN6" s="153"/>
      <c r="AO6" s="153"/>
      <c r="AP6" s="153"/>
      <c r="AQ6" s="156"/>
      <c r="AR6" s="153"/>
      <c r="AS6" s="153"/>
      <c r="AT6" s="153"/>
      <c r="AU6" s="153"/>
      <c r="AV6" s="153"/>
      <c r="AW6" s="153"/>
      <c r="AX6" s="153"/>
      <c r="AY6" s="153"/>
      <c r="AZ6" s="153"/>
      <c r="BA6" s="153">
        <v>44</v>
      </c>
      <c r="BB6" s="153"/>
      <c r="BC6" s="153"/>
      <c r="BD6" s="153"/>
      <c r="BE6" s="153"/>
      <c r="BF6" s="153"/>
      <c r="BG6" s="153"/>
      <c r="BH6" s="153"/>
      <c r="BI6" s="153"/>
      <c r="BJ6" s="153"/>
      <c r="BK6" s="153" t="s">
        <v>625</v>
      </c>
      <c r="BL6" s="153"/>
    </row>
    <row r="7" spans="1:64" s="58" customFormat="1" ht="18" customHeight="1">
      <c r="A7" s="153">
        <v>3773</v>
      </c>
      <c r="B7" s="153" t="s">
        <v>3094</v>
      </c>
      <c r="C7" s="176" t="s">
        <v>3106</v>
      </c>
      <c r="D7" s="176" t="s">
        <v>84</v>
      </c>
      <c r="E7" s="153" t="s">
        <v>84</v>
      </c>
      <c r="F7" s="153" t="s">
        <v>745</v>
      </c>
      <c r="G7" s="159">
        <v>155</v>
      </c>
      <c r="H7" s="154">
        <v>197</v>
      </c>
      <c r="I7" s="159"/>
      <c r="J7" s="159">
        <v>0</v>
      </c>
      <c r="K7" s="153"/>
      <c r="L7" s="153"/>
      <c r="M7" s="127"/>
      <c r="N7" s="153" t="s">
        <v>2408</v>
      </c>
      <c r="O7" s="156">
        <v>46293</v>
      </c>
      <c r="P7" s="156">
        <v>46305</v>
      </c>
      <c r="Q7" s="156"/>
      <c r="R7" s="156"/>
      <c r="S7" s="154">
        <v>10</v>
      </c>
      <c r="T7" s="154">
        <v>10</v>
      </c>
      <c r="U7" s="153"/>
      <c r="V7" s="154">
        <v>20</v>
      </c>
      <c r="W7" s="154">
        <v>0</v>
      </c>
      <c r="X7" s="154">
        <v>20</v>
      </c>
      <c r="Y7" s="154">
        <v>0</v>
      </c>
      <c r="Z7" s="154"/>
      <c r="AA7" s="155">
        <v>1500</v>
      </c>
      <c r="AB7" s="155">
        <v>0</v>
      </c>
      <c r="AC7" s="155">
        <v>1500</v>
      </c>
      <c r="AD7" s="153">
        <v>8</v>
      </c>
      <c r="AE7" s="153">
        <v>40</v>
      </c>
      <c r="AF7" s="153">
        <v>50</v>
      </c>
      <c r="AG7" s="153">
        <v>100</v>
      </c>
      <c r="AH7" s="153"/>
      <c r="AI7" s="153"/>
      <c r="AJ7" s="153"/>
      <c r="AK7" s="153" t="s">
        <v>633</v>
      </c>
      <c r="AL7" s="153" t="s">
        <v>3105</v>
      </c>
      <c r="AM7" s="153" t="s">
        <v>1685</v>
      </c>
      <c r="AN7" s="153" t="s">
        <v>3106</v>
      </c>
      <c r="AO7" s="153"/>
      <c r="AP7" s="153"/>
      <c r="AQ7" s="156"/>
      <c r="AR7" s="153">
        <v>0</v>
      </c>
      <c r="AS7" s="153">
        <v>0</v>
      </c>
      <c r="AT7" s="153">
        <v>1</v>
      </c>
      <c r="AU7" s="153"/>
      <c r="AV7" s="153"/>
      <c r="AW7" s="153"/>
      <c r="AX7" s="153"/>
      <c r="AY7" s="153">
        <v>30</v>
      </c>
      <c r="AZ7" s="153"/>
      <c r="BA7" s="153">
        <v>44</v>
      </c>
      <c r="BB7" s="153"/>
      <c r="BC7" s="153"/>
      <c r="BD7" s="153"/>
      <c r="BE7" s="153"/>
      <c r="BF7" s="153"/>
      <c r="BG7" s="153"/>
      <c r="BH7" s="153"/>
      <c r="BI7" s="153" t="s">
        <v>493</v>
      </c>
      <c r="BJ7" s="153" t="s">
        <v>196</v>
      </c>
      <c r="BK7" s="153" t="s">
        <v>625</v>
      </c>
      <c r="BL7" s="153"/>
    </row>
    <row r="8" spans="1:64" s="58" customFormat="1" ht="18" customHeight="1">
      <c r="A8" s="153" t="s">
        <v>3107</v>
      </c>
      <c r="B8" s="153" t="s">
        <v>3093</v>
      </c>
      <c r="C8" s="164" t="s">
        <v>3108</v>
      </c>
      <c r="D8" s="164" t="s">
        <v>83</v>
      </c>
      <c r="E8" s="153"/>
      <c r="F8" s="153" t="s">
        <v>1117</v>
      </c>
      <c r="G8" s="159">
        <v>117</v>
      </c>
      <c r="H8" s="154">
        <v>159</v>
      </c>
      <c r="I8" s="159"/>
      <c r="J8" s="159">
        <v>0</v>
      </c>
      <c r="K8" s="153"/>
      <c r="L8" s="153"/>
      <c r="M8" s="127"/>
      <c r="N8" s="153" t="s">
        <v>2408</v>
      </c>
      <c r="O8" s="156">
        <v>46391</v>
      </c>
      <c r="P8" s="156">
        <v>46450</v>
      </c>
      <c r="Q8" s="156"/>
      <c r="R8" s="156"/>
      <c r="S8" s="154">
        <v>44</v>
      </c>
      <c r="T8" s="154">
        <v>44</v>
      </c>
      <c r="U8" s="153"/>
      <c r="V8" s="154">
        <v>146.6</v>
      </c>
      <c r="W8" s="154">
        <v>0</v>
      </c>
      <c r="X8" s="154">
        <v>146.6</v>
      </c>
      <c r="Y8" s="154">
        <v>0</v>
      </c>
      <c r="Z8" s="154"/>
      <c r="AA8" s="155">
        <v>10996.9</v>
      </c>
      <c r="AB8" s="155">
        <v>0</v>
      </c>
      <c r="AC8" s="155">
        <v>10996.9</v>
      </c>
      <c r="AD8" s="153"/>
      <c r="AE8" s="153"/>
      <c r="AF8" s="153"/>
      <c r="AG8" s="153"/>
      <c r="AH8" s="153"/>
      <c r="AI8" s="153"/>
      <c r="AJ8" s="153"/>
      <c r="AK8" s="153" t="s">
        <v>633</v>
      </c>
      <c r="AL8" s="153" t="s">
        <v>3105</v>
      </c>
      <c r="AM8" s="153" t="s">
        <v>3108</v>
      </c>
      <c r="AN8" s="153"/>
      <c r="AO8" s="153"/>
      <c r="AP8" s="153"/>
      <c r="AQ8" s="156"/>
      <c r="AR8" s="153"/>
      <c r="AS8" s="153"/>
      <c r="AT8" s="153"/>
      <c r="AU8" s="153"/>
      <c r="AV8" s="153"/>
      <c r="AW8" s="153"/>
      <c r="AX8" s="153"/>
      <c r="AY8" s="153"/>
      <c r="AZ8" s="153"/>
      <c r="BA8" s="153">
        <v>44</v>
      </c>
      <c r="BB8" s="153"/>
      <c r="BC8" s="153"/>
      <c r="BD8" s="153"/>
      <c r="BE8" s="153"/>
      <c r="BF8" s="153"/>
      <c r="BG8" s="153"/>
      <c r="BH8" s="153"/>
      <c r="BI8" s="153"/>
      <c r="BJ8" s="153"/>
      <c r="BK8" s="153" t="s">
        <v>625</v>
      </c>
      <c r="BL8" s="153"/>
    </row>
    <row r="9" spans="1:64" s="58" customFormat="1" ht="18" customHeight="1">
      <c r="A9" s="153">
        <v>3954</v>
      </c>
      <c r="B9" s="153" t="s">
        <v>3107</v>
      </c>
      <c r="C9" s="176" t="s">
        <v>3109</v>
      </c>
      <c r="D9" s="176" t="s">
        <v>84</v>
      </c>
      <c r="E9" s="153" t="s">
        <v>485</v>
      </c>
      <c r="F9" s="153" t="s">
        <v>1116</v>
      </c>
      <c r="G9" s="159">
        <v>155</v>
      </c>
      <c r="H9" s="154">
        <v>197</v>
      </c>
      <c r="I9" s="159"/>
      <c r="J9" s="159">
        <v>0</v>
      </c>
      <c r="K9" s="153"/>
      <c r="L9" s="153"/>
      <c r="M9" s="127"/>
      <c r="N9" s="153" t="s">
        <v>2408</v>
      </c>
      <c r="O9" s="156">
        <v>46391</v>
      </c>
      <c r="P9" s="156">
        <v>46424</v>
      </c>
      <c r="Q9" s="156"/>
      <c r="R9" s="156"/>
      <c r="S9" s="154">
        <v>25</v>
      </c>
      <c r="T9" s="154">
        <v>25</v>
      </c>
      <c r="U9" s="153"/>
      <c r="V9" s="154">
        <v>146.6</v>
      </c>
      <c r="W9" s="154">
        <v>0</v>
      </c>
      <c r="X9" s="154">
        <v>146.6</v>
      </c>
      <c r="Y9" s="154">
        <v>0</v>
      </c>
      <c r="Z9" s="154"/>
      <c r="AA9" s="155">
        <v>10996.9</v>
      </c>
      <c r="AB9" s="155">
        <v>0</v>
      </c>
      <c r="AC9" s="155">
        <v>10996.9</v>
      </c>
      <c r="AD9" s="153">
        <v>9</v>
      </c>
      <c r="AE9" s="153">
        <v>41</v>
      </c>
      <c r="AF9" s="153">
        <v>51</v>
      </c>
      <c r="AG9" s="153">
        <v>101</v>
      </c>
      <c r="AH9" s="153"/>
      <c r="AI9" s="153"/>
      <c r="AJ9" s="153"/>
      <c r="AK9" s="153" t="s">
        <v>633</v>
      </c>
      <c r="AL9" s="153" t="s">
        <v>3105</v>
      </c>
      <c r="AM9" s="153" t="s">
        <v>3108</v>
      </c>
      <c r="AN9" s="153" t="s">
        <v>3109</v>
      </c>
      <c r="AO9" s="153"/>
      <c r="AP9" s="153"/>
      <c r="AQ9" s="156"/>
      <c r="AR9" s="153">
        <v>0</v>
      </c>
      <c r="AS9" s="153">
        <v>0</v>
      </c>
      <c r="AT9" s="153">
        <v>1</v>
      </c>
      <c r="AU9" s="153"/>
      <c r="AV9" s="153"/>
      <c r="AW9" s="153"/>
      <c r="AX9" s="153"/>
      <c r="AY9" s="153">
        <v>30</v>
      </c>
      <c r="AZ9" s="153"/>
      <c r="BA9" s="153">
        <v>44</v>
      </c>
      <c r="BB9" s="153"/>
      <c r="BC9" s="153"/>
      <c r="BD9" s="153"/>
      <c r="BE9" s="153"/>
      <c r="BF9" s="153"/>
      <c r="BG9" s="153"/>
      <c r="BH9" s="153"/>
      <c r="BI9" s="153" t="s">
        <v>493</v>
      </c>
      <c r="BJ9" s="153" t="s">
        <v>196</v>
      </c>
      <c r="BK9" s="153" t="s">
        <v>625</v>
      </c>
      <c r="BL9" s="153"/>
    </row>
    <row r="10" spans="1:64" s="58" customFormat="1" ht="18" customHeight="1">
      <c r="A10" s="153" t="s">
        <v>3092</v>
      </c>
      <c r="B10" s="153" t="s">
        <v>3093</v>
      </c>
      <c r="C10" s="164" t="s">
        <v>1638</v>
      </c>
      <c r="D10" s="164" t="s">
        <v>83</v>
      </c>
      <c r="E10" s="153"/>
      <c r="F10" s="153" t="s">
        <v>1098</v>
      </c>
      <c r="G10" s="159">
        <v>115</v>
      </c>
      <c r="H10" s="154">
        <v>157</v>
      </c>
      <c r="I10" s="159"/>
      <c r="J10" s="159">
        <v>0</v>
      </c>
      <c r="K10" s="153"/>
      <c r="L10" s="153"/>
      <c r="M10" s="127"/>
      <c r="N10" s="153" t="s">
        <v>2408</v>
      </c>
      <c r="O10" s="156">
        <v>46455</v>
      </c>
      <c r="P10" s="156">
        <v>46538</v>
      </c>
      <c r="Q10" s="156"/>
      <c r="R10" s="156"/>
      <c r="S10" s="154">
        <v>57</v>
      </c>
      <c r="T10" s="154">
        <v>57</v>
      </c>
      <c r="U10" s="153"/>
      <c r="V10" s="154">
        <v>184.9</v>
      </c>
      <c r="W10" s="154">
        <v>0</v>
      </c>
      <c r="X10" s="154">
        <v>184.9</v>
      </c>
      <c r="Y10" s="154">
        <v>0</v>
      </c>
      <c r="Z10" s="154"/>
      <c r="AA10" s="155">
        <v>13865.6</v>
      </c>
      <c r="AB10" s="155">
        <v>0</v>
      </c>
      <c r="AC10" s="155">
        <v>13865.6</v>
      </c>
      <c r="AD10" s="153"/>
      <c r="AE10" s="153"/>
      <c r="AF10" s="153"/>
      <c r="AG10" s="153"/>
      <c r="AH10" s="153"/>
      <c r="AI10" s="153"/>
      <c r="AJ10" s="153"/>
      <c r="AK10" s="153" t="s">
        <v>633</v>
      </c>
      <c r="AL10" s="153" t="s">
        <v>3105</v>
      </c>
      <c r="AM10" s="153" t="s">
        <v>1638</v>
      </c>
      <c r="AN10" s="153"/>
      <c r="AO10" s="153"/>
      <c r="AP10" s="153"/>
      <c r="AQ10" s="156"/>
      <c r="AR10" s="153"/>
      <c r="AS10" s="153"/>
      <c r="AT10" s="153"/>
      <c r="AU10" s="153"/>
      <c r="AV10" s="153"/>
      <c r="AW10" s="153"/>
      <c r="AX10" s="153"/>
      <c r="AY10" s="153"/>
      <c r="AZ10" s="153"/>
      <c r="BA10" s="153">
        <v>44</v>
      </c>
      <c r="BB10" s="153"/>
      <c r="BC10" s="153"/>
      <c r="BD10" s="153"/>
      <c r="BE10" s="153"/>
      <c r="BF10" s="153"/>
      <c r="BG10" s="153"/>
      <c r="BH10" s="153"/>
      <c r="BI10" s="153"/>
      <c r="BJ10" s="153"/>
      <c r="BK10" s="153" t="s">
        <v>625</v>
      </c>
      <c r="BL10" s="153"/>
    </row>
    <row r="11" spans="1:64" s="58" customFormat="1" ht="18" customHeight="1">
      <c r="A11" s="153">
        <v>3955</v>
      </c>
      <c r="B11" s="153" t="s">
        <v>3092</v>
      </c>
      <c r="C11" s="176" t="s">
        <v>3110</v>
      </c>
      <c r="D11" s="176" t="s">
        <v>84</v>
      </c>
      <c r="E11" s="153" t="s">
        <v>84</v>
      </c>
      <c r="F11" s="153" t="s">
        <v>1095</v>
      </c>
      <c r="G11" s="159">
        <v>153</v>
      </c>
      <c r="H11" s="154">
        <v>195</v>
      </c>
      <c r="I11" s="159"/>
      <c r="J11" s="159">
        <v>0</v>
      </c>
      <c r="K11" s="153"/>
      <c r="L11" s="153"/>
      <c r="M11" s="127"/>
      <c r="N11" s="153" t="s">
        <v>2408</v>
      </c>
      <c r="O11" s="156">
        <v>46455</v>
      </c>
      <c r="P11" s="156">
        <v>46497</v>
      </c>
      <c r="Q11" s="156"/>
      <c r="R11" s="156"/>
      <c r="S11" s="154">
        <v>29</v>
      </c>
      <c r="T11" s="154">
        <v>29</v>
      </c>
      <c r="U11" s="153"/>
      <c r="V11" s="154">
        <v>184.9</v>
      </c>
      <c r="W11" s="154">
        <v>0</v>
      </c>
      <c r="X11" s="154">
        <v>184.9</v>
      </c>
      <c r="Y11" s="154">
        <v>0</v>
      </c>
      <c r="Z11" s="154"/>
      <c r="AA11" s="155">
        <v>13865.6</v>
      </c>
      <c r="AB11" s="155">
        <v>0</v>
      </c>
      <c r="AC11" s="155">
        <v>13865.6</v>
      </c>
      <c r="AD11" s="153">
        <v>10</v>
      </c>
      <c r="AE11" s="153">
        <v>42</v>
      </c>
      <c r="AF11" s="153">
        <v>52</v>
      </c>
      <c r="AG11" s="153">
        <v>102</v>
      </c>
      <c r="AH11" s="153"/>
      <c r="AI11" s="153"/>
      <c r="AJ11" s="153"/>
      <c r="AK11" s="153" t="s">
        <v>633</v>
      </c>
      <c r="AL11" s="153" t="s">
        <v>3105</v>
      </c>
      <c r="AM11" s="153" t="s">
        <v>1638</v>
      </c>
      <c r="AN11" s="153" t="s">
        <v>3110</v>
      </c>
      <c r="AO11" s="153"/>
      <c r="AP11" s="153"/>
      <c r="AQ11" s="156"/>
      <c r="AR11" s="153">
        <v>0</v>
      </c>
      <c r="AS11" s="153">
        <v>0</v>
      </c>
      <c r="AT11" s="153">
        <v>1</v>
      </c>
      <c r="AU11" s="153"/>
      <c r="AV11" s="153"/>
      <c r="AW11" s="153"/>
      <c r="AX11" s="153"/>
      <c r="AY11" s="153"/>
      <c r="AZ11" s="153"/>
      <c r="BA11" s="153">
        <v>44</v>
      </c>
      <c r="BB11" s="153"/>
      <c r="BC11" s="153"/>
      <c r="BD11" s="153"/>
      <c r="BE11" s="153"/>
      <c r="BF11" s="153"/>
      <c r="BG11" s="153"/>
      <c r="BH11" s="153"/>
      <c r="BI11" s="153" t="s">
        <v>493</v>
      </c>
      <c r="BJ11" s="153" t="s">
        <v>196</v>
      </c>
      <c r="BK11" s="153" t="s">
        <v>625</v>
      </c>
      <c r="BL11" s="153"/>
    </row>
    <row r="12" spans="1:64" s="58" customFormat="1" ht="18" customHeight="1">
      <c r="A12" s="153">
        <v>11100</v>
      </c>
      <c r="B12" s="153">
        <v>3955</v>
      </c>
      <c r="C12" s="176" t="s">
        <v>816</v>
      </c>
      <c r="D12" s="176" t="s">
        <v>85</v>
      </c>
      <c r="E12" s="153"/>
      <c r="F12" s="153" t="s">
        <v>1094</v>
      </c>
      <c r="G12" s="159">
        <v>183</v>
      </c>
      <c r="H12" s="154">
        <v>225</v>
      </c>
      <c r="I12" s="159"/>
      <c r="J12" s="159">
        <v>0</v>
      </c>
      <c r="K12" s="153"/>
      <c r="L12" s="153"/>
      <c r="M12" s="127">
        <v>902</v>
      </c>
      <c r="N12" s="153" t="s">
        <v>816</v>
      </c>
      <c r="O12" s="156">
        <v>46455</v>
      </c>
      <c r="P12" s="156">
        <v>46497</v>
      </c>
      <c r="Q12" s="156"/>
      <c r="R12" s="156"/>
      <c r="S12" s="154">
        <v>29</v>
      </c>
      <c r="T12" s="154">
        <v>29</v>
      </c>
      <c r="U12" s="153"/>
      <c r="V12" s="154">
        <v>184.9</v>
      </c>
      <c r="W12" s="154">
        <v>0</v>
      </c>
      <c r="X12" s="154">
        <v>184.9</v>
      </c>
      <c r="Y12" s="154">
        <v>0</v>
      </c>
      <c r="Z12" s="154"/>
      <c r="AA12" s="155">
        <v>13865.6</v>
      </c>
      <c r="AB12" s="155">
        <v>0</v>
      </c>
      <c r="AC12" s="155">
        <v>13865.6</v>
      </c>
      <c r="AD12" s="153">
        <v>8.5</v>
      </c>
      <c r="AE12" s="153">
        <v>6.375</v>
      </c>
      <c r="AF12" s="153">
        <v>75</v>
      </c>
      <c r="AG12" s="153">
        <v>75</v>
      </c>
      <c r="AH12" s="153"/>
      <c r="AI12" s="153" t="s">
        <v>581</v>
      </c>
      <c r="AJ12" s="153"/>
      <c r="AK12" s="153" t="s">
        <v>633</v>
      </c>
      <c r="AL12" s="153" t="s">
        <v>3105</v>
      </c>
      <c r="AM12" s="153" t="s">
        <v>1638</v>
      </c>
      <c r="AN12" s="153" t="s">
        <v>3110</v>
      </c>
      <c r="AO12" s="153" t="s">
        <v>816</v>
      </c>
      <c r="AP12" s="153"/>
      <c r="AQ12" s="156"/>
      <c r="AR12" s="153">
        <v>0</v>
      </c>
      <c r="AS12" s="153">
        <v>0</v>
      </c>
      <c r="AT12" s="153">
        <v>1</v>
      </c>
      <c r="AU12" s="153"/>
      <c r="AV12" s="153"/>
      <c r="AW12" s="153"/>
      <c r="AX12" s="153"/>
      <c r="AY12" s="153"/>
      <c r="AZ12" s="153"/>
      <c r="BA12" s="153">
        <v>44</v>
      </c>
      <c r="BB12" s="153"/>
      <c r="BC12" s="153"/>
      <c r="BD12" s="153"/>
      <c r="BE12" s="153"/>
      <c r="BF12" s="153"/>
      <c r="BG12" s="153"/>
      <c r="BH12" s="153"/>
      <c r="BI12" s="153"/>
      <c r="BJ12" s="153"/>
      <c r="BK12" s="153"/>
      <c r="BL12" s="153"/>
    </row>
    <row r="13" spans="1:64" s="58" customFormat="1" ht="18" customHeight="1">
      <c r="A13" s="153">
        <v>3964</v>
      </c>
      <c r="B13" s="153" t="s">
        <v>3093</v>
      </c>
      <c r="C13" s="176" t="s">
        <v>3111</v>
      </c>
      <c r="D13" s="176" t="s">
        <v>708</v>
      </c>
      <c r="E13" s="153"/>
      <c r="F13" s="153" t="s">
        <v>1080</v>
      </c>
      <c r="G13" s="159">
        <v>61</v>
      </c>
      <c r="H13" s="154">
        <v>103</v>
      </c>
      <c r="I13" s="159"/>
      <c r="J13" s="159">
        <v>0</v>
      </c>
      <c r="K13" s="153"/>
      <c r="L13" s="153"/>
      <c r="M13" s="127"/>
      <c r="N13" s="153" t="s">
        <v>2408</v>
      </c>
      <c r="O13" s="156">
        <v>46564</v>
      </c>
      <c r="P13" s="156">
        <v>46699</v>
      </c>
      <c r="Q13" s="156"/>
      <c r="R13" s="156"/>
      <c r="S13" s="154">
        <v>92</v>
      </c>
      <c r="T13" s="154">
        <v>92</v>
      </c>
      <c r="U13" s="153"/>
      <c r="V13" s="154">
        <v>0</v>
      </c>
      <c r="W13" s="154">
        <v>0</v>
      </c>
      <c r="X13" s="154">
        <v>0</v>
      </c>
      <c r="Y13" s="154">
        <v>0</v>
      </c>
      <c r="Z13" s="154"/>
      <c r="AA13" s="155">
        <v>0</v>
      </c>
      <c r="AB13" s="155">
        <v>0</v>
      </c>
      <c r="AC13" s="155">
        <v>0</v>
      </c>
      <c r="AD13" s="153">
        <v>11</v>
      </c>
      <c r="AE13" s="153">
        <v>43</v>
      </c>
      <c r="AF13" s="153">
        <v>53</v>
      </c>
      <c r="AG13" s="153">
        <v>103</v>
      </c>
      <c r="AH13" s="153"/>
      <c r="AI13" s="153"/>
      <c r="AJ13" s="153"/>
      <c r="AK13" s="153" t="s">
        <v>633</v>
      </c>
      <c r="AL13" s="153" t="s">
        <v>3105</v>
      </c>
      <c r="AM13" s="153" t="s">
        <v>3111</v>
      </c>
      <c r="AN13" s="153"/>
      <c r="AO13" s="153"/>
      <c r="AP13" s="153"/>
      <c r="AQ13" s="156"/>
      <c r="AR13" s="153">
        <v>0</v>
      </c>
      <c r="AS13" s="153">
        <v>0</v>
      </c>
      <c r="AT13" s="153">
        <v>1</v>
      </c>
      <c r="AU13" s="153"/>
      <c r="AV13" s="153"/>
      <c r="AW13" s="153"/>
      <c r="AX13" s="153"/>
      <c r="AY13" s="153"/>
      <c r="AZ13" s="153"/>
      <c r="BA13" s="153">
        <v>44</v>
      </c>
      <c r="BB13" s="153"/>
      <c r="BC13" s="153"/>
      <c r="BD13" s="153"/>
      <c r="BE13" s="153"/>
      <c r="BF13" s="153"/>
      <c r="BG13" s="153"/>
      <c r="BH13" s="153"/>
      <c r="BI13" s="153"/>
      <c r="BJ13" s="153"/>
      <c r="BK13" s="153" t="s">
        <v>625</v>
      </c>
      <c r="BL13" s="153"/>
    </row>
    <row r="14" spans="1:64" s="58" customFormat="1" ht="18" customHeight="1">
      <c r="A14" s="153" t="s">
        <v>3112</v>
      </c>
      <c r="B14" s="153" t="s">
        <v>3103</v>
      </c>
      <c r="C14" s="158" t="s">
        <v>3113</v>
      </c>
      <c r="D14" s="158" t="s">
        <v>79</v>
      </c>
      <c r="E14" s="153"/>
      <c r="F14" s="153" t="s">
        <v>494</v>
      </c>
      <c r="G14" s="159">
        <v>387</v>
      </c>
      <c r="H14" s="154">
        <v>429</v>
      </c>
      <c r="I14" s="159"/>
      <c r="J14" s="159">
        <v>0</v>
      </c>
      <c r="K14" s="153"/>
      <c r="L14" s="153"/>
      <c r="M14" s="127"/>
      <c r="N14" s="153" t="s">
        <v>2408</v>
      </c>
      <c r="O14" s="156">
        <v>46307</v>
      </c>
      <c r="P14" s="156">
        <v>46429</v>
      </c>
      <c r="Q14" s="156"/>
      <c r="R14" s="156"/>
      <c r="S14" s="154">
        <v>86</v>
      </c>
      <c r="T14" s="154">
        <v>86</v>
      </c>
      <c r="U14" s="153"/>
      <c r="V14" s="154">
        <v>60.1</v>
      </c>
      <c r="W14" s="154">
        <v>0</v>
      </c>
      <c r="X14" s="154">
        <v>60.1</v>
      </c>
      <c r="Y14" s="154">
        <v>0</v>
      </c>
      <c r="Z14" s="154"/>
      <c r="AA14" s="155">
        <v>3656.3</v>
      </c>
      <c r="AB14" s="155">
        <v>0</v>
      </c>
      <c r="AC14" s="155">
        <v>3656.3</v>
      </c>
      <c r="AD14" s="153"/>
      <c r="AE14" s="153"/>
      <c r="AF14" s="153"/>
      <c r="AG14" s="153"/>
      <c r="AH14" s="153"/>
      <c r="AI14" s="153"/>
      <c r="AJ14" s="153"/>
      <c r="AK14" s="153" t="s">
        <v>633</v>
      </c>
      <c r="AL14" s="153" t="s">
        <v>3113</v>
      </c>
      <c r="AM14" s="153"/>
      <c r="AN14" s="153"/>
      <c r="AO14" s="153"/>
      <c r="AP14" s="153"/>
      <c r="AQ14" s="156"/>
      <c r="AR14" s="153"/>
      <c r="AS14" s="153"/>
      <c r="AT14" s="153"/>
      <c r="AU14" s="153"/>
      <c r="AV14" s="153"/>
      <c r="AW14" s="153"/>
      <c r="AX14" s="153"/>
      <c r="AY14" s="153"/>
      <c r="AZ14" s="153"/>
      <c r="BA14" s="153">
        <v>44</v>
      </c>
      <c r="BB14" s="153"/>
      <c r="BC14" s="153"/>
      <c r="BD14" s="153"/>
      <c r="BE14" s="153"/>
      <c r="BF14" s="153"/>
      <c r="BG14" s="153"/>
      <c r="BH14" s="153"/>
      <c r="BI14" s="153"/>
      <c r="BJ14" s="153"/>
      <c r="BK14" s="153" t="s">
        <v>625</v>
      </c>
      <c r="BL14" s="153"/>
    </row>
    <row r="15" spans="1:64" s="58" customFormat="1" ht="18" customHeight="1">
      <c r="A15" s="153" t="s">
        <v>3114</v>
      </c>
      <c r="B15" s="153" t="s">
        <v>3112</v>
      </c>
      <c r="C15" s="164" t="s">
        <v>3115</v>
      </c>
      <c r="D15" s="164" t="s">
        <v>83</v>
      </c>
      <c r="E15" s="153"/>
      <c r="F15" s="153" t="s">
        <v>3061</v>
      </c>
      <c r="G15" s="159">
        <v>432</v>
      </c>
      <c r="H15" s="154">
        <v>474</v>
      </c>
      <c r="I15" s="159"/>
      <c r="J15" s="159">
        <v>0</v>
      </c>
      <c r="K15" s="153"/>
      <c r="L15" s="153"/>
      <c r="M15" s="127"/>
      <c r="N15" s="153" t="s">
        <v>2408</v>
      </c>
      <c r="O15" s="156">
        <v>46307</v>
      </c>
      <c r="P15" s="156">
        <v>46361</v>
      </c>
      <c r="Q15" s="156"/>
      <c r="R15" s="156"/>
      <c r="S15" s="154">
        <v>39</v>
      </c>
      <c r="T15" s="154">
        <v>39</v>
      </c>
      <c r="U15" s="153"/>
      <c r="V15" s="154">
        <v>26.3</v>
      </c>
      <c r="W15" s="154">
        <v>0</v>
      </c>
      <c r="X15" s="154">
        <v>26.3</v>
      </c>
      <c r="Y15" s="154">
        <v>0</v>
      </c>
      <c r="Z15" s="154"/>
      <c r="AA15" s="155">
        <v>1968.8</v>
      </c>
      <c r="AB15" s="155">
        <v>0</v>
      </c>
      <c r="AC15" s="155">
        <v>1968.8</v>
      </c>
      <c r="AD15" s="153"/>
      <c r="AE15" s="153"/>
      <c r="AF15" s="153"/>
      <c r="AG15" s="153"/>
      <c r="AH15" s="153"/>
      <c r="AI15" s="153"/>
      <c r="AJ15" s="153"/>
      <c r="AK15" s="153" t="s">
        <v>633</v>
      </c>
      <c r="AL15" s="153" t="s">
        <v>3113</v>
      </c>
      <c r="AM15" s="153" t="s">
        <v>3115</v>
      </c>
      <c r="AN15" s="153"/>
      <c r="AO15" s="153"/>
      <c r="AP15" s="153"/>
      <c r="AQ15" s="156"/>
      <c r="AR15" s="153"/>
      <c r="AS15" s="153"/>
      <c r="AT15" s="153"/>
      <c r="AU15" s="153"/>
      <c r="AV15" s="153"/>
      <c r="AW15" s="153"/>
      <c r="AX15" s="153"/>
      <c r="AY15" s="153">
        <v>30</v>
      </c>
      <c r="AZ15" s="153"/>
      <c r="BA15" s="153">
        <v>44</v>
      </c>
      <c r="BB15" s="153"/>
      <c r="BC15" s="153"/>
      <c r="BD15" s="153"/>
      <c r="BE15" s="153"/>
      <c r="BF15" s="153"/>
      <c r="BG15" s="153"/>
      <c r="BH15" s="153"/>
      <c r="BI15" s="153"/>
      <c r="BJ15" s="153"/>
      <c r="BK15" s="153" t="s">
        <v>625</v>
      </c>
      <c r="BL15" s="153"/>
    </row>
    <row r="16" spans="1:64" s="58" customFormat="1" ht="18" customHeight="1">
      <c r="A16" s="153">
        <v>3775</v>
      </c>
      <c r="B16" s="153" t="s">
        <v>3114</v>
      </c>
      <c r="C16" s="176" t="s">
        <v>3116</v>
      </c>
      <c r="D16" s="176" t="s">
        <v>84</v>
      </c>
      <c r="E16" s="153" t="s">
        <v>84</v>
      </c>
      <c r="F16" s="153" t="s">
        <v>3090</v>
      </c>
      <c r="G16" s="159">
        <v>482</v>
      </c>
      <c r="H16" s="154">
        <v>512</v>
      </c>
      <c r="I16" s="159"/>
      <c r="J16" s="159">
        <v>0</v>
      </c>
      <c r="K16" s="153"/>
      <c r="L16" s="153"/>
      <c r="M16" s="127"/>
      <c r="N16" s="153" t="s">
        <v>2408</v>
      </c>
      <c r="O16" s="156">
        <v>46307</v>
      </c>
      <c r="P16" s="156">
        <v>46326</v>
      </c>
      <c r="Q16" s="156"/>
      <c r="R16" s="156"/>
      <c r="S16" s="154">
        <v>14</v>
      </c>
      <c r="T16" s="154">
        <v>14</v>
      </c>
      <c r="U16" s="153"/>
      <c r="V16" s="154">
        <v>26.3</v>
      </c>
      <c r="W16" s="154">
        <v>0</v>
      </c>
      <c r="X16" s="154">
        <v>26.3</v>
      </c>
      <c r="Y16" s="154">
        <v>0</v>
      </c>
      <c r="Z16" s="154"/>
      <c r="AA16" s="155">
        <v>1968.8</v>
      </c>
      <c r="AB16" s="155">
        <v>0</v>
      </c>
      <c r="AC16" s="155">
        <v>1968.8</v>
      </c>
      <c r="AD16" s="153">
        <v>12</v>
      </c>
      <c r="AE16" s="153">
        <v>44</v>
      </c>
      <c r="AF16" s="153">
        <v>54</v>
      </c>
      <c r="AG16" s="153">
        <v>104</v>
      </c>
      <c r="AH16" s="153"/>
      <c r="AI16" s="153"/>
      <c r="AJ16" s="153"/>
      <c r="AK16" s="153" t="s">
        <v>633</v>
      </c>
      <c r="AL16" s="153" t="s">
        <v>3113</v>
      </c>
      <c r="AM16" s="153" t="s">
        <v>3115</v>
      </c>
      <c r="AN16" s="153" t="s">
        <v>3116</v>
      </c>
      <c r="AO16" s="153"/>
      <c r="AP16" s="153"/>
      <c r="AQ16" s="156"/>
      <c r="AR16" s="153">
        <v>0</v>
      </c>
      <c r="AS16" s="153">
        <v>0</v>
      </c>
      <c r="AT16" s="153">
        <v>1</v>
      </c>
      <c r="AU16" s="153"/>
      <c r="AV16" s="153"/>
      <c r="AW16" s="153"/>
      <c r="AX16" s="153"/>
      <c r="AY16" s="153">
        <v>30</v>
      </c>
      <c r="AZ16" s="153"/>
      <c r="BA16" s="153">
        <v>10</v>
      </c>
      <c r="BB16" s="153"/>
      <c r="BC16" s="153"/>
      <c r="BD16" s="153"/>
      <c r="BE16" s="153"/>
      <c r="BF16" s="153"/>
      <c r="BG16" s="153"/>
      <c r="BH16" s="153"/>
      <c r="BI16" s="153" t="s">
        <v>493</v>
      </c>
      <c r="BJ16" s="153" t="s">
        <v>196</v>
      </c>
      <c r="BK16" s="153" t="s">
        <v>625</v>
      </c>
      <c r="BL16" s="153"/>
    </row>
    <row r="17" spans="1:64" s="58" customFormat="1" ht="18" customHeight="1">
      <c r="A17" s="153" t="s">
        <v>3117</v>
      </c>
      <c r="B17" s="153" t="s">
        <v>3112</v>
      </c>
      <c r="C17" s="164" t="s">
        <v>3118</v>
      </c>
      <c r="D17" s="164" t="s">
        <v>83</v>
      </c>
      <c r="E17" s="153"/>
      <c r="F17" s="153" t="s">
        <v>3119</v>
      </c>
      <c r="G17" s="159">
        <v>432</v>
      </c>
      <c r="H17" s="154">
        <v>486</v>
      </c>
      <c r="I17" s="159"/>
      <c r="J17" s="159">
        <v>0</v>
      </c>
      <c r="K17" s="153"/>
      <c r="L17" s="153"/>
      <c r="M17" s="127"/>
      <c r="N17" s="153" t="s">
        <v>2408</v>
      </c>
      <c r="O17" s="156">
        <v>46363</v>
      </c>
      <c r="P17" s="156">
        <v>46416</v>
      </c>
      <c r="Q17" s="156"/>
      <c r="R17" s="156"/>
      <c r="S17" s="154">
        <v>38</v>
      </c>
      <c r="T17" s="154">
        <v>38</v>
      </c>
      <c r="U17" s="153"/>
      <c r="V17" s="154">
        <v>33.799999999999997</v>
      </c>
      <c r="W17" s="154">
        <v>0</v>
      </c>
      <c r="X17" s="154">
        <v>33.799999999999997</v>
      </c>
      <c r="Y17" s="154">
        <v>0</v>
      </c>
      <c r="Z17" s="154"/>
      <c r="AA17" s="155">
        <v>1687.5</v>
      </c>
      <c r="AB17" s="155">
        <v>0</v>
      </c>
      <c r="AC17" s="155">
        <v>1687.5</v>
      </c>
      <c r="AD17" s="153"/>
      <c r="AE17" s="153"/>
      <c r="AF17" s="153"/>
      <c r="AG17" s="153"/>
      <c r="AH17" s="153"/>
      <c r="AI17" s="153"/>
      <c r="AJ17" s="153"/>
      <c r="AK17" s="153" t="s">
        <v>633</v>
      </c>
      <c r="AL17" s="153" t="s">
        <v>3113</v>
      </c>
      <c r="AM17" s="153" t="s">
        <v>3118</v>
      </c>
      <c r="AN17" s="153"/>
      <c r="AO17" s="153"/>
      <c r="AP17" s="153"/>
      <c r="AQ17" s="156"/>
      <c r="AR17" s="153"/>
      <c r="AS17" s="153"/>
      <c r="AT17" s="153"/>
      <c r="AU17" s="153"/>
      <c r="AV17" s="153"/>
      <c r="AW17" s="153"/>
      <c r="AX17" s="153"/>
      <c r="AY17" s="153"/>
      <c r="AZ17" s="153"/>
      <c r="BA17" s="153">
        <v>44</v>
      </c>
      <c r="BB17" s="153"/>
      <c r="BC17" s="153"/>
      <c r="BD17" s="153"/>
      <c r="BE17" s="153"/>
      <c r="BF17" s="153"/>
      <c r="BG17" s="153"/>
      <c r="BH17" s="153"/>
      <c r="BI17" s="153"/>
      <c r="BJ17" s="153"/>
      <c r="BK17" s="153" t="s">
        <v>625</v>
      </c>
      <c r="BL17" s="153"/>
    </row>
    <row r="18" spans="1:64" s="58" customFormat="1" ht="18" customHeight="1">
      <c r="A18" s="153">
        <v>3777</v>
      </c>
      <c r="B18" s="153" t="s">
        <v>3117</v>
      </c>
      <c r="C18" s="176" t="s">
        <v>3120</v>
      </c>
      <c r="D18" s="176" t="s">
        <v>84</v>
      </c>
      <c r="E18" s="153" t="s">
        <v>84</v>
      </c>
      <c r="F18" s="153" t="s">
        <v>3121</v>
      </c>
      <c r="G18" s="159">
        <v>548</v>
      </c>
      <c r="H18" s="154">
        <v>524</v>
      </c>
      <c r="I18" s="159"/>
      <c r="J18" s="159">
        <v>0</v>
      </c>
      <c r="K18" s="153">
        <v>16057</v>
      </c>
      <c r="L18" s="153"/>
      <c r="M18" s="127"/>
      <c r="N18" s="153" t="s">
        <v>2408</v>
      </c>
      <c r="O18" s="156">
        <v>46349</v>
      </c>
      <c r="P18" s="156">
        <v>46361</v>
      </c>
      <c r="Q18" s="156"/>
      <c r="R18" s="156"/>
      <c r="S18" s="154">
        <v>10</v>
      </c>
      <c r="T18" s="154">
        <v>10</v>
      </c>
      <c r="U18" s="153"/>
      <c r="V18" s="154">
        <v>33.799999999999997</v>
      </c>
      <c r="W18" s="154">
        <v>0</v>
      </c>
      <c r="X18" s="154">
        <v>33.799999999999997</v>
      </c>
      <c r="Y18" s="154">
        <v>0</v>
      </c>
      <c r="Z18" s="154"/>
      <c r="AA18" s="155">
        <v>1687.5</v>
      </c>
      <c r="AB18" s="155">
        <v>0</v>
      </c>
      <c r="AC18" s="155">
        <v>1687.5</v>
      </c>
      <c r="AD18" s="153">
        <v>13</v>
      </c>
      <c r="AE18" s="153">
        <v>45</v>
      </c>
      <c r="AF18" s="153">
        <v>55</v>
      </c>
      <c r="AG18" s="153">
        <v>105</v>
      </c>
      <c r="AH18" s="153"/>
      <c r="AI18" s="153"/>
      <c r="AJ18" s="153"/>
      <c r="AK18" s="153" t="s">
        <v>633</v>
      </c>
      <c r="AL18" s="153" t="s">
        <v>3113</v>
      </c>
      <c r="AM18" s="153" t="s">
        <v>3118</v>
      </c>
      <c r="AN18" s="153" t="s">
        <v>3120</v>
      </c>
      <c r="AO18" s="153"/>
      <c r="AP18" s="153"/>
      <c r="AQ18" s="156"/>
      <c r="AR18" s="153">
        <v>0</v>
      </c>
      <c r="AS18" s="153">
        <v>0</v>
      </c>
      <c r="AT18" s="153">
        <v>1</v>
      </c>
      <c r="AU18" s="153"/>
      <c r="AV18" s="153"/>
      <c r="AW18" s="153"/>
      <c r="AX18" s="153"/>
      <c r="AY18" s="153">
        <v>30</v>
      </c>
      <c r="AZ18" s="153"/>
      <c r="BA18" s="153">
        <v>10</v>
      </c>
      <c r="BB18" s="153"/>
      <c r="BC18" s="153"/>
      <c r="BD18" s="153"/>
      <c r="BE18" s="153"/>
      <c r="BF18" s="153"/>
      <c r="BG18" s="153"/>
      <c r="BH18" s="153"/>
      <c r="BI18" s="153" t="s">
        <v>493</v>
      </c>
      <c r="BJ18" s="153" t="s">
        <v>196</v>
      </c>
      <c r="BK18" s="153" t="s">
        <v>625</v>
      </c>
      <c r="BL18" s="153"/>
    </row>
    <row r="19" spans="1:64" s="58" customFormat="1" ht="18" customHeight="1">
      <c r="A19" s="153" t="s">
        <v>3122</v>
      </c>
      <c r="B19" s="153" t="s">
        <v>3103</v>
      </c>
      <c r="C19" s="158" t="s">
        <v>3123</v>
      </c>
      <c r="D19" s="158" t="s">
        <v>79</v>
      </c>
      <c r="E19" s="153"/>
      <c r="F19" s="153" t="s">
        <v>495</v>
      </c>
      <c r="G19" s="159">
        <v>663</v>
      </c>
      <c r="H19" s="154">
        <v>624</v>
      </c>
      <c r="I19" s="159"/>
      <c r="J19" s="159">
        <v>0</v>
      </c>
      <c r="K19" s="153"/>
      <c r="L19" s="153"/>
      <c r="M19" s="127"/>
      <c r="N19" s="153" t="s">
        <v>2408</v>
      </c>
      <c r="O19" s="156">
        <v>46321</v>
      </c>
      <c r="P19" s="156">
        <v>46470</v>
      </c>
      <c r="Q19" s="156"/>
      <c r="R19" s="156"/>
      <c r="S19" s="154">
        <v>106</v>
      </c>
      <c r="T19" s="154">
        <v>106</v>
      </c>
      <c r="U19" s="153"/>
      <c r="V19" s="154">
        <v>337.9</v>
      </c>
      <c r="W19" s="154">
        <v>0</v>
      </c>
      <c r="X19" s="154">
        <v>337.9</v>
      </c>
      <c r="Y19" s="154">
        <v>0</v>
      </c>
      <c r="Z19" s="154"/>
      <c r="AA19" s="155">
        <v>25340.7</v>
      </c>
      <c r="AB19" s="155">
        <v>0</v>
      </c>
      <c r="AC19" s="155">
        <v>25340.7</v>
      </c>
      <c r="AD19" s="153"/>
      <c r="AE19" s="153"/>
      <c r="AF19" s="153"/>
      <c r="AG19" s="153"/>
      <c r="AH19" s="153"/>
      <c r="AI19" s="153"/>
      <c r="AJ19" s="153"/>
      <c r="AK19" s="153" t="s">
        <v>633</v>
      </c>
      <c r="AL19" s="153" t="s">
        <v>3123</v>
      </c>
      <c r="AM19" s="153"/>
      <c r="AN19" s="153"/>
      <c r="AO19" s="153"/>
      <c r="AP19" s="153"/>
      <c r="AQ19" s="156"/>
      <c r="AR19" s="153"/>
      <c r="AS19" s="153"/>
      <c r="AT19" s="153"/>
      <c r="AU19" s="153"/>
      <c r="AV19" s="153"/>
      <c r="AW19" s="153"/>
      <c r="AX19" s="153"/>
      <c r="AY19" s="153"/>
      <c r="AZ19" s="153"/>
      <c r="BA19" s="153">
        <v>44</v>
      </c>
      <c r="BB19" s="153"/>
      <c r="BC19" s="153"/>
      <c r="BD19" s="153"/>
      <c r="BE19" s="153" t="s">
        <v>3104</v>
      </c>
      <c r="BF19" s="153"/>
      <c r="BG19" s="153"/>
      <c r="BH19" s="153"/>
      <c r="BI19" s="153"/>
      <c r="BJ19" s="153"/>
      <c r="BK19" s="153" t="s">
        <v>625</v>
      </c>
      <c r="BL19" s="153"/>
    </row>
    <row r="20" spans="1:64" s="58" customFormat="1" ht="18" customHeight="1">
      <c r="A20" s="153" t="s">
        <v>3124</v>
      </c>
      <c r="B20" s="153" t="s">
        <v>3122</v>
      </c>
      <c r="C20" s="164" t="s">
        <v>3125</v>
      </c>
      <c r="D20" s="164" t="s">
        <v>83</v>
      </c>
      <c r="E20" s="153"/>
      <c r="F20" s="153" t="s">
        <v>3062</v>
      </c>
      <c r="G20" s="159">
        <v>700</v>
      </c>
      <c r="H20" s="154">
        <v>661</v>
      </c>
      <c r="I20" s="159"/>
      <c r="J20" s="159">
        <v>0</v>
      </c>
      <c r="K20" s="153"/>
      <c r="L20" s="153"/>
      <c r="M20" s="127"/>
      <c r="N20" s="153" t="s">
        <v>2408</v>
      </c>
      <c r="O20" s="156">
        <v>46321</v>
      </c>
      <c r="P20" s="156">
        <v>46382</v>
      </c>
      <c r="Q20" s="156"/>
      <c r="R20" s="156"/>
      <c r="S20" s="154">
        <v>44</v>
      </c>
      <c r="T20" s="154">
        <v>44</v>
      </c>
      <c r="U20" s="153"/>
      <c r="V20" s="154">
        <v>140.30000000000001</v>
      </c>
      <c r="W20" s="154">
        <v>0</v>
      </c>
      <c r="X20" s="154">
        <v>140.30000000000001</v>
      </c>
      <c r="Y20" s="154">
        <v>0</v>
      </c>
      <c r="Z20" s="154"/>
      <c r="AA20" s="155">
        <v>10518.8</v>
      </c>
      <c r="AB20" s="155">
        <v>0</v>
      </c>
      <c r="AC20" s="155">
        <v>10518.8</v>
      </c>
      <c r="AD20" s="153"/>
      <c r="AE20" s="153"/>
      <c r="AF20" s="153"/>
      <c r="AG20" s="153"/>
      <c r="AH20" s="153"/>
      <c r="AI20" s="153"/>
      <c r="AJ20" s="153"/>
      <c r="AK20" s="153" t="s">
        <v>633</v>
      </c>
      <c r="AL20" s="153" t="s">
        <v>3123</v>
      </c>
      <c r="AM20" s="153" t="s">
        <v>3125</v>
      </c>
      <c r="AN20" s="153"/>
      <c r="AO20" s="153"/>
      <c r="AP20" s="153"/>
      <c r="AQ20" s="156"/>
      <c r="AR20" s="153"/>
      <c r="AS20" s="153"/>
      <c r="AT20" s="153"/>
      <c r="AU20" s="153"/>
      <c r="AV20" s="153"/>
      <c r="AW20" s="153"/>
      <c r="AX20" s="153"/>
      <c r="AY20" s="153">
        <v>30</v>
      </c>
      <c r="AZ20" s="153"/>
      <c r="BA20" s="153">
        <v>44</v>
      </c>
      <c r="BB20" s="153"/>
      <c r="BC20" s="153"/>
      <c r="BD20" s="153"/>
      <c r="BE20" s="153"/>
      <c r="BF20" s="153"/>
      <c r="BG20" s="153"/>
      <c r="BH20" s="153"/>
      <c r="BI20" s="153"/>
      <c r="BJ20" s="153"/>
      <c r="BK20" s="153" t="s">
        <v>625</v>
      </c>
      <c r="BL20" s="153"/>
    </row>
    <row r="21" spans="1:64" s="58" customFormat="1" ht="18" customHeight="1">
      <c r="A21" s="153">
        <v>3956</v>
      </c>
      <c r="B21" s="153" t="s">
        <v>3124</v>
      </c>
      <c r="C21" s="176" t="s">
        <v>3126</v>
      </c>
      <c r="D21" s="176" t="s">
        <v>84</v>
      </c>
      <c r="E21" s="153" t="s">
        <v>84</v>
      </c>
      <c r="F21" s="153" t="s">
        <v>3091</v>
      </c>
      <c r="G21" s="159">
        <v>744</v>
      </c>
      <c r="H21" s="154">
        <v>705</v>
      </c>
      <c r="I21" s="159"/>
      <c r="J21" s="159">
        <v>0</v>
      </c>
      <c r="K21" s="153"/>
      <c r="L21" s="153"/>
      <c r="M21" s="127"/>
      <c r="N21" s="153" t="s">
        <v>2408</v>
      </c>
      <c r="O21" s="156">
        <v>46321</v>
      </c>
      <c r="P21" s="156">
        <v>46347</v>
      </c>
      <c r="Q21" s="156"/>
      <c r="R21" s="156"/>
      <c r="S21" s="154">
        <v>20</v>
      </c>
      <c r="T21" s="154">
        <v>20</v>
      </c>
      <c r="U21" s="153"/>
      <c r="V21" s="154">
        <v>140.30000000000001</v>
      </c>
      <c r="W21" s="154">
        <v>0</v>
      </c>
      <c r="X21" s="154">
        <v>140.30000000000001</v>
      </c>
      <c r="Y21" s="154">
        <v>0</v>
      </c>
      <c r="Z21" s="154"/>
      <c r="AA21" s="155">
        <v>10518.8</v>
      </c>
      <c r="AB21" s="155">
        <v>0</v>
      </c>
      <c r="AC21" s="155">
        <v>10518.8</v>
      </c>
      <c r="AD21" s="153">
        <v>14</v>
      </c>
      <c r="AE21" s="153">
        <v>46</v>
      </c>
      <c r="AF21" s="153">
        <v>56</v>
      </c>
      <c r="AG21" s="153">
        <v>106</v>
      </c>
      <c r="AH21" s="153"/>
      <c r="AI21" s="153"/>
      <c r="AJ21" s="153"/>
      <c r="AK21" s="153" t="s">
        <v>633</v>
      </c>
      <c r="AL21" s="153" t="s">
        <v>3123</v>
      </c>
      <c r="AM21" s="153" t="s">
        <v>3125</v>
      </c>
      <c r="AN21" s="153" t="s">
        <v>3126</v>
      </c>
      <c r="AO21" s="153"/>
      <c r="AP21" s="153"/>
      <c r="AQ21" s="156"/>
      <c r="AR21" s="153">
        <v>0</v>
      </c>
      <c r="AS21" s="153">
        <v>0</v>
      </c>
      <c r="AT21" s="153">
        <v>1</v>
      </c>
      <c r="AU21" s="153"/>
      <c r="AV21" s="153"/>
      <c r="AW21" s="153"/>
      <c r="AX21" s="153"/>
      <c r="AY21" s="153">
        <v>30</v>
      </c>
      <c r="AZ21" s="153"/>
      <c r="BA21" s="153">
        <v>44</v>
      </c>
      <c r="BB21" s="153"/>
      <c r="BC21" s="153"/>
      <c r="BD21" s="153"/>
      <c r="BE21" s="153"/>
      <c r="BF21" s="153"/>
      <c r="BG21" s="153"/>
      <c r="BH21" s="153"/>
      <c r="BI21" s="153" t="s">
        <v>493</v>
      </c>
      <c r="BJ21" s="153" t="s">
        <v>196</v>
      </c>
      <c r="BK21" s="153" t="s">
        <v>625</v>
      </c>
      <c r="BL21" s="153"/>
    </row>
    <row r="22" spans="1:64" s="58" customFormat="1" ht="18" customHeight="1">
      <c r="A22" s="153" t="s">
        <v>3127</v>
      </c>
      <c r="B22" s="153" t="s">
        <v>3122</v>
      </c>
      <c r="C22" s="164" t="s">
        <v>3128</v>
      </c>
      <c r="D22" s="164" t="s">
        <v>83</v>
      </c>
      <c r="E22" s="153"/>
      <c r="F22" s="153" t="s">
        <v>3063</v>
      </c>
      <c r="G22" s="159">
        <v>700</v>
      </c>
      <c r="H22" s="154">
        <v>661</v>
      </c>
      <c r="I22" s="159"/>
      <c r="J22" s="159">
        <v>0</v>
      </c>
      <c r="K22" s="153"/>
      <c r="L22" s="153"/>
      <c r="M22" s="127"/>
      <c r="N22" s="153" t="s">
        <v>2408</v>
      </c>
      <c r="O22" s="156">
        <v>46384</v>
      </c>
      <c r="P22" s="156">
        <v>46471</v>
      </c>
      <c r="Q22" s="156"/>
      <c r="R22" s="156"/>
      <c r="S22" s="154">
        <v>63</v>
      </c>
      <c r="T22" s="154">
        <v>63</v>
      </c>
      <c r="U22" s="153"/>
      <c r="V22" s="154">
        <v>197.6</v>
      </c>
      <c r="W22" s="154">
        <v>0</v>
      </c>
      <c r="X22" s="154">
        <v>197.6</v>
      </c>
      <c r="Y22" s="154">
        <v>0</v>
      </c>
      <c r="Z22" s="154"/>
      <c r="AA22" s="155">
        <v>14821.9</v>
      </c>
      <c r="AB22" s="155">
        <v>0</v>
      </c>
      <c r="AC22" s="155">
        <v>14821.9</v>
      </c>
      <c r="AD22" s="153"/>
      <c r="AE22" s="153"/>
      <c r="AF22" s="153"/>
      <c r="AG22" s="153"/>
      <c r="AH22" s="153"/>
      <c r="AI22" s="153"/>
      <c r="AJ22" s="153"/>
      <c r="AK22" s="153" t="s">
        <v>633</v>
      </c>
      <c r="AL22" s="153" t="s">
        <v>3123</v>
      </c>
      <c r="AM22" s="153" t="s">
        <v>3128</v>
      </c>
      <c r="AN22" s="153"/>
      <c r="AO22" s="153"/>
      <c r="AP22" s="153"/>
      <c r="AQ22" s="156"/>
      <c r="AR22" s="153"/>
      <c r="AS22" s="153"/>
      <c r="AT22" s="153"/>
      <c r="AU22" s="153"/>
      <c r="AV22" s="153"/>
      <c r="AW22" s="153"/>
      <c r="AX22" s="153"/>
      <c r="AY22" s="153"/>
      <c r="AZ22" s="153"/>
      <c r="BA22" s="153">
        <v>44</v>
      </c>
      <c r="BB22" s="153"/>
      <c r="BC22" s="153"/>
      <c r="BD22" s="153"/>
      <c r="BE22" s="153"/>
      <c r="BF22" s="153"/>
      <c r="BG22" s="153"/>
      <c r="BH22" s="153"/>
      <c r="BI22" s="153"/>
      <c r="BJ22" s="153"/>
      <c r="BK22" s="153" t="s">
        <v>625</v>
      </c>
      <c r="BL22" s="153"/>
    </row>
    <row r="23" spans="1:64" s="58" customFormat="1" ht="18" customHeight="1">
      <c r="A23" s="153">
        <v>3957</v>
      </c>
      <c r="B23" s="153" t="s">
        <v>3127</v>
      </c>
      <c r="C23" s="176" t="s">
        <v>3110</v>
      </c>
      <c r="D23" s="176" t="s">
        <v>84</v>
      </c>
      <c r="E23" s="153" t="s">
        <v>84</v>
      </c>
      <c r="F23" s="153" t="s">
        <v>3129</v>
      </c>
      <c r="G23" s="159">
        <v>750</v>
      </c>
      <c r="H23" s="154">
        <v>711</v>
      </c>
      <c r="I23" s="159"/>
      <c r="J23" s="159">
        <v>0</v>
      </c>
      <c r="K23" s="153"/>
      <c r="L23" s="153"/>
      <c r="M23" s="127"/>
      <c r="N23" s="153" t="s">
        <v>2408</v>
      </c>
      <c r="O23" s="156">
        <v>46384</v>
      </c>
      <c r="P23" s="156">
        <v>46424</v>
      </c>
      <c r="Q23" s="156"/>
      <c r="R23" s="156"/>
      <c r="S23" s="154">
        <v>29</v>
      </c>
      <c r="T23" s="154">
        <v>29</v>
      </c>
      <c r="U23" s="153"/>
      <c r="V23" s="154">
        <v>197.6</v>
      </c>
      <c r="W23" s="154">
        <v>0</v>
      </c>
      <c r="X23" s="154">
        <v>197.6</v>
      </c>
      <c r="Y23" s="154">
        <v>0</v>
      </c>
      <c r="Z23" s="154"/>
      <c r="AA23" s="155">
        <v>14821.9</v>
      </c>
      <c r="AB23" s="155">
        <v>0</v>
      </c>
      <c r="AC23" s="155">
        <v>14821.9</v>
      </c>
      <c r="AD23" s="153">
        <v>15</v>
      </c>
      <c r="AE23" s="153">
        <v>47</v>
      </c>
      <c r="AF23" s="153">
        <v>57</v>
      </c>
      <c r="AG23" s="153">
        <v>107</v>
      </c>
      <c r="AH23" s="153"/>
      <c r="AI23" s="153"/>
      <c r="AJ23" s="153"/>
      <c r="AK23" s="153" t="s">
        <v>633</v>
      </c>
      <c r="AL23" s="153" t="s">
        <v>3123</v>
      </c>
      <c r="AM23" s="153" t="s">
        <v>3128</v>
      </c>
      <c r="AN23" s="153" t="s">
        <v>3110</v>
      </c>
      <c r="AO23" s="153"/>
      <c r="AP23" s="153"/>
      <c r="AQ23" s="156"/>
      <c r="AR23" s="153">
        <v>0</v>
      </c>
      <c r="AS23" s="153">
        <v>0</v>
      </c>
      <c r="AT23" s="153">
        <v>1</v>
      </c>
      <c r="AU23" s="153"/>
      <c r="AV23" s="153"/>
      <c r="AW23" s="153"/>
      <c r="AX23" s="153"/>
      <c r="AY23" s="153">
        <v>30</v>
      </c>
      <c r="AZ23" s="153"/>
      <c r="BA23" s="153">
        <v>44</v>
      </c>
      <c r="BB23" s="153"/>
      <c r="BC23" s="153"/>
      <c r="BD23" s="153"/>
      <c r="BE23" s="153"/>
      <c r="BF23" s="153"/>
      <c r="BG23" s="153"/>
      <c r="BH23" s="153"/>
      <c r="BI23" s="153" t="s">
        <v>493</v>
      </c>
      <c r="BJ23" s="153" t="s">
        <v>196</v>
      </c>
      <c r="BK23" s="153" t="s">
        <v>625</v>
      </c>
      <c r="BL23" s="153"/>
    </row>
    <row r="24" spans="1:64" s="58" customFormat="1" ht="18" customHeight="1">
      <c r="A24" s="153">
        <v>3962</v>
      </c>
      <c r="B24" s="153" t="s">
        <v>3092</v>
      </c>
      <c r="C24" s="176" t="s">
        <v>3130</v>
      </c>
      <c r="D24" s="176" t="s">
        <v>708</v>
      </c>
      <c r="E24" s="153"/>
      <c r="F24" s="153" t="s">
        <v>1090</v>
      </c>
      <c r="G24" s="159">
        <v>360</v>
      </c>
      <c r="H24" s="154">
        <v>402</v>
      </c>
      <c r="I24" s="159"/>
      <c r="J24" s="159">
        <v>0</v>
      </c>
      <c r="K24" s="153"/>
      <c r="L24" s="153"/>
      <c r="M24" s="127"/>
      <c r="N24" s="153" t="s">
        <v>2408</v>
      </c>
      <c r="O24" s="156">
        <v>46428</v>
      </c>
      <c r="P24" s="156">
        <v>46503</v>
      </c>
      <c r="Q24" s="156"/>
      <c r="R24" s="156"/>
      <c r="S24" s="154">
        <v>52</v>
      </c>
      <c r="T24" s="154">
        <v>52</v>
      </c>
      <c r="U24" s="153"/>
      <c r="V24" s="154">
        <v>0</v>
      </c>
      <c r="W24" s="154">
        <v>0</v>
      </c>
      <c r="X24" s="154">
        <v>0</v>
      </c>
      <c r="Y24" s="154">
        <v>0</v>
      </c>
      <c r="Z24" s="154"/>
      <c r="AA24" s="155">
        <v>0</v>
      </c>
      <c r="AB24" s="155">
        <v>0</v>
      </c>
      <c r="AC24" s="155">
        <v>0</v>
      </c>
      <c r="AD24" s="153">
        <v>16</v>
      </c>
      <c r="AE24" s="153">
        <v>48</v>
      </c>
      <c r="AF24" s="153">
        <v>58</v>
      </c>
      <c r="AG24" s="153">
        <v>108</v>
      </c>
      <c r="AH24" s="153"/>
      <c r="AI24" s="153"/>
      <c r="AJ24" s="153"/>
      <c r="AK24" s="153" t="s">
        <v>633</v>
      </c>
      <c r="AL24" s="153" t="s">
        <v>3105</v>
      </c>
      <c r="AM24" s="153" t="s">
        <v>1638</v>
      </c>
      <c r="AN24" s="153"/>
      <c r="AO24" s="153"/>
      <c r="AP24" s="153"/>
      <c r="AQ24" s="156"/>
      <c r="AR24" s="153">
        <v>0</v>
      </c>
      <c r="AS24" s="153">
        <v>0</v>
      </c>
      <c r="AT24" s="153">
        <v>1</v>
      </c>
      <c r="AU24" s="153"/>
      <c r="AV24" s="153"/>
      <c r="AW24" s="153"/>
      <c r="AX24" s="153"/>
      <c r="AY24" s="153"/>
      <c r="AZ24" s="153"/>
      <c r="BA24" s="153">
        <v>44</v>
      </c>
      <c r="BB24" s="153"/>
      <c r="BC24" s="153"/>
      <c r="BD24" s="153"/>
      <c r="BE24" s="153"/>
      <c r="BF24" s="153"/>
      <c r="BG24" s="153"/>
      <c r="BH24" s="153"/>
      <c r="BI24" s="153"/>
      <c r="BJ24" s="153"/>
      <c r="BK24" s="153" t="s">
        <v>625</v>
      </c>
      <c r="BL24" s="153"/>
    </row>
    <row r="25" spans="1:64" s="58" customFormat="1" ht="18" customHeight="1">
      <c r="A25" s="153">
        <v>3963</v>
      </c>
      <c r="B25" s="153" t="s">
        <v>3112</v>
      </c>
      <c r="C25" s="176" t="s">
        <v>1689</v>
      </c>
      <c r="D25" s="176" t="s">
        <v>708</v>
      </c>
      <c r="E25" s="153"/>
      <c r="F25" s="153" t="s">
        <v>3131</v>
      </c>
      <c r="G25" s="159">
        <v>347</v>
      </c>
      <c r="H25" s="154">
        <v>389</v>
      </c>
      <c r="I25" s="159"/>
      <c r="J25" s="159">
        <v>0</v>
      </c>
      <c r="K25" s="153"/>
      <c r="L25" s="153"/>
      <c r="M25" s="127"/>
      <c r="N25" s="153" t="s">
        <v>2408</v>
      </c>
      <c r="O25" s="156">
        <v>46378</v>
      </c>
      <c r="P25" s="156">
        <v>46439</v>
      </c>
      <c r="Q25" s="156"/>
      <c r="R25" s="156"/>
      <c r="S25" s="154">
        <v>42</v>
      </c>
      <c r="T25" s="154">
        <v>42</v>
      </c>
      <c r="U25" s="153"/>
      <c r="V25" s="154">
        <v>0</v>
      </c>
      <c r="W25" s="154">
        <v>0</v>
      </c>
      <c r="X25" s="154">
        <v>0</v>
      </c>
      <c r="Y25" s="154">
        <v>0</v>
      </c>
      <c r="Z25" s="154"/>
      <c r="AA25" s="155">
        <v>0</v>
      </c>
      <c r="AB25" s="155">
        <v>0</v>
      </c>
      <c r="AC25" s="155">
        <v>0</v>
      </c>
      <c r="AD25" s="153">
        <v>17</v>
      </c>
      <c r="AE25" s="153">
        <v>49</v>
      </c>
      <c r="AF25" s="153">
        <v>59</v>
      </c>
      <c r="AG25" s="153">
        <v>109</v>
      </c>
      <c r="AH25" s="153"/>
      <c r="AI25" s="153"/>
      <c r="AJ25" s="153"/>
      <c r="AK25" s="153" t="s">
        <v>633</v>
      </c>
      <c r="AL25" s="153" t="s">
        <v>3113</v>
      </c>
      <c r="AM25" s="153" t="s">
        <v>1689</v>
      </c>
      <c r="AN25" s="153"/>
      <c r="AO25" s="153"/>
      <c r="AP25" s="153"/>
      <c r="AQ25" s="156"/>
      <c r="AR25" s="153">
        <v>0</v>
      </c>
      <c r="AS25" s="153">
        <v>0</v>
      </c>
      <c r="AT25" s="153">
        <v>1</v>
      </c>
      <c r="AU25" s="153"/>
      <c r="AV25" s="153"/>
      <c r="AW25" s="153"/>
      <c r="AX25" s="153"/>
      <c r="AY25" s="153"/>
      <c r="AZ25" s="153"/>
      <c r="BA25" s="153">
        <v>44</v>
      </c>
      <c r="BB25" s="153"/>
      <c r="BC25" s="153"/>
      <c r="BD25" s="153"/>
      <c r="BE25" s="153"/>
      <c r="BF25" s="153"/>
      <c r="BG25" s="153"/>
      <c r="BH25" s="153"/>
      <c r="BI25" s="153"/>
      <c r="BJ25" s="153"/>
      <c r="BK25" s="153" t="s">
        <v>625</v>
      </c>
      <c r="BL25" s="153"/>
    </row>
    <row r="26" spans="1:64" s="58" customFormat="1" ht="18" customHeight="1">
      <c r="A26" s="153">
        <v>16054</v>
      </c>
      <c r="B26" s="153" t="s">
        <v>3094</v>
      </c>
      <c r="C26" s="176" t="s">
        <v>3132</v>
      </c>
      <c r="D26" s="176" t="s">
        <v>84</v>
      </c>
      <c r="E26" s="153" t="s">
        <v>84</v>
      </c>
      <c r="F26" s="153" t="s">
        <v>1128</v>
      </c>
      <c r="G26" s="159">
        <v>161</v>
      </c>
      <c r="H26" s="154">
        <v>197</v>
      </c>
      <c r="I26" s="159"/>
      <c r="J26" s="159">
        <v>0</v>
      </c>
      <c r="K26" s="153">
        <v>3773</v>
      </c>
      <c r="L26" s="153"/>
      <c r="M26" s="127"/>
      <c r="N26" s="153" t="s">
        <v>2408</v>
      </c>
      <c r="O26" s="156">
        <v>46312</v>
      </c>
      <c r="P26" s="156">
        <v>46325</v>
      </c>
      <c r="Q26" s="156"/>
      <c r="R26" s="156"/>
      <c r="S26" s="154">
        <v>10</v>
      </c>
      <c r="T26" s="154">
        <v>10</v>
      </c>
      <c r="U26" s="153"/>
      <c r="V26" s="154">
        <v>8</v>
      </c>
      <c r="W26" s="154">
        <v>0</v>
      </c>
      <c r="X26" s="154">
        <v>8</v>
      </c>
      <c r="Y26" s="154">
        <v>0</v>
      </c>
      <c r="Z26" s="154"/>
      <c r="AA26" s="155">
        <v>800</v>
      </c>
      <c r="AB26" s="155">
        <v>0</v>
      </c>
      <c r="AC26" s="155">
        <v>800</v>
      </c>
      <c r="AD26" s="153">
        <v>18</v>
      </c>
      <c r="AE26" s="153">
        <v>50</v>
      </c>
      <c r="AF26" s="153">
        <v>60</v>
      </c>
      <c r="AG26" s="153">
        <v>110</v>
      </c>
      <c r="AH26" s="153"/>
      <c r="AI26" s="153"/>
      <c r="AJ26" s="153"/>
      <c r="AK26" s="153" t="s">
        <v>633</v>
      </c>
      <c r="AL26" s="153" t="s">
        <v>3105</v>
      </c>
      <c r="AM26" s="153" t="s">
        <v>1685</v>
      </c>
      <c r="AN26" s="153" t="s">
        <v>3132</v>
      </c>
      <c r="AO26" s="153"/>
      <c r="AP26" s="153"/>
      <c r="AQ26" s="156"/>
      <c r="AR26" s="153">
        <v>0</v>
      </c>
      <c r="AS26" s="153">
        <v>0</v>
      </c>
      <c r="AT26" s="153">
        <v>1</v>
      </c>
      <c r="AU26" s="153"/>
      <c r="AV26" s="153"/>
      <c r="AW26" s="153"/>
      <c r="AX26" s="153"/>
      <c r="AY26" s="153">
        <v>30</v>
      </c>
      <c r="AZ26" s="153"/>
      <c r="BA26" s="153">
        <v>44</v>
      </c>
      <c r="BB26" s="153"/>
      <c r="BC26" s="153"/>
      <c r="BD26" s="153"/>
      <c r="BE26" s="153"/>
      <c r="BF26" s="153"/>
      <c r="BG26" s="153"/>
      <c r="BH26" s="153"/>
      <c r="BI26" s="153" t="s">
        <v>196</v>
      </c>
      <c r="BJ26" s="153"/>
      <c r="BK26" s="153"/>
      <c r="BL26" s="153"/>
    </row>
    <row r="27" spans="1:64" s="58" customFormat="1" ht="18" customHeight="1">
      <c r="A27" s="153">
        <v>16055</v>
      </c>
      <c r="B27" s="153" t="s">
        <v>3094</v>
      </c>
      <c r="C27" s="176" t="s">
        <v>3133</v>
      </c>
      <c r="D27" s="176" t="s">
        <v>84</v>
      </c>
      <c r="E27" s="153" t="s">
        <v>84</v>
      </c>
      <c r="F27" s="153" t="s">
        <v>1123</v>
      </c>
      <c r="G27" s="159">
        <v>167</v>
      </c>
      <c r="H27" s="154">
        <v>197</v>
      </c>
      <c r="I27" s="159"/>
      <c r="J27" s="159">
        <v>0</v>
      </c>
      <c r="K27" s="153">
        <v>16054</v>
      </c>
      <c r="L27" s="153"/>
      <c r="M27" s="127"/>
      <c r="N27" s="153" t="s">
        <v>2408</v>
      </c>
      <c r="O27" s="156">
        <v>46331</v>
      </c>
      <c r="P27" s="156">
        <v>46343</v>
      </c>
      <c r="Q27" s="156"/>
      <c r="R27" s="156"/>
      <c r="S27" s="154">
        <v>9</v>
      </c>
      <c r="T27" s="154">
        <v>9</v>
      </c>
      <c r="U27" s="153"/>
      <c r="V27" s="154">
        <v>36</v>
      </c>
      <c r="W27" s="154">
        <v>0</v>
      </c>
      <c r="X27" s="154">
        <v>36</v>
      </c>
      <c r="Y27" s="154">
        <v>0</v>
      </c>
      <c r="Z27" s="154"/>
      <c r="AA27" s="155">
        <v>1800</v>
      </c>
      <c r="AB27" s="155">
        <v>0</v>
      </c>
      <c r="AC27" s="155">
        <v>1800</v>
      </c>
      <c r="AD27" s="153">
        <v>19</v>
      </c>
      <c r="AE27" s="153">
        <v>51</v>
      </c>
      <c r="AF27" s="153">
        <v>61</v>
      </c>
      <c r="AG27" s="153">
        <v>111</v>
      </c>
      <c r="AH27" s="153"/>
      <c r="AI27" s="153"/>
      <c r="AJ27" s="153"/>
      <c r="AK27" s="153" t="s">
        <v>633</v>
      </c>
      <c r="AL27" s="153" t="s">
        <v>3105</v>
      </c>
      <c r="AM27" s="153" t="s">
        <v>1685</v>
      </c>
      <c r="AN27" s="153" t="s">
        <v>3133</v>
      </c>
      <c r="AO27" s="153"/>
      <c r="AP27" s="153"/>
      <c r="AQ27" s="156"/>
      <c r="AR27" s="153">
        <v>0</v>
      </c>
      <c r="AS27" s="153">
        <v>0</v>
      </c>
      <c r="AT27" s="153">
        <v>1</v>
      </c>
      <c r="AU27" s="153"/>
      <c r="AV27" s="153"/>
      <c r="AW27" s="153"/>
      <c r="AX27" s="153"/>
      <c r="AY27" s="153">
        <v>30</v>
      </c>
      <c r="AZ27" s="153"/>
      <c r="BA27" s="153">
        <v>44</v>
      </c>
      <c r="BB27" s="153"/>
      <c r="BC27" s="153"/>
      <c r="BD27" s="153"/>
      <c r="BE27" s="153"/>
      <c r="BF27" s="153"/>
      <c r="BG27" s="153"/>
      <c r="BH27" s="153"/>
      <c r="BI27" s="153" t="s">
        <v>196</v>
      </c>
      <c r="BJ27" s="153"/>
      <c r="BK27" s="153"/>
      <c r="BL27" s="153"/>
    </row>
    <row r="28" spans="1:64" s="58" customFormat="1" ht="18" customHeight="1">
      <c r="A28" s="153">
        <v>16056</v>
      </c>
      <c r="B28" s="153" t="s">
        <v>3094</v>
      </c>
      <c r="C28" s="176" t="s">
        <v>3134</v>
      </c>
      <c r="D28" s="176" t="s">
        <v>84</v>
      </c>
      <c r="E28" s="153" t="s">
        <v>484</v>
      </c>
      <c r="F28" s="153" t="s">
        <v>3135</v>
      </c>
      <c r="G28" s="159">
        <v>285</v>
      </c>
      <c r="H28" s="154">
        <v>303</v>
      </c>
      <c r="I28" s="159"/>
      <c r="J28" s="159">
        <v>0</v>
      </c>
      <c r="K28" s="153"/>
      <c r="L28" s="153"/>
      <c r="M28" s="127"/>
      <c r="N28" s="153" t="s">
        <v>2408</v>
      </c>
      <c r="O28" s="156">
        <v>46293</v>
      </c>
      <c r="P28" s="156">
        <v>46300</v>
      </c>
      <c r="Q28" s="156"/>
      <c r="R28" s="156"/>
      <c r="S28" s="154">
        <v>6</v>
      </c>
      <c r="T28" s="154">
        <v>6</v>
      </c>
      <c r="U28" s="153"/>
      <c r="V28" s="154">
        <v>0</v>
      </c>
      <c r="W28" s="154">
        <v>0</v>
      </c>
      <c r="X28" s="154">
        <v>0</v>
      </c>
      <c r="Y28" s="154">
        <v>0</v>
      </c>
      <c r="Z28" s="154"/>
      <c r="AA28" s="155">
        <v>0</v>
      </c>
      <c r="AB28" s="155">
        <v>0</v>
      </c>
      <c r="AC28" s="155">
        <v>0</v>
      </c>
      <c r="AD28" s="153">
        <v>20</v>
      </c>
      <c r="AE28" s="153">
        <v>52</v>
      </c>
      <c r="AF28" s="153">
        <v>62</v>
      </c>
      <c r="AG28" s="153">
        <v>112</v>
      </c>
      <c r="AH28" s="153"/>
      <c r="AI28" s="153"/>
      <c r="AJ28" s="153"/>
      <c r="AK28" s="153" t="s">
        <v>633</v>
      </c>
      <c r="AL28" s="153" t="s">
        <v>3105</v>
      </c>
      <c r="AM28" s="153" t="s">
        <v>1685</v>
      </c>
      <c r="AN28" s="153" t="s">
        <v>3134</v>
      </c>
      <c r="AO28" s="153"/>
      <c r="AP28" s="153"/>
      <c r="AQ28" s="156"/>
      <c r="AR28" s="153">
        <v>0</v>
      </c>
      <c r="AS28" s="153">
        <v>0</v>
      </c>
      <c r="AT28" s="153">
        <v>1</v>
      </c>
      <c r="AU28" s="153"/>
      <c r="AV28" s="153"/>
      <c r="AW28" s="153"/>
      <c r="AX28" s="153"/>
      <c r="AY28" s="153">
        <v>30</v>
      </c>
      <c r="AZ28" s="153"/>
      <c r="BA28" s="153">
        <v>44</v>
      </c>
      <c r="BB28" s="153"/>
      <c r="BC28" s="153"/>
      <c r="BD28" s="153"/>
      <c r="BE28" s="153"/>
      <c r="BF28" s="153"/>
      <c r="BG28" s="153"/>
      <c r="BH28" s="153"/>
      <c r="BI28" s="153" t="s">
        <v>196</v>
      </c>
      <c r="BJ28" s="153"/>
      <c r="BK28" s="153"/>
      <c r="BL28" s="153"/>
    </row>
    <row r="29" spans="1:64" s="58" customFormat="1" ht="18" customHeight="1">
      <c r="A29" s="153">
        <v>16057</v>
      </c>
      <c r="B29" s="153" t="s">
        <v>3114</v>
      </c>
      <c r="C29" s="176" t="s">
        <v>3136</v>
      </c>
      <c r="D29" s="176" t="s">
        <v>84</v>
      </c>
      <c r="E29" s="153" t="s">
        <v>84</v>
      </c>
      <c r="F29" s="153" t="s">
        <v>3137</v>
      </c>
      <c r="G29" s="159">
        <v>494</v>
      </c>
      <c r="H29" s="154">
        <v>512</v>
      </c>
      <c r="I29" s="159"/>
      <c r="J29" s="159">
        <v>0</v>
      </c>
      <c r="K29" s="153">
        <v>3775</v>
      </c>
      <c r="L29" s="153"/>
      <c r="M29" s="127"/>
      <c r="N29" s="153" t="s">
        <v>2408</v>
      </c>
      <c r="O29" s="156">
        <v>46331</v>
      </c>
      <c r="P29" s="156">
        <v>46350</v>
      </c>
      <c r="Q29" s="156"/>
      <c r="R29" s="156"/>
      <c r="S29" s="154">
        <v>14</v>
      </c>
      <c r="T29" s="154">
        <v>14</v>
      </c>
      <c r="U29" s="153"/>
      <c r="V29" s="154">
        <v>0</v>
      </c>
      <c r="W29" s="154">
        <v>0</v>
      </c>
      <c r="X29" s="154">
        <v>0</v>
      </c>
      <c r="Y29" s="154">
        <v>0</v>
      </c>
      <c r="Z29" s="154"/>
      <c r="AA29" s="155">
        <v>0</v>
      </c>
      <c r="AB29" s="155">
        <v>0</v>
      </c>
      <c r="AC29" s="155">
        <v>0</v>
      </c>
      <c r="AD29" s="153">
        <v>21</v>
      </c>
      <c r="AE29" s="153">
        <v>53</v>
      </c>
      <c r="AF29" s="153">
        <v>63</v>
      </c>
      <c r="AG29" s="153">
        <v>113</v>
      </c>
      <c r="AH29" s="153"/>
      <c r="AI29" s="153"/>
      <c r="AJ29" s="153"/>
      <c r="AK29" s="153" t="s">
        <v>633</v>
      </c>
      <c r="AL29" s="153" t="s">
        <v>3113</v>
      </c>
      <c r="AM29" s="153" t="s">
        <v>3115</v>
      </c>
      <c r="AN29" s="153" t="s">
        <v>3136</v>
      </c>
      <c r="AO29" s="153"/>
      <c r="AP29" s="153"/>
      <c r="AQ29" s="156"/>
      <c r="AR29" s="153">
        <v>0</v>
      </c>
      <c r="AS29" s="153">
        <v>0</v>
      </c>
      <c r="AT29" s="153">
        <v>1</v>
      </c>
      <c r="AU29" s="153"/>
      <c r="AV29" s="153"/>
      <c r="AW29" s="153"/>
      <c r="AX29" s="153"/>
      <c r="AY29" s="153">
        <v>30</v>
      </c>
      <c r="AZ29" s="153"/>
      <c r="BA29" s="153">
        <v>44</v>
      </c>
      <c r="BB29" s="153"/>
      <c r="BC29" s="153"/>
      <c r="BD29" s="153"/>
      <c r="BE29" s="153"/>
      <c r="BF29" s="153"/>
      <c r="BG29" s="153"/>
      <c r="BH29" s="153"/>
      <c r="BI29" s="153" t="s">
        <v>196</v>
      </c>
      <c r="BJ29" s="153"/>
      <c r="BK29" s="153"/>
      <c r="BL29" s="153"/>
    </row>
    <row r="30" spans="1:64" s="58" customFormat="1" ht="18" customHeight="1">
      <c r="A30" s="153">
        <v>27500</v>
      </c>
      <c r="B30" s="153" t="s">
        <v>3094</v>
      </c>
      <c r="C30" s="176" t="s">
        <v>3138</v>
      </c>
      <c r="D30" s="176" t="s">
        <v>84</v>
      </c>
      <c r="E30" s="153" t="s">
        <v>485</v>
      </c>
      <c r="F30" s="153" t="s">
        <v>3139</v>
      </c>
      <c r="G30" s="159">
        <v>239</v>
      </c>
      <c r="H30" s="154">
        <v>257</v>
      </c>
      <c r="I30" s="159"/>
      <c r="J30" s="159">
        <v>0</v>
      </c>
      <c r="K30" s="153"/>
      <c r="L30" s="153"/>
      <c r="M30" s="127"/>
      <c r="N30" s="153" t="s">
        <v>2408</v>
      </c>
      <c r="O30" s="156">
        <v>46293</v>
      </c>
      <c r="P30" s="156">
        <v>46300</v>
      </c>
      <c r="Q30" s="156"/>
      <c r="R30" s="156"/>
      <c r="S30" s="154">
        <v>6</v>
      </c>
      <c r="T30" s="154">
        <v>6</v>
      </c>
      <c r="U30" s="153"/>
      <c r="V30" s="154">
        <v>0</v>
      </c>
      <c r="W30" s="154">
        <v>0</v>
      </c>
      <c r="X30" s="154">
        <v>0</v>
      </c>
      <c r="Y30" s="154">
        <v>0</v>
      </c>
      <c r="Z30" s="154"/>
      <c r="AA30" s="155">
        <v>0</v>
      </c>
      <c r="AB30" s="155">
        <v>0</v>
      </c>
      <c r="AC30" s="155">
        <v>0</v>
      </c>
      <c r="AD30" s="153">
        <v>22</v>
      </c>
      <c r="AE30" s="153">
        <v>54</v>
      </c>
      <c r="AF30" s="153">
        <v>64</v>
      </c>
      <c r="AG30" s="153">
        <v>114</v>
      </c>
      <c r="AH30" s="153"/>
      <c r="AI30" s="153"/>
      <c r="AJ30" s="153"/>
      <c r="AK30" s="153" t="s">
        <v>633</v>
      </c>
      <c r="AL30" s="153" t="s">
        <v>3105</v>
      </c>
      <c r="AM30" s="153" t="s">
        <v>1685</v>
      </c>
      <c r="AN30" s="153" t="s">
        <v>3138</v>
      </c>
      <c r="AO30" s="153"/>
      <c r="AP30" s="153"/>
      <c r="AQ30" s="156"/>
      <c r="AR30" s="153">
        <v>0</v>
      </c>
      <c r="AS30" s="153">
        <v>0</v>
      </c>
      <c r="AT30" s="153">
        <v>1</v>
      </c>
      <c r="AU30" s="153"/>
      <c r="AV30" s="153"/>
      <c r="AW30" s="153"/>
      <c r="AX30" s="153"/>
      <c r="AY30" s="153">
        <v>30</v>
      </c>
      <c r="AZ30" s="153"/>
      <c r="BA30" s="153">
        <v>44</v>
      </c>
      <c r="BB30" s="153"/>
      <c r="BC30" s="153"/>
      <c r="BD30" s="153"/>
      <c r="BE30" s="153"/>
      <c r="BF30" s="153"/>
      <c r="BG30" s="153"/>
      <c r="BH30" s="153"/>
      <c r="BI30" s="153" t="s">
        <v>196</v>
      </c>
      <c r="BJ30" s="153"/>
      <c r="BK30" s="153"/>
      <c r="BL30" s="153"/>
    </row>
    <row r="31" spans="1:64" s="58" customFormat="1" ht="18" customHeight="1">
      <c r="A31" s="153">
        <v>2752066</v>
      </c>
      <c r="B31" s="153" t="s">
        <v>3093</v>
      </c>
      <c r="C31" s="176" t="s">
        <v>3140</v>
      </c>
      <c r="D31" s="176" t="s">
        <v>84</v>
      </c>
      <c r="E31" s="153" t="s">
        <v>1206</v>
      </c>
      <c r="F31" s="153" t="s">
        <v>1060</v>
      </c>
      <c r="G31" s="159">
        <v>325</v>
      </c>
      <c r="H31" s="154">
        <v>355</v>
      </c>
      <c r="I31" s="159"/>
      <c r="J31" s="159">
        <v>0</v>
      </c>
      <c r="K31" s="153"/>
      <c r="L31" s="153"/>
      <c r="M31" s="127">
        <v>0</v>
      </c>
      <c r="N31" s="153" t="s">
        <v>2408</v>
      </c>
      <c r="O31" s="156">
        <v>46293</v>
      </c>
      <c r="P31" s="156">
        <v>46300</v>
      </c>
      <c r="Q31" s="156"/>
      <c r="R31" s="156"/>
      <c r="S31" s="154">
        <v>6</v>
      </c>
      <c r="T31" s="154">
        <v>6</v>
      </c>
      <c r="U31" s="153"/>
      <c r="V31" s="154">
        <v>0</v>
      </c>
      <c r="W31" s="154">
        <v>0</v>
      </c>
      <c r="X31" s="154">
        <v>0</v>
      </c>
      <c r="Y31" s="154">
        <v>0</v>
      </c>
      <c r="Z31" s="154"/>
      <c r="AA31" s="155">
        <v>0</v>
      </c>
      <c r="AB31" s="155">
        <v>0</v>
      </c>
      <c r="AC31" s="155">
        <v>0</v>
      </c>
      <c r="AD31" s="153"/>
      <c r="AE31" s="153"/>
      <c r="AF31" s="153"/>
      <c r="AG31" s="153"/>
      <c r="AH31" s="153"/>
      <c r="AI31" s="153"/>
      <c r="AJ31" s="153"/>
      <c r="AK31" s="153" t="s">
        <v>633</v>
      </c>
      <c r="AL31" s="153" t="s">
        <v>3105</v>
      </c>
      <c r="AM31" s="153"/>
      <c r="AN31" s="153" t="s">
        <v>3140</v>
      </c>
      <c r="AO31" s="153"/>
      <c r="AP31" s="153"/>
      <c r="AQ31" s="156"/>
      <c r="AR31" s="153">
        <v>0</v>
      </c>
      <c r="AS31" s="153">
        <v>0</v>
      </c>
      <c r="AT31" s="153">
        <v>1</v>
      </c>
      <c r="AU31" s="153"/>
      <c r="AV31" s="153"/>
      <c r="AW31" s="153"/>
      <c r="AX31" s="153"/>
      <c r="AY31" s="153">
        <v>30</v>
      </c>
      <c r="AZ31" s="153"/>
      <c r="BA31" s="153">
        <v>44</v>
      </c>
      <c r="BB31" s="153"/>
      <c r="BC31" s="153"/>
      <c r="BD31" s="153"/>
      <c r="BE31" s="153"/>
      <c r="BF31" s="153"/>
      <c r="BG31" s="153"/>
      <c r="BH31" s="153"/>
      <c r="BI31" s="153" t="s">
        <v>196</v>
      </c>
      <c r="BJ31" s="153"/>
      <c r="BK31" s="153"/>
      <c r="BL31" s="153"/>
    </row>
    <row r="32" spans="1:64" s="58" customFormat="1" ht="18" customHeight="1">
      <c r="A32" s="153">
        <v>91</v>
      </c>
      <c r="B32" s="153">
        <v>3773</v>
      </c>
      <c r="C32" s="176" t="s">
        <v>2440</v>
      </c>
      <c r="D32" s="176" t="s">
        <v>85</v>
      </c>
      <c r="E32" s="153"/>
      <c r="F32" s="153" t="s">
        <v>1131</v>
      </c>
      <c r="G32" s="159">
        <v>185</v>
      </c>
      <c r="H32" s="154"/>
      <c r="I32" s="159"/>
      <c r="J32" s="159"/>
      <c r="K32" s="153"/>
      <c r="L32" s="153"/>
      <c r="M32" s="127">
        <v>789</v>
      </c>
      <c r="N32" s="153" t="s">
        <v>2439</v>
      </c>
      <c r="O32" s="156">
        <v>46293</v>
      </c>
      <c r="P32" s="156">
        <v>46305</v>
      </c>
      <c r="Q32" s="156"/>
      <c r="R32" s="156"/>
      <c r="S32" s="154">
        <v>10</v>
      </c>
      <c r="T32" s="154">
        <v>10</v>
      </c>
      <c r="U32" s="153">
        <v>0</v>
      </c>
      <c r="V32" s="154">
        <v>20</v>
      </c>
      <c r="W32" s="154">
        <v>0</v>
      </c>
      <c r="X32" s="154">
        <v>20</v>
      </c>
      <c r="Y32" s="154">
        <v>0</v>
      </c>
      <c r="Z32" s="154">
        <v>0</v>
      </c>
      <c r="AA32" s="155">
        <v>1500</v>
      </c>
      <c r="AB32" s="155">
        <v>0</v>
      </c>
      <c r="AC32" s="155">
        <v>1500</v>
      </c>
      <c r="AD32" s="153">
        <v>8</v>
      </c>
      <c r="AE32" s="153">
        <v>2</v>
      </c>
      <c r="AF32" s="153">
        <v>25</v>
      </c>
      <c r="AG32" s="153">
        <v>75</v>
      </c>
      <c r="AH32" s="153"/>
      <c r="AI32" s="153" t="s">
        <v>581</v>
      </c>
      <c r="AJ32" s="153"/>
      <c r="AK32" s="153" t="s">
        <v>633</v>
      </c>
      <c r="AL32" s="153" t="s">
        <v>3105</v>
      </c>
      <c r="AM32" s="153" t="s">
        <v>1685</v>
      </c>
      <c r="AN32" s="153" t="s">
        <v>3106</v>
      </c>
      <c r="AO32" s="153" t="s">
        <v>2440</v>
      </c>
      <c r="AP32" s="153"/>
      <c r="AQ32" s="156"/>
      <c r="AR32" s="153">
        <v>0</v>
      </c>
      <c r="AS32" s="153">
        <v>0</v>
      </c>
      <c r="AT32" s="153">
        <v>1</v>
      </c>
      <c r="AU32" s="153"/>
      <c r="AV32" s="153"/>
      <c r="AW32" s="153"/>
      <c r="AX32" s="153"/>
      <c r="AY32" s="153"/>
      <c r="AZ32" s="153"/>
      <c r="BA32" s="153">
        <v>44</v>
      </c>
      <c r="BB32" s="153"/>
      <c r="BC32" s="153"/>
      <c r="BD32" s="153"/>
      <c r="BE32" s="153"/>
      <c r="BF32" s="153"/>
      <c r="BG32" s="153"/>
      <c r="BH32" s="153"/>
      <c r="BI32" s="153" t="s">
        <v>196</v>
      </c>
      <c r="BJ32" s="153"/>
      <c r="BK32" s="153"/>
      <c r="BL32" s="153"/>
    </row>
    <row r="33" spans="1:64" s="58" customFormat="1" ht="18" customHeight="1">
      <c r="A33" s="153">
        <v>92</v>
      </c>
      <c r="B33" s="153">
        <v>16054</v>
      </c>
      <c r="C33" s="176" t="s">
        <v>2444</v>
      </c>
      <c r="D33" s="176" t="s">
        <v>85</v>
      </c>
      <c r="E33" s="153"/>
      <c r="F33" s="153" t="s">
        <v>1126</v>
      </c>
      <c r="G33" s="159">
        <v>191</v>
      </c>
      <c r="H33" s="154"/>
      <c r="I33" s="159"/>
      <c r="J33" s="159"/>
      <c r="K33" s="153"/>
      <c r="L33" s="153"/>
      <c r="M33" s="127">
        <v>773</v>
      </c>
      <c r="N33" s="153" t="s">
        <v>2155</v>
      </c>
      <c r="O33" s="156">
        <v>46312</v>
      </c>
      <c r="P33" s="156">
        <v>46325</v>
      </c>
      <c r="Q33" s="156"/>
      <c r="R33" s="156"/>
      <c r="S33" s="154">
        <v>10</v>
      </c>
      <c r="T33" s="154">
        <v>10</v>
      </c>
      <c r="U33" s="153">
        <v>0</v>
      </c>
      <c r="V33" s="154">
        <v>8</v>
      </c>
      <c r="W33" s="154">
        <v>0</v>
      </c>
      <c r="X33" s="154">
        <v>8</v>
      </c>
      <c r="Y33" s="154">
        <v>0</v>
      </c>
      <c r="Z33" s="154">
        <v>0</v>
      </c>
      <c r="AA33" s="155">
        <v>800</v>
      </c>
      <c r="AB33" s="155">
        <v>0</v>
      </c>
      <c r="AC33" s="155">
        <v>800</v>
      </c>
      <c r="AD33" s="153">
        <v>8</v>
      </c>
      <c r="AE33" s="153">
        <v>0.8</v>
      </c>
      <c r="AF33" s="153">
        <v>10</v>
      </c>
      <c r="AG33" s="153">
        <v>100</v>
      </c>
      <c r="AH33" s="153"/>
      <c r="AI33" s="153" t="s">
        <v>581</v>
      </c>
      <c r="AJ33" s="153"/>
      <c r="AK33" s="153" t="s">
        <v>633</v>
      </c>
      <c r="AL33" s="153" t="s">
        <v>3105</v>
      </c>
      <c r="AM33" s="153" t="s">
        <v>1685</v>
      </c>
      <c r="AN33" s="153" t="s">
        <v>3132</v>
      </c>
      <c r="AO33" s="153" t="s">
        <v>2444</v>
      </c>
      <c r="AP33" s="153"/>
      <c r="AQ33" s="156"/>
      <c r="AR33" s="153">
        <v>0</v>
      </c>
      <c r="AS33" s="153">
        <v>0</v>
      </c>
      <c r="AT33" s="153">
        <v>1</v>
      </c>
      <c r="AU33" s="153"/>
      <c r="AV33" s="153"/>
      <c r="AW33" s="153"/>
      <c r="AX33" s="153"/>
      <c r="AY33" s="153"/>
      <c r="AZ33" s="153"/>
      <c r="BA33" s="153">
        <v>44</v>
      </c>
      <c r="BB33" s="153"/>
      <c r="BC33" s="153"/>
      <c r="BD33" s="153"/>
      <c r="BE33" s="153"/>
      <c r="BF33" s="153"/>
      <c r="BG33" s="153"/>
      <c r="BH33" s="153"/>
      <c r="BI33" s="153" t="s">
        <v>196</v>
      </c>
      <c r="BJ33" s="153"/>
      <c r="BK33" s="153"/>
      <c r="BL33" s="153"/>
    </row>
    <row r="34" spans="1:64" s="58" customFormat="1" ht="18" customHeight="1">
      <c r="A34" s="153">
        <v>93</v>
      </c>
      <c r="B34" s="153">
        <v>16055</v>
      </c>
      <c r="C34" s="176" t="s">
        <v>1577</v>
      </c>
      <c r="D34" s="176" t="s">
        <v>85</v>
      </c>
      <c r="E34" s="153"/>
      <c r="F34" s="153" t="s">
        <v>1120</v>
      </c>
      <c r="G34" s="159">
        <v>197</v>
      </c>
      <c r="H34" s="154"/>
      <c r="I34" s="159"/>
      <c r="J34" s="159"/>
      <c r="K34" s="153"/>
      <c r="L34" s="153"/>
      <c r="M34" s="127">
        <v>700</v>
      </c>
      <c r="N34" s="153" t="s">
        <v>816</v>
      </c>
      <c r="O34" s="156">
        <v>46331</v>
      </c>
      <c r="P34" s="156">
        <v>46343</v>
      </c>
      <c r="Q34" s="156"/>
      <c r="R34" s="156"/>
      <c r="S34" s="154">
        <v>9</v>
      </c>
      <c r="T34" s="154">
        <v>9</v>
      </c>
      <c r="U34" s="153">
        <v>0</v>
      </c>
      <c r="V34" s="154">
        <v>36</v>
      </c>
      <c r="W34" s="154">
        <v>0</v>
      </c>
      <c r="X34" s="154">
        <v>36</v>
      </c>
      <c r="Y34" s="154">
        <v>0</v>
      </c>
      <c r="Z34" s="154">
        <v>0</v>
      </c>
      <c r="AA34" s="155">
        <v>1800</v>
      </c>
      <c r="AB34" s="155">
        <v>0</v>
      </c>
      <c r="AC34" s="155">
        <v>1800</v>
      </c>
      <c r="AD34" s="153">
        <v>8</v>
      </c>
      <c r="AE34" s="153">
        <v>4</v>
      </c>
      <c r="AF34" s="153">
        <v>50</v>
      </c>
      <c r="AG34" s="153">
        <v>50</v>
      </c>
      <c r="AH34" s="153"/>
      <c r="AI34" s="153" t="s">
        <v>581</v>
      </c>
      <c r="AJ34" s="153"/>
      <c r="AK34" s="153" t="s">
        <v>633</v>
      </c>
      <c r="AL34" s="153" t="s">
        <v>3105</v>
      </c>
      <c r="AM34" s="153" t="s">
        <v>1685</v>
      </c>
      <c r="AN34" s="153" t="s">
        <v>3133</v>
      </c>
      <c r="AO34" s="153" t="s">
        <v>1577</v>
      </c>
      <c r="AP34" s="153"/>
      <c r="AQ34" s="156"/>
      <c r="AR34" s="153">
        <v>0</v>
      </c>
      <c r="AS34" s="153">
        <v>0</v>
      </c>
      <c r="AT34" s="153">
        <v>1</v>
      </c>
      <c r="AU34" s="153"/>
      <c r="AV34" s="153"/>
      <c r="AW34" s="153"/>
      <c r="AX34" s="153"/>
      <c r="AY34" s="153"/>
      <c r="AZ34" s="153"/>
      <c r="BA34" s="153">
        <v>44</v>
      </c>
      <c r="BB34" s="153"/>
      <c r="BC34" s="153"/>
      <c r="BD34" s="153"/>
      <c r="BE34" s="153"/>
      <c r="BF34" s="153"/>
      <c r="BG34" s="153"/>
      <c r="BH34" s="153"/>
      <c r="BI34" s="153" t="s">
        <v>196</v>
      </c>
      <c r="BJ34" s="153"/>
      <c r="BK34" s="153"/>
      <c r="BL34" s="153"/>
    </row>
  </sheetData>
  <autoFilter ref="A3:BL3" xr:uid="{FE808D6B-D377-448F-B2BB-D61509BA2DB4}"/>
  <phoneticPr fontId="45" type="noConversion"/>
  <dataValidations count="1">
    <dataValidation allowBlank="1" showErrorMessage="1" error="Please select a value from the list." sqref="A1:BK3" xr:uid="{8131938C-5A64-4F89-8F4B-051AEC9EA37A}"/>
  </dataValidations>
  <pageMargins left="0" right="0" top="0.39370000000000011" bottom="0.39370000000000011" header="0" footer="0"/>
  <pageSetup fitToWidth="0" fitToHeight="0" pageOrder="overThenDown"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4E7F3-EA93-4623-A5A4-8A450C76A009}">
  <sheetPr codeName="MetaSht">
    <tabColor theme="9"/>
  </sheetPr>
  <dimension ref="A1:HA142"/>
  <sheetViews>
    <sheetView zoomScaleNormal="100" workbookViewId="0">
      <pane ySplit="3" topLeftCell="A4" activePane="bottomLeft" state="frozen"/>
      <selection pane="bottomLeft" activeCell="E7" sqref="E7"/>
    </sheetView>
  </sheetViews>
  <sheetFormatPr defaultColWidth="11.53125" defaultRowHeight="14.25"/>
  <cols>
    <col min="1" max="2" width="8.59765625" style="59" customWidth="1"/>
    <col min="3" max="3" width="40.59765625" style="59" customWidth="1"/>
    <col min="4" max="4" width="11.59765625" style="59" customWidth="1"/>
    <col min="5" max="5" width="7.59765625" style="59" customWidth="1"/>
    <col min="6" max="6" width="13.59765625" style="59" customWidth="1"/>
    <col min="7" max="8" width="10.59765625" style="59" customWidth="1"/>
    <col min="9" max="9" width="8.59765625" style="59" customWidth="1"/>
    <col min="10" max="10" width="10.59765625" style="59" customWidth="1"/>
    <col min="11" max="12" width="20.59765625" style="59" customWidth="1"/>
    <col min="13" max="24" width="10.59765625" style="59" customWidth="1"/>
    <col min="25" max="25" width="30.59765625" style="59" customWidth="1"/>
    <col min="26" max="45" width="10.59765625" style="59" customWidth="1"/>
    <col min="46" max="47" width="10.59765625" style="24" customWidth="1"/>
    <col min="48" max="48" width="10.59765625" style="112" customWidth="1"/>
    <col min="49" max="59" width="10.59765625" style="59" customWidth="1"/>
    <col min="60" max="60" width="10.59765625" style="146" customWidth="1"/>
    <col min="61" max="61" width="10.59765625" style="59" customWidth="1"/>
    <col min="62" max="62" width="10.59765625" style="146" customWidth="1"/>
    <col min="63" max="63" width="10.59765625" style="59" customWidth="1"/>
    <col min="64" max="64" width="10.59765625" style="146" customWidth="1"/>
    <col min="65" max="70" width="10.59765625" style="59" customWidth="1"/>
    <col min="71" max="71" width="50.59765625" style="59" customWidth="1"/>
    <col min="72" max="72" width="10.59765625" style="59" customWidth="1"/>
    <col min="73" max="75" width="50.59765625" style="59" customWidth="1"/>
    <col min="76" max="76" width="10.59765625" style="59" customWidth="1"/>
    <col min="77" max="81" width="50.59765625" style="59" customWidth="1"/>
    <col min="82" max="83" width="10.59765625" style="59" customWidth="1"/>
    <col min="84" max="84" width="50.59765625" style="59" customWidth="1"/>
    <col min="85" max="86" width="10.59765625" style="59" customWidth="1"/>
    <col min="87" max="87" width="50.59765625" style="59" customWidth="1"/>
    <col min="88" max="89" width="10.59765625" style="59" customWidth="1"/>
    <col min="90" max="90" width="12.59765625" style="65" customWidth="1"/>
    <col min="91" max="91" width="10.59765625" style="59" customWidth="1"/>
    <col min="92" max="92" width="10.59765625" style="24" customWidth="1"/>
    <col min="93" max="104" width="10.59765625" style="59" customWidth="1"/>
    <col min="105" max="105" width="10.59765625" style="24" customWidth="1"/>
    <col min="106" max="106" width="12.59765625" style="65" customWidth="1"/>
    <col min="107" max="120" width="10.59765625" style="59" customWidth="1"/>
    <col min="121" max="121" width="10.59765625" style="24" customWidth="1"/>
    <col min="122" max="135" width="10.59765625" style="59" customWidth="1"/>
    <col min="136" max="141" width="50.59765625" style="59" customWidth="1"/>
    <col min="142" max="153" width="10.59765625" style="59" customWidth="1"/>
    <col min="154" max="163" width="9.59765625" style="24" customWidth="1"/>
    <col min="164" max="166" width="10.59765625" style="59" customWidth="1"/>
    <col min="167" max="167" width="12.59765625" style="65" customWidth="1"/>
    <col min="168" max="168" width="10.59765625" style="59" customWidth="1"/>
    <col min="169" max="169" width="15.59765625" style="59" customWidth="1"/>
    <col min="170" max="171" width="14.59765625" style="59" customWidth="1"/>
    <col min="172" max="172" width="12.59765625" style="59" customWidth="1"/>
    <col min="173" max="173" width="14.59765625" style="59" customWidth="1"/>
    <col min="174" max="175" width="12.59765625" style="59" customWidth="1"/>
    <col min="176" max="177" width="30.59765625" style="59" customWidth="1"/>
    <col min="178" max="178" width="16.59765625" style="59" customWidth="1"/>
    <col min="179" max="179" width="14.59765625" style="59" customWidth="1"/>
    <col min="180" max="180" width="20.59765625" style="59" customWidth="1"/>
    <col min="181" max="181" width="16.59765625" style="59" customWidth="1"/>
    <col min="182" max="182" width="12.59765625" style="59" customWidth="1"/>
    <col min="183" max="183" width="10.59765625" style="59" customWidth="1"/>
    <col min="184" max="184" width="20.59765625" style="59" customWidth="1"/>
    <col min="185" max="185" width="14.59765625" style="65" customWidth="1"/>
    <col min="186" max="186" width="16.59765625" style="59" customWidth="1"/>
    <col min="187" max="187" width="22.59765625" style="59" customWidth="1"/>
    <col min="188" max="188" width="24.59765625" style="59" customWidth="1"/>
    <col min="189" max="189" width="14.59765625" style="65" customWidth="1"/>
    <col min="190" max="190" width="16.59765625" style="59" customWidth="1"/>
    <col min="191" max="191" width="50.59765625" style="59" customWidth="1"/>
    <col min="192" max="192" width="16.59765625" style="59" customWidth="1"/>
    <col min="193" max="193" width="14.59765625" style="65" customWidth="1"/>
    <col min="194" max="195" width="50.59765625" style="59" customWidth="1"/>
    <col min="196" max="196" width="24.59765625" style="59" customWidth="1"/>
    <col min="197" max="197" width="20.59765625" style="59" customWidth="1"/>
    <col min="198" max="198" width="40.59765625" style="59" customWidth="1"/>
    <col min="199" max="199" width="14.59765625" style="65" customWidth="1"/>
    <col min="200" max="201" width="24.59765625" style="59" customWidth="1"/>
    <col min="202" max="202" width="20.59765625" style="59" customWidth="1"/>
    <col min="203" max="204" width="50.59765625" style="59" customWidth="1"/>
    <col min="205" max="205" width="14.59765625" style="59" customWidth="1"/>
    <col min="206" max="206" width="9.59765625" style="24" customWidth="1"/>
    <col min="207" max="207" width="30.59765625" style="59" customWidth="1"/>
    <col min="208" max="208" width="50.59765625" style="59" customWidth="1"/>
    <col min="209" max="209" width="12.59765625" style="65" customWidth="1"/>
  </cols>
  <sheetData>
    <row r="1" spans="1:209" ht="19.5" customHeight="1">
      <c r="A1" s="60" t="s">
        <v>87</v>
      </c>
      <c r="B1" s="60" t="s">
        <v>746</v>
      </c>
      <c r="C1" s="60" t="s">
        <v>88</v>
      </c>
      <c r="D1" s="60" t="s">
        <v>747</v>
      </c>
      <c r="E1" s="60" t="s">
        <v>748</v>
      </c>
      <c r="F1" s="60" t="s">
        <v>28</v>
      </c>
      <c r="G1" s="60" t="s">
        <v>123</v>
      </c>
      <c r="H1" s="60" t="s">
        <v>112</v>
      </c>
      <c r="I1" s="60" t="s">
        <v>125</v>
      </c>
      <c r="J1" s="60" t="s">
        <v>173</v>
      </c>
      <c r="K1" s="60" t="s">
        <v>137</v>
      </c>
      <c r="L1" s="60" t="s">
        <v>136</v>
      </c>
      <c r="M1" s="60" t="s">
        <v>118</v>
      </c>
      <c r="N1" s="60" t="s">
        <v>111</v>
      </c>
      <c r="O1" s="60" t="s">
        <v>113</v>
      </c>
      <c r="P1" s="60" t="s">
        <v>115</v>
      </c>
      <c r="Q1" s="60" t="s">
        <v>116</v>
      </c>
      <c r="R1" s="60" t="s">
        <v>117</v>
      </c>
      <c r="S1" s="60" t="s">
        <v>92</v>
      </c>
      <c r="T1" s="60" t="s">
        <v>1207</v>
      </c>
      <c r="U1" s="60" t="s">
        <v>750</v>
      </c>
      <c r="V1" s="60" t="s">
        <v>106</v>
      </c>
      <c r="W1" s="60" t="s">
        <v>122</v>
      </c>
      <c r="X1" s="60" t="s">
        <v>121</v>
      </c>
      <c r="Y1" s="60" t="s">
        <v>138</v>
      </c>
      <c r="Z1" s="60" t="s">
        <v>170</v>
      </c>
      <c r="AA1" s="60" t="s">
        <v>120</v>
      </c>
      <c r="AB1" s="60" t="s">
        <v>150</v>
      </c>
      <c r="AC1" s="60" t="s">
        <v>153</v>
      </c>
      <c r="AD1" s="60" t="s">
        <v>147</v>
      </c>
      <c r="AE1" s="60" t="s">
        <v>149</v>
      </c>
      <c r="AF1" s="60" t="s">
        <v>151</v>
      </c>
      <c r="AG1" s="60" t="s">
        <v>152</v>
      </c>
      <c r="AH1" s="60" t="s">
        <v>148</v>
      </c>
      <c r="AI1" s="60" t="s">
        <v>89</v>
      </c>
      <c r="AJ1" s="60" t="s">
        <v>161</v>
      </c>
      <c r="AK1" s="60" t="s">
        <v>97</v>
      </c>
      <c r="AL1" s="60" t="s">
        <v>96</v>
      </c>
      <c r="AM1" s="60" t="s">
        <v>162</v>
      </c>
      <c r="AN1" s="60" t="s">
        <v>1208</v>
      </c>
      <c r="AO1" s="60" t="s">
        <v>98</v>
      </c>
      <c r="AP1" s="60" t="s">
        <v>99</v>
      </c>
      <c r="AQ1" s="60" t="s">
        <v>100</v>
      </c>
      <c r="AR1" s="60" t="s">
        <v>101</v>
      </c>
      <c r="AS1" s="60" t="s">
        <v>124</v>
      </c>
      <c r="AT1" s="123" t="s">
        <v>102</v>
      </c>
      <c r="AU1" s="123" t="s">
        <v>751</v>
      </c>
      <c r="AV1" s="123" t="s">
        <v>752</v>
      </c>
      <c r="AW1" s="60" t="s">
        <v>753</v>
      </c>
      <c r="AX1" s="89" t="s">
        <v>754</v>
      </c>
      <c r="AY1" s="60" t="s">
        <v>166</v>
      </c>
      <c r="AZ1" s="60" t="s">
        <v>169</v>
      </c>
      <c r="BA1" s="60" t="s">
        <v>126</v>
      </c>
      <c r="BB1" s="60" t="s">
        <v>171</v>
      </c>
      <c r="BC1" s="60" t="s">
        <v>172</v>
      </c>
      <c r="BD1" s="60" t="s">
        <v>94</v>
      </c>
      <c r="BE1" s="60" t="s">
        <v>93</v>
      </c>
      <c r="BF1" s="60" t="s">
        <v>159</v>
      </c>
      <c r="BG1" s="60" t="s">
        <v>154</v>
      </c>
      <c r="BH1" s="147" t="s">
        <v>2414</v>
      </c>
      <c r="BI1" s="60" t="s">
        <v>156</v>
      </c>
      <c r="BJ1" s="147" t="s">
        <v>164</v>
      </c>
      <c r="BK1" s="60" t="s">
        <v>157</v>
      </c>
      <c r="BL1" s="147" t="s">
        <v>158</v>
      </c>
      <c r="BM1" s="60" t="s">
        <v>160</v>
      </c>
      <c r="BN1" s="60" t="s">
        <v>132</v>
      </c>
      <c r="BO1" s="60" t="s">
        <v>95</v>
      </c>
      <c r="BP1" s="60" t="s">
        <v>139</v>
      </c>
      <c r="BQ1" s="60" t="s">
        <v>146</v>
      </c>
      <c r="BR1" s="60" t="s">
        <v>141</v>
      </c>
      <c r="BS1" s="60" t="s">
        <v>1209</v>
      </c>
      <c r="BT1" s="60" t="s">
        <v>140</v>
      </c>
      <c r="BU1" s="60" t="s">
        <v>1210</v>
      </c>
      <c r="BV1" s="60" t="s">
        <v>1211</v>
      </c>
      <c r="BW1" s="60" t="s">
        <v>1212</v>
      </c>
      <c r="BX1" s="60" t="s">
        <v>1213</v>
      </c>
      <c r="BY1" s="60" t="s">
        <v>1214</v>
      </c>
      <c r="BZ1" s="60" t="s">
        <v>1215</v>
      </c>
      <c r="CA1" s="60" t="s">
        <v>1216</v>
      </c>
      <c r="CB1" s="60" t="s">
        <v>1217</v>
      </c>
      <c r="CC1" s="60" t="s">
        <v>1218</v>
      </c>
      <c r="CD1" s="60" t="s">
        <v>476</v>
      </c>
      <c r="CE1" s="60" t="s">
        <v>142</v>
      </c>
      <c r="CF1" s="60" t="s">
        <v>1219</v>
      </c>
      <c r="CG1" s="60" t="s">
        <v>144</v>
      </c>
      <c r="CH1" s="60" t="s">
        <v>143</v>
      </c>
      <c r="CI1" s="60" t="s">
        <v>1220</v>
      </c>
      <c r="CJ1" s="60" t="s">
        <v>165</v>
      </c>
      <c r="CK1" s="60" t="s">
        <v>1253</v>
      </c>
      <c r="CL1" s="124" t="s">
        <v>1739</v>
      </c>
      <c r="CM1" s="60" t="s">
        <v>127</v>
      </c>
      <c r="CN1" s="123" t="s">
        <v>128</v>
      </c>
      <c r="CO1" s="60" t="s">
        <v>129</v>
      </c>
      <c r="CP1" s="60" t="s">
        <v>755</v>
      </c>
      <c r="CQ1" s="60" t="s">
        <v>130</v>
      </c>
      <c r="CR1" s="60" t="s">
        <v>131</v>
      </c>
      <c r="CS1" s="60" t="s">
        <v>119</v>
      </c>
      <c r="CT1" s="60" t="s">
        <v>108</v>
      </c>
      <c r="CU1" s="60" t="s">
        <v>168</v>
      </c>
      <c r="CV1" s="60" t="s">
        <v>163</v>
      </c>
      <c r="CW1" s="60" t="s">
        <v>145</v>
      </c>
      <c r="CX1" s="60" t="s">
        <v>107</v>
      </c>
      <c r="CY1" s="60" t="s">
        <v>133</v>
      </c>
      <c r="CZ1" s="60" t="s">
        <v>182</v>
      </c>
      <c r="DA1" s="123" t="s">
        <v>109</v>
      </c>
      <c r="DB1" s="124" t="s">
        <v>110</v>
      </c>
      <c r="DC1" s="60" t="s">
        <v>103</v>
      </c>
      <c r="DD1" s="60" t="s">
        <v>104</v>
      </c>
      <c r="DE1" s="60" t="s">
        <v>105</v>
      </c>
      <c r="DF1" s="60" t="s">
        <v>167</v>
      </c>
      <c r="DG1" s="60" t="s">
        <v>155</v>
      </c>
      <c r="DH1" s="60" t="s">
        <v>90</v>
      </c>
      <c r="DI1" s="60" t="s">
        <v>91</v>
      </c>
      <c r="DJ1" s="60" t="s">
        <v>135</v>
      </c>
      <c r="DK1" s="60" t="s">
        <v>114</v>
      </c>
      <c r="DL1" s="60" t="s">
        <v>756</v>
      </c>
      <c r="DM1" s="60" t="s">
        <v>757</v>
      </c>
      <c r="DN1" s="60" t="s">
        <v>758</v>
      </c>
      <c r="DO1" s="60" t="s">
        <v>759</v>
      </c>
      <c r="DP1" s="60" t="s">
        <v>760</v>
      </c>
      <c r="DQ1" s="123" t="s">
        <v>765</v>
      </c>
      <c r="DR1" s="60" t="s">
        <v>1249</v>
      </c>
      <c r="DS1" s="60" t="s">
        <v>761</v>
      </c>
      <c r="DT1" s="60" t="s">
        <v>905</v>
      </c>
      <c r="DU1" s="60" t="s">
        <v>763</v>
      </c>
      <c r="DV1" s="60" t="s">
        <v>764</v>
      </c>
      <c r="DW1" s="60" t="s">
        <v>134</v>
      </c>
      <c r="DX1" s="60" t="s">
        <v>174</v>
      </c>
      <c r="DY1" s="60" t="s">
        <v>175</v>
      </c>
      <c r="DZ1" s="60" t="s">
        <v>176</v>
      </c>
      <c r="EA1" s="60" t="s">
        <v>177</v>
      </c>
      <c r="EB1" s="60" t="s">
        <v>178</v>
      </c>
      <c r="EC1" s="60" t="s">
        <v>179</v>
      </c>
      <c r="ED1" s="60" t="s">
        <v>180</v>
      </c>
      <c r="EE1" s="60" t="s">
        <v>181</v>
      </c>
      <c r="EF1" s="60" t="s">
        <v>1254</v>
      </c>
      <c r="EG1" s="60" t="s">
        <v>1255</v>
      </c>
      <c r="EH1" s="60" t="s">
        <v>1256</v>
      </c>
      <c r="EI1" s="60" t="s">
        <v>1257</v>
      </c>
      <c r="EJ1" s="60" t="s">
        <v>1258</v>
      </c>
      <c r="EK1" s="60" t="s">
        <v>1259</v>
      </c>
      <c r="EL1" s="60" t="s">
        <v>1456</v>
      </c>
      <c r="EM1" s="60" t="s">
        <v>1448</v>
      </c>
      <c r="EN1" s="60" t="s">
        <v>1469</v>
      </c>
      <c r="EO1" s="60" t="s">
        <v>1463</v>
      </c>
      <c r="EP1" s="60" t="s">
        <v>1401</v>
      </c>
      <c r="EQ1" s="60" t="s">
        <v>1338</v>
      </c>
      <c r="ER1" s="60" t="s">
        <v>1353</v>
      </c>
      <c r="ES1" s="60" t="s">
        <v>1485</v>
      </c>
      <c r="ET1" s="60" t="s">
        <v>1329</v>
      </c>
      <c r="EU1" s="60" t="s">
        <v>1412</v>
      </c>
      <c r="EV1" s="60" t="s">
        <v>1372</v>
      </c>
      <c r="EW1" s="60" t="s">
        <v>1394</v>
      </c>
      <c r="EX1" s="123" t="s">
        <v>1502</v>
      </c>
      <c r="EY1" s="123" t="s">
        <v>1503</v>
      </c>
      <c r="EZ1" s="123" t="s">
        <v>1504</v>
      </c>
      <c r="FA1" s="125" t="s">
        <v>1505</v>
      </c>
      <c r="FB1" s="123" t="s">
        <v>1506</v>
      </c>
      <c r="FC1" s="123" t="s">
        <v>1507</v>
      </c>
      <c r="FD1" s="123" t="s">
        <v>1508</v>
      </c>
      <c r="FE1" s="123" t="s">
        <v>1509</v>
      </c>
      <c r="FF1" s="123" t="s">
        <v>1510</v>
      </c>
      <c r="FG1" s="123" t="s">
        <v>1511</v>
      </c>
      <c r="FH1" s="60" t="s">
        <v>1512</v>
      </c>
      <c r="FI1" s="60" t="s">
        <v>1391</v>
      </c>
      <c r="FJ1" s="60" t="s">
        <v>1513</v>
      </c>
      <c r="FK1" s="124" t="s">
        <v>1514</v>
      </c>
      <c r="FL1" s="60" t="s">
        <v>1515</v>
      </c>
      <c r="FM1" s="60" t="s">
        <v>749</v>
      </c>
      <c r="FN1" s="60" t="s">
        <v>2081</v>
      </c>
      <c r="FO1" s="60" t="s">
        <v>2086</v>
      </c>
      <c r="FP1" s="60" t="s">
        <v>2094</v>
      </c>
      <c r="FQ1" s="60" t="s">
        <v>2082</v>
      </c>
      <c r="FR1" s="60" t="s">
        <v>2083</v>
      </c>
      <c r="FS1" s="60" t="s">
        <v>2084</v>
      </c>
      <c r="FT1" s="60" t="s">
        <v>2238</v>
      </c>
      <c r="FU1" s="60" t="s">
        <v>2239</v>
      </c>
      <c r="FV1" s="60" t="s">
        <v>2240</v>
      </c>
      <c r="FW1" s="60" t="s">
        <v>2241</v>
      </c>
      <c r="FX1" s="60" t="s">
        <v>2242</v>
      </c>
      <c r="FY1" s="60" t="s">
        <v>2243</v>
      </c>
      <c r="FZ1" s="60" t="s">
        <v>2244</v>
      </c>
      <c r="GA1" s="60" t="s">
        <v>2245</v>
      </c>
      <c r="GB1" s="60" t="s">
        <v>2246</v>
      </c>
      <c r="GC1" s="124" t="s">
        <v>2247</v>
      </c>
      <c r="GD1" s="60" t="s">
        <v>2248</v>
      </c>
      <c r="GE1" s="60" t="s">
        <v>2249</v>
      </c>
      <c r="GF1" s="60" t="s">
        <v>2250</v>
      </c>
      <c r="GG1" s="124" t="s">
        <v>2251</v>
      </c>
      <c r="GH1" s="60" t="s">
        <v>2252</v>
      </c>
      <c r="GI1" s="60" t="s">
        <v>2253</v>
      </c>
      <c r="GJ1" s="60" t="s">
        <v>2254</v>
      </c>
      <c r="GK1" s="124" t="s">
        <v>2255</v>
      </c>
      <c r="GL1" s="60" t="s">
        <v>2256</v>
      </c>
      <c r="GM1" s="60" t="s">
        <v>2257</v>
      </c>
      <c r="GN1" s="60" t="s">
        <v>2258</v>
      </c>
      <c r="GO1" s="60" t="s">
        <v>2259</v>
      </c>
      <c r="GP1" s="60" t="s">
        <v>2260</v>
      </c>
      <c r="GQ1" s="124" t="s">
        <v>2261</v>
      </c>
      <c r="GR1" s="60" t="s">
        <v>2262</v>
      </c>
      <c r="GS1" s="60" t="s">
        <v>2263</v>
      </c>
      <c r="GT1" s="60" t="s">
        <v>2264</v>
      </c>
      <c r="GU1" s="60" t="s">
        <v>2265</v>
      </c>
      <c r="GV1" s="60" t="s">
        <v>2266</v>
      </c>
      <c r="GW1" s="60" t="s">
        <v>2267</v>
      </c>
      <c r="GX1" s="123" t="s">
        <v>2268</v>
      </c>
      <c r="GY1" s="60" t="s">
        <v>2269</v>
      </c>
      <c r="GZ1" s="60" t="s">
        <v>2384</v>
      </c>
      <c r="HA1" s="124" t="s">
        <v>2650</v>
      </c>
    </row>
    <row r="2" spans="1:209" ht="46.9" customHeight="1">
      <c r="A2" s="139" t="s">
        <v>766</v>
      </c>
      <c r="D2" s="109"/>
      <c r="E2" s="109"/>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23"/>
      <c r="AU2" s="23"/>
      <c r="AV2" s="23"/>
      <c r="AW2" s="80"/>
      <c r="AX2" s="80"/>
      <c r="AY2" s="80"/>
      <c r="AZ2" s="80"/>
      <c r="BA2" s="80"/>
      <c r="BB2" s="80"/>
      <c r="BC2" s="80"/>
      <c r="BD2" s="80"/>
      <c r="BE2" s="80"/>
      <c r="BF2" s="80"/>
      <c r="BG2" s="80"/>
      <c r="BH2" s="144"/>
      <c r="BI2" s="80"/>
      <c r="BJ2" s="144"/>
      <c r="BK2" s="80"/>
      <c r="BL2" s="144"/>
      <c r="BM2" s="80"/>
      <c r="BN2" s="80"/>
      <c r="BO2" s="80"/>
      <c r="BP2" s="80"/>
      <c r="BQ2" s="80"/>
      <c r="BR2" s="80"/>
      <c r="BS2" s="80"/>
      <c r="BT2" s="80"/>
      <c r="BU2" s="80"/>
      <c r="BV2" s="80"/>
      <c r="BW2" s="80"/>
      <c r="BX2" s="80"/>
      <c r="BY2" s="80"/>
      <c r="BZ2" s="80"/>
      <c r="CA2" s="80"/>
      <c r="CB2" s="80"/>
      <c r="CD2" s="80"/>
      <c r="CE2" s="80"/>
      <c r="CF2" s="80"/>
      <c r="CG2" s="80"/>
      <c r="CH2" s="80"/>
      <c r="CI2" s="80"/>
      <c r="CJ2" s="80"/>
      <c r="CM2" s="80"/>
      <c r="CN2" s="23"/>
      <c r="CO2" s="80"/>
      <c r="CP2" s="80"/>
      <c r="CQ2" s="80" t="s">
        <v>615</v>
      </c>
      <c r="CR2" s="80" t="s">
        <v>612</v>
      </c>
      <c r="CS2" s="80" t="s">
        <v>365</v>
      </c>
      <c r="CT2" s="80"/>
      <c r="CU2" s="80"/>
      <c r="CV2" s="80"/>
      <c r="CW2" s="80"/>
      <c r="CX2" s="80"/>
      <c r="CY2" s="80"/>
      <c r="CZ2" s="80"/>
      <c r="DA2" s="23"/>
      <c r="DB2" s="86"/>
      <c r="DC2" s="80"/>
      <c r="DD2" s="80"/>
      <c r="DE2" s="80"/>
      <c r="DF2" s="80"/>
      <c r="DG2" s="80"/>
      <c r="DH2" s="80"/>
      <c r="DI2" s="80"/>
      <c r="DJ2" s="80"/>
      <c r="DK2" s="80"/>
      <c r="DL2" s="80"/>
      <c r="DM2" s="80"/>
      <c r="DN2" s="80" t="s">
        <v>808</v>
      </c>
      <c r="DO2" s="80" t="s">
        <v>771</v>
      </c>
      <c r="DP2" s="80" t="s">
        <v>772</v>
      </c>
      <c r="DQ2" s="23"/>
      <c r="DR2" s="80" t="s">
        <v>1250</v>
      </c>
      <c r="DS2" s="80"/>
      <c r="DT2" s="80"/>
      <c r="DU2" s="80"/>
      <c r="DV2" s="80"/>
      <c r="EL2" s="59" t="s">
        <v>1454</v>
      </c>
      <c r="EM2" s="59" t="s">
        <v>1446</v>
      </c>
      <c r="EN2" s="59" t="s">
        <v>1467</v>
      </c>
      <c r="EO2" s="59" t="s">
        <v>1461</v>
      </c>
      <c r="EP2" s="59" t="s">
        <v>1399</v>
      </c>
      <c r="EQ2" s="59" t="s">
        <v>1336</v>
      </c>
      <c r="ER2" s="59" t="s">
        <v>1351</v>
      </c>
      <c r="ES2" s="59" t="s">
        <v>1483</v>
      </c>
      <c r="ET2" s="59" t="s">
        <v>1327</v>
      </c>
      <c r="EU2" s="59" t="s">
        <v>1410</v>
      </c>
      <c r="EV2" s="59" t="s">
        <v>1370</v>
      </c>
      <c r="EW2" s="59" t="s">
        <v>1392</v>
      </c>
      <c r="FI2" s="59" t="s">
        <v>1389</v>
      </c>
    </row>
    <row r="3" spans="1:209" ht="37.5" customHeight="1">
      <c r="A3" s="78" t="s">
        <v>268</v>
      </c>
      <c r="B3" s="71" t="s">
        <v>260</v>
      </c>
      <c r="C3" s="71" t="s">
        <v>2</v>
      </c>
      <c r="D3" s="71" t="s">
        <v>3</v>
      </c>
      <c r="E3" s="71" t="s">
        <v>261</v>
      </c>
      <c r="F3" s="71" t="s">
        <v>445</v>
      </c>
      <c r="G3" s="71" t="s">
        <v>802</v>
      </c>
      <c r="H3" s="71" t="s">
        <v>4</v>
      </c>
      <c r="I3" s="71" t="s">
        <v>192</v>
      </c>
      <c r="J3" s="71" t="s">
        <v>479</v>
      </c>
      <c r="K3" s="71" t="s">
        <v>396</v>
      </c>
      <c r="L3" s="71" t="s">
        <v>194</v>
      </c>
      <c r="M3" s="71" t="s">
        <v>1221</v>
      </c>
      <c r="N3" s="71" t="s">
        <v>81</v>
      </c>
      <c r="O3" s="71" t="s">
        <v>2411</v>
      </c>
      <c r="P3" s="71" t="s">
        <v>1225</v>
      </c>
      <c r="Q3" s="71" t="s">
        <v>1226</v>
      </c>
      <c r="R3" s="71" t="s">
        <v>352</v>
      </c>
      <c r="S3" s="71" t="s">
        <v>184</v>
      </c>
      <c r="T3" s="71" t="s">
        <v>1222</v>
      </c>
      <c r="U3" s="71" t="s">
        <v>767</v>
      </c>
      <c r="V3" s="71" t="s">
        <v>399</v>
      </c>
      <c r="W3" s="71" t="s">
        <v>191</v>
      </c>
      <c r="X3" s="71" t="s">
        <v>528</v>
      </c>
      <c r="Y3" s="71" t="s">
        <v>774</v>
      </c>
      <c r="Z3" s="71" t="s">
        <v>193</v>
      </c>
      <c r="AA3" s="71" t="s">
        <v>356</v>
      </c>
      <c r="AB3" s="71" t="s">
        <v>555</v>
      </c>
      <c r="AC3" s="71" t="s">
        <v>448</v>
      </c>
      <c r="AD3" s="71" t="s">
        <v>449</v>
      </c>
      <c r="AE3" s="71" t="s">
        <v>450</v>
      </c>
      <c r="AF3" s="71" t="s">
        <v>451</v>
      </c>
      <c r="AG3" s="71" t="s">
        <v>452</v>
      </c>
      <c r="AH3" s="71" t="s">
        <v>453</v>
      </c>
      <c r="AI3" s="71" t="s">
        <v>775</v>
      </c>
      <c r="AJ3" s="71" t="s">
        <v>720</v>
      </c>
      <c r="AK3" s="71" t="s">
        <v>768</v>
      </c>
      <c r="AL3" s="71" t="s">
        <v>185</v>
      </c>
      <c r="AM3" s="71" t="s">
        <v>18</v>
      </c>
      <c r="AN3" s="71" t="s">
        <v>2413</v>
      </c>
      <c r="AO3" s="71" t="s">
        <v>186</v>
      </c>
      <c r="AP3" s="71" t="s">
        <v>187</v>
      </c>
      <c r="AQ3" s="71" t="s">
        <v>188</v>
      </c>
      <c r="AR3" s="71" t="s">
        <v>189</v>
      </c>
      <c r="AS3" s="71" t="s">
        <v>682</v>
      </c>
      <c r="AT3" s="67" t="s">
        <v>1227</v>
      </c>
      <c r="AU3" s="67" t="s">
        <v>1228</v>
      </c>
      <c r="AV3" s="67" t="s">
        <v>776</v>
      </c>
      <c r="AW3" s="71" t="s">
        <v>777</v>
      </c>
      <c r="AX3" s="71" t="s">
        <v>778</v>
      </c>
      <c r="AY3" s="71" t="s">
        <v>769</v>
      </c>
      <c r="AZ3" s="71" t="s">
        <v>678</v>
      </c>
      <c r="BA3" s="71" t="s">
        <v>354</v>
      </c>
      <c r="BB3" s="71" t="s">
        <v>779</v>
      </c>
      <c r="BC3" s="71" t="s">
        <v>666</v>
      </c>
      <c r="BD3" s="71" t="s">
        <v>516</v>
      </c>
      <c r="BE3" s="71" t="s">
        <v>527</v>
      </c>
      <c r="BF3" s="71" t="s">
        <v>770</v>
      </c>
      <c r="BG3" s="71" t="s">
        <v>780</v>
      </c>
      <c r="BH3" s="145" t="s">
        <v>2426</v>
      </c>
      <c r="BI3" s="71" t="s">
        <v>781</v>
      </c>
      <c r="BJ3" s="145" t="s">
        <v>782</v>
      </c>
      <c r="BK3" s="71" t="s">
        <v>783</v>
      </c>
      <c r="BL3" s="145" t="s">
        <v>784</v>
      </c>
      <c r="BM3" s="71" t="s">
        <v>785</v>
      </c>
      <c r="BN3" s="71" t="s">
        <v>2574</v>
      </c>
      <c r="BO3" s="71" t="s">
        <v>786</v>
      </c>
      <c r="BP3" s="71" t="s">
        <v>787</v>
      </c>
      <c r="BQ3" s="71" t="s">
        <v>793</v>
      </c>
      <c r="BR3" s="71" t="s">
        <v>790</v>
      </c>
      <c r="BS3" s="71" t="s">
        <v>1230</v>
      </c>
      <c r="BT3" s="71" t="s">
        <v>789</v>
      </c>
      <c r="BU3" s="71" t="s">
        <v>1231</v>
      </c>
      <c r="BV3" s="71" t="s">
        <v>1232</v>
      </c>
      <c r="BW3" s="71" t="s">
        <v>1233</v>
      </c>
      <c r="BX3" s="71" t="s">
        <v>1234</v>
      </c>
      <c r="BY3" s="71" t="s">
        <v>1235</v>
      </c>
      <c r="BZ3" s="71" t="s">
        <v>1236</v>
      </c>
      <c r="CA3" s="71" t="s">
        <v>1237</v>
      </c>
      <c r="CB3" s="71" t="s">
        <v>1238</v>
      </c>
      <c r="CC3" s="71" t="s">
        <v>1239</v>
      </c>
      <c r="CD3" s="71" t="s">
        <v>477</v>
      </c>
      <c r="CE3" s="71" t="s">
        <v>788</v>
      </c>
      <c r="CF3" s="71" t="s">
        <v>1240</v>
      </c>
      <c r="CG3" s="71" t="s">
        <v>791</v>
      </c>
      <c r="CH3" s="71" t="s">
        <v>792</v>
      </c>
      <c r="CI3" s="71" t="s">
        <v>1241</v>
      </c>
      <c r="CJ3" s="71" t="s">
        <v>794</v>
      </c>
      <c r="CK3" s="71" t="s">
        <v>1516</v>
      </c>
      <c r="CL3" s="87" t="s">
        <v>1298</v>
      </c>
      <c r="CM3" s="71" t="s">
        <v>455</v>
      </c>
      <c r="CN3" s="67" t="s">
        <v>456</v>
      </c>
      <c r="CO3" s="71" t="s">
        <v>8</v>
      </c>
      <c r="CP3" s="71" t="s">
        <v>446</v>
      </c>
      <c r="CQ3" s="71" t="s">
        <v>615</v>
      </c>
      <c r="CR3" s="71" t="s">
        <v>612</v>
      </c>
      <c r="CS3" s="71" t="s">
        <v>365</v>
      </c>
      <c r="CT3" s="71" t="s">
        <v>3011</v>
      </c>
      <c r="CU3" s="71" t="s">
        <v>796</v>
      </c>
      <c r="CV3" s="71" t="s">
        <v>797</v>
      </c>
      <c r="CW3" s="71" t="s">
        <v>798</v>
      </c>
      <c r="CX3" s="71" t="s">
        <v>107</v>
      </c>
      <c r="CY3" s="71" t="s">
        <v>799</v>
      </c>
      <c r="CZ3" s="71" t="s">
        <v>182</v>
      </c>
      <c r="DA3" s="67" t="s">
        <v>800</v>
      </c>
      <c r="DB3" s="87" t="s">
        <v>801</v>
      </c>
      <c r="DC3" s="71" t="s">
        <v>20</v>
      </c>
      <c r="DD3" s="71" t="s">
        <v>280</v>
      </c>
      <c r="DE3" s="71" t="s">
        <v>454</v>
      </c>
      <c r="DF3" s="71" t="s">
        <v>803</v>
      </c>
      <c r="DG3" s="71" t="s">
        <v>804</v>
      </c>
      <c r="DH3" s="71" t="s">
        <v>86</v>
      </c>
      <c r="DI3" s="71" t="s">
        <v>366</v>
      </c>
      <c r="DJ3" s="71" t="s">
        <v>805</v>
      </c>
      <c r="DK3" s="71" t="s">
        <v>190</v>
      </c>
      <c r="DL3" s="71" t="s">
        <v>806</v>
      </c>
      <c r="DM3" s="71" t="s">
        <v>807</v>
      </c>
      <c r="DN3" s="71" t="s">
        <v>808</v>
      </c>
      <c r="DO3" s="71" t="s">
        <v>809</v>
      </c>
      <c r="DP3" s="71" t="s">
        <v>810</v>
      </c>
      <c r="DQ3" s="67" t="s">
        <v>815</v>
      </c>
      <c r="DR3" s="71" t="s">
        <v>1250</v>
      </c>
      <c r="DS3" s="71" t="s">
        <v>811</v>
      </c>
      <c r="DT3" s="71" t="s">
        <v>812</v>
      </c>
      <c r="DU3" s="71" t="s">
        <v>813</v>
      </c>
      <c r="DV3" s="71" t="s">
        <v>814</v>
      </c>
      <c r="DW3" s="71" t="s">
        <v>134</v>
      </c>
      <c r="DX3" s="71" t="s">
        <v>174</v>
      </c>
      <c r="DY3" s="71" t="s">
        <v>1195</v>
      </c>
      <c r="DZ3" s="71" t="s">
        <v>1196</v>
      </c>
      <c r="EA3" s="71" t="s">
        <v>1197</v>
      </c>
      <c r="EB3" s="71" t="s">
        <v>1198</v>
      </c>
      <c r="EC3" s="71" t="s">
        <v>1199</v>
      </c>
      <c r="ED3" s="71" t="s">
        <v>1200</v>
      </c>
      <c r="EE3" s="71" t="s">
        <v>1201</v>
      </c>
      <c r="EF3" s="71" t="s">
        <v>1299</v>
      </c>
      <c r="EG3" s="71" t="s">
        <v>1300</v>
      </c>
      <c r="EH3" s="71" t="s">
        <v>1301</v>
      </c>
      <c r="EI3" s="71" t="s">
        <v>1302</v>
      </c>
      <c r="EJ3" s="71" t="s">
        <v>1303</v>
      </c>
      <c r="EK3" s="71" t="s">
        <v>1304</v>
      </c>
      <c r="EL3" s="71" t="s">
        <v>1454</v>
      </c>
      <c r="EM3" s="71" t="s">
        <v>1517</v>
      </c>
      <c r="EN3" s="71" t="s">
        <v>1518</v>
      </c>
      <c r="EO3" s="71" t="s">
        <v>1519</v>
      </c>
      <c r="EP3" s="71" t="s">
        <v>1520</v>
      </c>
      <c r="EQ3" s="71" t="s">
        <v>1521</v>
      </c>
      <c r="ER3" s="71" t="s">
        <v>1522</v>
      </c>
      <c r="ES3" s="71" t="s">
        <v>1523</v>
      </c>
      <c r="ET3" s="71" t="s">
        <v>1524</v>
      </c>
      <c r="EU3" s="71" t="s">
        <v>1525</v>
      </c>
      <c r="EV3" s="71" t="s">
        <v>1526</v>
      </c>
      <c r="EW3" s="71" t="s">
        <v>1527</v>
      </c>
      <c r="EX3" s="67" t="s">
        <v>1528</v>
      </c>
      <c r="EY3" s="67" t="s">
        <v>1529</v>
      </c>
      <c r="EZ3" s="67" t="s">
        <v>1530</v>
      </c>
      <c r="FA3" s="67" t="s">
        <v>1531</v>
      </c>
      <c r="FB3" s="67" t="s">
        <v>1532</v>
      </c>
      <c r="FC3" s="67" t="s">
        <v>1533</v>
      </c>
      <c r="FD3" s="67" t="s">
        <v>1534</v>
      </c>
      <c r="FE3" s="67" t="s">
        <v>1535</v>
      </c>
      <c r="FF3" s="67" t="s">
        <v>1536</v>
      </c>
      <c r="FG3" s="67" t="s">
        <v>1537</v>
      </c>
      <c r="FH3" s="71" t="s">
        <v>1538</v>
      </c>
      <c r="FI3" s="71" t="s">
        <v>1539</v>
      </c>
      <c r="FJ3" s="71" t="s">
        <v>1540</v>
      </c>
      <c r="FK3" s="87" t="s">
        <v>1541</v>
      </c>
      <c r="FL3" s="71" t="s">
        <v>1542</v>
      </c>
      <c r="FM3" s="71" t="s">
        <v>1804</v>
      </c>
      <c r="FN3" s="71" t="s">
        <v>1320</v>
      </c>
      <c r="FO3" s="71" t="s">
        <v>2085</v>
      </c>
      <c r="FP3" s="71" t="s">
        <v>2092</v>
      </c>
      <c r="FQ3" s="71" t="s">
        <v>2291</v>
      </c>
      <c r="FR3" s="71" t="s">
        <v>2292</v>
      </c>
      <c r="FS3" s="71" t="s">
        <v>2293</v>
      </c>
      <c r="FT3" s="71" t="s">
        <v>2294</v>
      </c>
      <c r="FU3" s="71" t="s">
        <v>2295</v>
      </c>
      <c r="FV3" s="71" t="s">
        <v>2296</v>
      </c>
      <c r="FW3" s="71" t="s">
        <v>2297</v>
      </c>
      <c r="FX3" s="71" t="s">
        <v>2298</v>
      </c>
      <c r="FY3" s="71" t="s">
        <v>2284</v>
      </c>
      <c r="FZ3" s="71" t="s">
        <v>2285</v>
      </c>
      <c r="GA3" s="71" t="s">
        <v>987</v>
      </c>
      <c r="GB3" s="71" t="s">
        <v>2286</v>
      </c>
      <c r="GC3" s="87" t="s">
        <v>2299</v>
      </c>
      <c r="GD3" s="71" t="s">
        <v>2287</v>
      </c>
      <c r="GE3" s="71" t="s">
        <v>2288</v>
      </c>
      <c r="GF3" s="71" t="s">
        <v>2300</v>
      </c>
      <c r="GG3" s="87" t="s">
        <v>2301</v>
      </c>
      <c r="GH3" s="71" t="s">
        <v>2302</v>
      </c>
      <c r="GI3" s="71" t="s">
        <v>2303</v>
      </c>
      <c r="GJ3" s="71" t="s">
        <v>2289</v>
      </c>
      <c r="GK3" s="87" t="s">
        <v>2304</v>
      </c>
      <c r="GL3" s="71" t="s">
        <v>2305</v>
      </c>
      <c r="GM3" s="71" t="s">
        <v>2306</v>
      </c>
      <c r="GN3" s="71" t="s">
        <v>2307</v>
      </c>
      <c r="GO3" s="71" t="s">
        <v>2308</v>
      </c>
      <c r="GP3" s="71" t="s">
        <v>2309</v>
      </c>
      <c r="GQ3" s="87" t="s">
        <v>2310</v>
      </c>
      <c r="GR3" s="71" t="s">
        <v>2311</v>
      </c>
      <c r="GS3" s="71" t="s">
        <v>2312</v>
      </c>
      <c r="GT3" s="71" t="s">
        <v>2313</v>
      </c>
      <c r="GU3" s="71" t="s">
        <v>2314</v>
      </c>
      <c r="GV3" s="71" t="s">
        <v>2315</v>
      </c>
      <c r="GW3" s="71" t="s">
        <v>2290</v>
      </c>
      <c r="GX3" s="67" t="s">
        <v>2316</v>
      </c>
      <c r="GY3" s="71" t="s">
        <v>2317</v>
      </c>
      <c r="GZ3" s="71" t="s">
        <v>2385</v>
      </c>
      <c r="HA3" s="87" t="s">
        <v>2650</v>
      </c>
    </row>
    <row r="4" spans="1:209" s="58" customFormat="1" ht="18" customHeight="1">
      <c r="A4" s="153" t="s">
        <v>3103</v>
      </c>
      <c r="B4" s="153"/>
      <c r="C4" s="157" t="s">
        <v>633</v>
      </c>
      <c r="D4" s="157" t="s">
        <v>86</v>
      </c>
      <c r="E4" s="153"/>
      <c r="F4" s="58" t="s">
        <v>2407</v>
      </c>
      <c r="G4" s="153"/>
      <c r="H4" s="153" t="s">
        <v>716</v>
      </c>
      <c r="I4" s="153" t="s">
        <v>2407</v>
      </c>
      <c r="J4" s="153"/>
      <c r="K4" s="153" t="s">
        <v>3141</v>
      </c>
      <c r="L4" s="153"/>
      <c r="M4" s="153" t="s">
        <v>202</v>
      </c>
      <c r="N4" s="153" t="s">
        <v>625</v>
      </c>
      <c r="O4" s="153" t="s">
        <v>196</v>
      </c>
      <c r="P4" s="153"/>
      <c r="Q4" s="153"/>
      <c r="R4" s="153"/>
      <c r="S4" s="153"/>
      <c r="T4" s="153"/>
      <c r="U4" s="153"/>
      <c r="V4" s="153"/>
      <c r="W4" s="153"/>
      <c r="X4" s="153" t="s">
        <v>209</v>
      </c>
      <c r="Y4" s="153"/>
      <c r="Z4" s="153"/>
      <c r="AA4" s="153"/>
      <c r="AB4" s="153" t="s">
        <v>202</v>
      </c>
      <c r="AC4" s="153" t="s">
        <v>202</v>
      </c>
      <c r="AD4" s="153" t="s">
        <v>202</v>
      </c>
      <c r="AE4" s="153" t="s">
        <v>202</v>
      </c>
      <c r="AF4" s="153" t="s">
        <v>202</v>
      </c>
      <c r="AG4" s="153" t="s">
        <v>202</v>
      </c>
      <c r="AH4" s="153" t="s">
        <v>202</v>
      </c>
      <c r="AI4" s="153" t="s">
        <v>583</v>
      </c>
      <c r="AJ4" s="153" t="s">
        <v>3142</v>
      </c>
      <c r="AK4" s="153" t="s">
        <v>594</v>
      </c>
      <c r="AL4" s="153" t="s">
        <v>3097</v>
      </c>
      <c r="AM4" s="153" t="s">
        <v>621</v>
      </c>
      <c r="AN4" s="153"/>
      <c r="AO4" s="153" t="s">
        <v>3143</v>
      </c>
      <c r="AP4" s="153" t="s">
        <v>562</v>
      </c>
      <c r="AQ4" s="153" t="s">
        <v>568</v>
      </c>
      <c r="AR4" s="153" t="s">
        <v>576</v>
      </c>
      <c r="AS4" s="153" t="s">
        <v>242</v>
      </c>
      <c r="AT4" s="154" t="s">
        <v>620</v>
      </c>
      <c r="AU4" s="154"/>
      <c r="AV4" s="154"/>
      <c r="AW4" s="153"/>
      <c r="AX4" s="153"/>
      <c r="AY4" s="153" t="s">
        <v>209</v>
      </c>
      <c r="AZ4" s="153"/>
      <c r="BA4" s="153"/>
      <c r="BB4" s="153"/>
      <c r="BC4" s="153"/>
      <c r="BD4" s="153"/>
      <c r="BE4" s="153" t="s">
        <v>3142</v>
      </c>
      <c r="BF4" s="153"/>
      <c r="BG4" s="153"/>
      <c r="BH4" s="155"/>
      <c r="BI4" s="153"/>
      <c r="BJ4" s="155"/>
      <c r="BK4" s="153"/>
      <c r="BL4" s="155"/>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6"/>
      <c r="CM4" s="153"/>
      <c r="CN4" s="154"/>
      <c r="CO4" s="153"/>
      <c r="CP4" s="153"/>
      <c r="CQ4" s="153"/>
      <c r="CR4" s="153"/>
      <c r="CS4" s="153"/>
      <c r="CT4" s="153"/>
      <c r="CU4" s="153"/>
      <c r="CV4" s="153"/>
      <c r="CW4" s="153"/>
      <c r="CX4" s="153"/>
      <c r="CY4" s="153"/>
      <c r="CZ4" s="153"/>
      <c r="DA4" s="154"/>
      <c r="DB4" s="156"/>
      <c r="DC4" s="153">
        <v>44</v>
      </c>
      <c r="DD4" s="153"/>
      <c r="DE4" s="153"/>
      <c r="DF4" s="153"/>
      <c r="DG4" s="153"/>
      <c r="DH4" s="153"/>
      <c r="DI4" s="153"/>
      <c r="DJ4" s="153"/>
      <c r="DK4" s="153"/>
      <c r="DL4" s="153"/>
      <c r="DM4" s="153"/>
      <c r="DN4" s="153"/>
      <c r="DO4" s="153"/>
      <c r="DP4" s="153"/>
      <c r="DQ4" s="154"/>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4"/>
      <c r="EY4" s="154"/>
      <c r="EZ4" s="154"/>
      <c r="FA4" s="154"/>
      <c r="FB4" s="154"/>
      <c r="FC4" s="154"/>
      <c r="FD4" s="154"/>
      <c r="FE4" s="154"/>
      <c r="FF4" s="154"/>
      <c r="FG4" s="154"/>
      <c r="FH4" s="153"/>
      <c r="FI4" s="153"/>
      <c r="FJ4" s="153"/>
      <c r="FK4" s="156"/>
      <c r="FL4" s="153"/>
      <c r="FM4" s="153"/>
      <c r="FN4" s="153"/>
      <c r="FO4" s="153"/>
      <c r="FP4" s="153"/>
      <c r="FQ4" s="153"/>
      <c r="FR4" s="153"/>
      <c r="FS4" s="153"/>
      <c r="FT4" s="153"/>
      <c r="FU4" s="153"/>
      <c r="FV4" s="153"/>
      <c r="FW4" s="153"/>
      <c r="FX4" s="153"/>
      <c r="FY4" s="153"/>
      <c r="FZ4" s="153"/>
      <c r="GA4" s="153"/>
      <c r="GB4" s="153"/>
      <c r="GC4" s="156"/>
      <c r="GD4" s="153"/>
      <c r="GE4" s="153"/>
      <c r="GF4" s="153"/>
      <c r="GG4" s="156"/>
      <c r="GH4" s="153"/>
      <c r="GI4" s="153"/>
      <c r="GJ4" s="153"/>
      <c r="GK4" s="156"/>
      <c r="GL4" s="153"/>
      <c r="GM4" s="153"/>
      <c r="GN4" s="153"/>
      <c r="GO4" s="153"/>
      <c r="GP4" s="153"/>
      <c r="GQ4" s="156"/>
      <c r="GR4" s="153"/>
      <c r="GS4" s="153"/>
      <c r="GT4" s="153"/>
      <c r="GU4" s="153"/>
      <c r="GV4" s="153"/>
      <c r="GW4" s="153"/>
      <c r="GX4" s="154"/>
      <c r="GY4" s="153"/>
      <c r="GZ4" s="153"/>
      <c r="HA4" s="156"/>
    </row>
    <row r="5" spans="1:209" s="58" customFormat="1" ht="18" customHeight="1">
      <c r="A5" s="153" t="s">
        <v>3093</v>
      </c>
      <c r="B5" s="153" t="s">
        <v>3103</v>
      </c>
      <c r="C5" s="158" t="s">
        <v>3105</v>
      </c>
      <c r="D5" s="158" t="s">
        <v>79</v>
      </c>
      <c r="E5" s="153"/>
      <c r="F5" s="58" t="s">
        <v>2409</v>
      </c>
      <c r="G5" s="153"/>
      <c r="H5" s="153" t="s">
        <v>716</v>
      </c>
      <c r="I5" s="153" t="s">
        <v>2409</v>
      </c>
      <c r="J5" s="153"/>
      <c r="K5" s="153" t="s">
        <v>3064</v>
      </c>
      <c r="L5" s="153" t="s">
        <v>3148</v>
      </c>
      <c r="M5" s="153" t="s">
        <v>202</v>
      </c>
      <c r="N5" s="153" t="s">
        <v>625</v>
      </c>
      <c r="O5" s="153" t="s">
        <v>196</v>
      </c>
      <c r="P5" s="153"/>
      <c r="Q5" s="153"/>
      <c r="R5" s="153"/>
      <c r="S5" s="153"/>
      <c r="T5" s="153"/>
      <c r="U5" s="153"/>
      <c r="V5" s="153"/>
      <c r="W5" s="153"/>
      <c r="X5" s="153" t="s">
        <v>3145</v>
      </c>
      <c r="Y5" s="153" t="s">
        <v>3144</v>
      </c>
      <c r="Z5" s="153"/>
      <c r="AA5" s="153"/>
      <c r="AB5" s="153" t="s">
        <v>202</v>
      </c>
      <c r="AC5" s="153" t="s">
        <v>202</v>
      </c>
      <c r="AD5" s="153" t="s">
        <v>202</v>
      </c>
      <c r="AE5" s="153" t="s">
        <v>202</v>
      </c>
      <c r="AF5" s="153" t="s">
        <v>202</v>
      </c>
      <c r="AG5" s="153" t="s">
        <v>202</v>
      </c>
      <c r="AH5" s="153" t="s">
        <v>202</v>
      </c>
      <c r="AI5" s="153" t="s">
        <v>583</v>
      </c>
      <c r="AJ5" s="153" t="s">
        <v>3142</v>
      </c>
      <c r="AK5" s="153" t="s">
        <v>3146</v>
      </c>
      <c r="AL5" s="153" t="s">
        <v>3097</v>
      </c>
      <c r="AM5" s="153" t="s">
        <v>621</v>
      </c>
      <c r="AN5" s="153"/>
      <c r="AO5" s="153" t="s">
        <v>3143</v>
      </c>
      <c r="AP5" s="153" t="s">
        <v>562</v>
      </c>
      <c r="AQ5" s="153" t="s">
        <v>568</v>
      </c>
      <c r="AR5" s="153" t="s">
        <v>576</v>
      </c>
      <c r="AS5" s="153" t="s">
        <v>242</v>
      </c>
      <c r="AT5" s="154" t="s">
        <v>620</v>
      </c>
      <c r="AU5" s="154"/>
      <c r="AV5" s="154"/>
      <c r="AW5" s="153"/>
      <c r="AX5" s="153"/>
      <c r="AY5" s="153" t="s">
        <v>209</v>
      </c>
      <c r="AZ5" s="153"/>
      <c r="BA5" s="153"/>
      <c r="BB5" s="153"/>
      <c r="BC5" s="153"/>
      <c r="BD5" s="153" t="s">
        <v>3147</v>
      </c>
      <c r="BE5" s="153" t="s">
        <v>3142</v>
      </c>
      <c r="BF5" s="153" t="s">
        <v>2158</v>
      </c>
      <c r="BG5" s="153"/>
      <c r="BH5" s="155"/>
      <c r="BI5" s="153"/>
      <c r="BJ5" s="155"/>
      <c r="BK5" s="153"/>
      <c r="BL5" s="155"/>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t="s">
        <v>506</v>
      </c>
      <c r="CK5" s="153"/>
      <c r="CL5" s="156"/>
      <c r="CM5" s="153"/>
      <c r="CN5" s="154"/>
      <c r="CO5" s="153"/>
      <c r="CP5" s="153"/>
      <c r="CQ5" s="153"/>
      <c r="CR5" s="153"/>
      <c r="CS5" s="153"/>
      <c r="CT5" s="153">
        <v>710</v>
      </c>
      <c r="CU5" s="153"/>
      <c r="CV5" s="153"/>
      <c r="CW5" s="153"/>
      <c r="CX5" s="153"/>
      <c r="CY5" s="153"/>
      <c r="CZ5" s="153"/>
      <c r="DA5" s="154"/>
      <c r="DB5" s="156"/>
      <c r="DC5" s="153">
        <v>44</v>
      </c>
      <c r="DD5" s="153"/>
      <c r="DE5" s="153"/>
      <c r="DF5" s="153"/>
      <c r="DG5" s="153"/>
      <c r="DH5" s="153"/>
      <c r="DI5" s="153"/>
      <c r="DJ5" s="153"/>
      <c r="DK5" s="153"/>
      <c r="DL5" s="153"/>
      <c r="DM5" s="153"/>
      <c r="DN5" s="153"/>
      <c r="DO5" s="153"/>
      <c r="DP5" s="153"/>
      <c r="DQ5" s="154"/>
      <c r="DR5" s="153"/>
      <c r="DS5" s="153"/>
      <c r="DT5" s="153"/>
      <c r="DU5" s="153"/>
      <c r="DV5" s="153"/>
      <c r="DW5" s="153"/>
      <c r="DX5" s="153"/>
      <c r="DY5" s="153"/>
      <c r="DZ5" s="153"/>
      <c r="EA5" s="153"/>
      <c r="EB5" s="153"/>
      <c r="EC5" s="153"/>
      <c r="ED5" s="153"/>
      <c r="EE5" s="153"/>
      <c r="EF5" s="153"/>
      <c r="EG5" s="153"/>
      <c r="EH5" s="153"/>
      <c r="EI5" s="153"/>
      <c r="EJ5" s="153"/>
      <c r="EK5" s="153"/>
      <c r="EL5" s="153"/>
      <c r="EM5" s="153"/>
      <c r="EN5" s="153"/>
      <c r="EO5" s="153"/>
      <c r="EP5" s="153"/>
      <c r="EQ5" s="153"/>
      <c r="ER5" s="153"/>
      <c r="ES5" s="153"/>
      <c r="ET5" s="153"/>
      <c r="EU5" s="153"/>
      <c r="EV5" s="153"/>
      <c r="EW5" s="153"/>
      <c r="EX5" s="154"/>
      <c r="EY5" s="154"/>
      <c r="EZ5" s="154"/>
      <c r="FA5" s="154"/>
      <c r="FB5" s="154"/>
      <c r="FC5" s="154"/>
      <c r="FD5" s="154"/>
      <c r="FE5" s="154"/>
      <c r="FF5" s="154"/>
      <c r="FG5" s="154"/>
      <c r="FH5" s="153"/>
      <c r="FI5" s="153"/>
      <c r="FJ5" s="153"/>
      <c r="FK5" s="156"/>
      <c r="FL5" s="153"/>
      <c r="FM5" s="153"/>
      <c r="FN5" s="153"/>
      <c r="FO5" s="153"/>
      <c r="FP5" s="153"/>
      <c r="FQ5" s="153"/>
      <c r="FR5" s="153"/>
      <c r="FS5" s="153"/>
      <c r="FT5" s="153"/>
      <c r="FU5" s="153"/>
      <c r="FV5" s="153"/>
      <c r="FW5" s="153"/>
      <c r="FX5" s="153"/>
      <c r="FY5" s="153"/>
      <c r="FZ5" s="153"/>
      <c r="GA5" s="153"/>
      <c r="GB5" s="153"/>
      <c r="GC5" s="156"/>
      <c r="GD5" s="153"/>
      <c r="GE5" s="153"/>
      <c r="GF5" s="153"/>
      <c r="GG5" s="156"/>
      <c r="GH5" s="153"/>
      <c r="GI5" s="153"/>
      <c r="GJ5" s="153"/>
      <c r="GK5" s="156"/>
      <c r="GL5" s="153"/>
      <c r="GM5" s="153"/>
      <c r="GN5" s="153"/>
      <c r="GO5" s="153"/>
      <c r="GP5" s="153"/>
      <c r="GQ5" s="156"/>
      <c r="GR5" s="153"/>
      <c r="GS5" s="153"/>
      <c r="GT5" s="153"/>
      <c r="GU5" s="153"/>
      <c r="GV5" s="153"/>
      <c r="GW5" s="153"/>
      <c r="GX5" s="154"/>
      <c r="GY5" s="153"/>
      <c r="GZ5" s="153"/>
      <c r="HA5" s="156"/>
    </row>
    <row r="6" spans="1:209" s="58" customFormat="1" ht="18" customHeight="1">
      <c r="A6" s="153" t="s">
        <v>3094</v>
      </c>
      <c r="B6" s="153" t="s">
        <v>3093</v>
      </c>
      <c r="C6" s="164" t="s">
        <v>1685</v>
      </c>
      <c r="D6" s="164" t="s">
        <v>83</v>
      </c>
      <c r="E6" s="153"/>
      <c r="F6" s="58" t="s">
        <v>744</v>
      </c>
      <c r="G6" s="153"/>
      <c r="H6" s="153" t="s">
        <v>716</v>
      </c>
      <c r="I6" s="153" t="s">
        <v>744</v>
      </c>
      <c r="J6" s="153"/>
      <c r="K6" s="153" t="s">
        <v>3096</v>
      </c>
      <c r="L6" s="153" t="s">
        <v>3148</v>
      </c>
      <c r="M6" s="153" t="s">
        <v>202</v>
      </c>
      <c r="N6" s="153" t="s">
        <v>625</v>
      </c>
      <c r="O6" s="153" t="s">
        <v>196</v>
      </c>
      <c r="P6" s="153"/>
      <c r="Q6" s="153"/>
      <c r="R6" s="153"/>
      <c r="S6" s="153"/>
      <c r="T6" s="153"/>
      <c r="U6" s="153"/>
      <c r="V6" s="153"/>
      <c r="W6" s="153"/>
      <c r="X6" s="153" t="s">
        <v>3145</v>
      </c>
      <c r="Y6" s="153" t="s">
        <v>3144</v>
      </c>
      <c r="Z6" s="153"/>
      <c r="AA6" s="153"/>
      <c r="AB6" s="153" t="s">
        <v>202</v>
      </c>
      <c r="AC6" s="153" t="s">
        <v>202</v>
      </c>
      <c r="AD6" s="153" t="s">
        <v>202</v>
      </c>
      <c r="AE6" s="153" t="s">
        <v>202</v>
      </c>
      <c r="AF6" s="153" t="s">
        <v>202</v>
      </c>
      <c r="AG6" s="153" t="s">
        <v>202</v>
      </c>
      <c r="AH6" s="153" t="s">
        <v>202</v>
      </c>
      <c r="AI6" s="153" t="s">
        <v>583</v>
      </c>
      <c r="AJ6" s="153" t="s">
        <v>3142</v>
      </c>
      <c r="AK6" s="153" t="s">
        <v>3150</v>
      </c>
      <c r="AL6" s="153" t="s">
        <v>3095</v>
      </c>
      <c r="AM6" s="153" t="s">
        <v>621</v>
      </c>
      <c r="AN6" s="153"/>
      <c r="AO6" s="153" t="s">
        <v>3143</v>
      </c>
      <c r="AP6" s="153" t="s">
        <v>562</v>
      </c>
      <c r="AQ6" s="153" t="s">
        <v>568</v>
      </c>
      <c r="AR6" s="153" t="s">
        <v>576</v>
      </c>
      <c r="AS6" s="153" t="s">
        <v>242</v>
      </c>
      <c r="AT6" s="154" t="s">
        <v>620</v>
      </c>
      <c r="AU6" s="154"/>
      <c r="AV6" s="154"/>
      <c r="AW6" s="153"/>
      <c r="AX6" s="153"/>
      <c r="AY6" s="153" t="s">
        <v>209</v>
      </c>
      <c r="AZ6" s="153"/>
      <c r="BA6" s="153"/>
      <c r="BB6" s="153"/>
      <c r="BC6" s="153"/>
      <c r="BD6" s="153" t="s">
        <v>3147</v>
      </c>
      <c r="BE6" s="153" t="s">
        <v>3142</v>
      </c>
      <c r="BF6" s="153" t="s">
        <v>2156</v>
      </c>
      <c r="BG6" s="153"/>
      <c r="BH6" s="155"/>
      <c r="BI6" s="153"/>
      <c r="BJ6" s="155"/>
      <c r="BK6" s="153"/>
      <c r="BL6" s="155"/>
      <c r="BM6" s="153"/>
      <c r="BN6" s="153"/>
      <c r="BO6" s="153"/>
      <c r="BP6" s="153"/>
      <c r="BQ6" s="153"/>
      <c r="BR6" s="153"/>
      <c r="BS6" s="153"/>
      <c r="BT6" s="153"/>
      <c r="BU6" s="153"/>
      <c r="BV6" s="153"/>
      <c r="BW6" s="153"/>
      <c r="BX6" s="153"/>
      <c r="BY6" s="153"/>
      <c r="BZ6" s="153"/>
      <c r="CA6" s="153"/>
      <c r="CB6" s="153"/>
      <c r="CC6" s="153"/>
      <c r="CD6" s="153"/>
      <c r="CE6" s="153"/>
      <c r="CF6" s="153"/>
      <c r="CG6" s="153"/>
      <c r="CH6" s="153"/>
      <c r="CI6" s="153"/>
      <c r="CJ6" s="153" t="s">
        <v>3149</v>
      </c>
      <c r="CK6" s="153"/>
      <c r="CL6" s="156"/>
      <c r="CM6" s="153"/>
      <c r="CN6" s="154"/>
      <c r="CO6" s="153"/>
      <c r="CP6" s="153"/>
      <c r="CQ6" s="153"/>
      <c r="CR6" s="153"/>
      <c r="CS6" s="153"/>
      <c r="CT6" s="153"/>
      <c r="CU6" s="153"/>
      <c r="CV6" s="153"/>
      <c r="CW6" s="153"/>
      <c r="CX6" s="153"/>
      <c r="CY6" s="153"/>
      <c r="CZ6" s="153"/>
      <c r="DA6" s="154"/>
      <c r="DB6" s="156"/>
      <c r="DC6" s="153">
        <v>44</v>
      </c>
      <c r="DD6" s="153"/>
      <c r="DE6" s="153"/>
      <c r="DF6" s="153"/>
      <c r="DG6" s="153"/>
      <c r="DH6" s="153"/>
      <c r="DI6" s="153"/>
      <c r="DJ6" s="153"/>
      <c r="DK6" s="153"/>
      <c r="DL6" s="153"/>
      <c r="DM6" s="153"/>
      <c r="DN6" s="153"/>
      <c r="DO6" s="153"/>
      <c r="DP6" s="153"/>
      <c r="DQ6" s="154"/>
      <c r="DR6" s="153"/>
      <c r="DS6" s="153"/>
      <c r="DT6" s="153"/>
      <c r="DU6" s="153"/>
      <c r="DV6" s="153"/>
      <c r="DW6" s="153"/>
      <c r="DX6" s="153"/>
      <c r="DY6" s="153"/>
      <c r="DZ6" s="153"/>
      <c r="EA6" s="153"/>
      <c r="EB6" s="153"/>
      <c r="EC6" s="153"/>
      <c r="ED6" s="153"/>
      <c r="EE6" s="153"/>
      <c r="EF6" s="153"/>
      <c r="EG6" s="153"/>
      <c r="EH6" s="153"/>
      <c r="EI6" s="153"/>
      <c r="EJ6" s="153"/>
      <c r="EK6" s="153"/>
      <c r="EL6" s="153"/>
      <c r="EM6" s="153"/>
      <c r="EN6" s="153"/>
      <c r="EO6" s="153"/>
      <c r="EP6" s="153"/>
      <c r="EQ6" s="153"/>
      <c r="ER6" s="153"/>
      <c r="ES6" s="153"/>
      <c r="ET6" s="153"/>
      <c r="EU6" s="153"/>
      <c r="EV6" s="153"/>
      <c r="EW6" s="153"/>
      <c r="EX6" s="154"/>
      <c r="EY6" s="154"/>
      <c r="EZ6" s="154"/>
      <c r="FA6" s="154"/>
      <c r="FB6" s="154"/>
      <c r="FC6" s="154"/>
      <c r="FD6" s="154"/>
      <c r="FE6" s="154"/>
      <c r="FF6" s="154"/>
      <c r="FG6" s="154"/>
      <c r="FH6" s="153"/>
      <c r="FI6" s="153"/>
      <c r="FJ6" s="153"/>
      <c r="FK6" s="156"/>
      <c r="FL6" s="153"/>
      <c r="FM6" s="153"/>
      <c r="FN6" s="153"/>
      <c r="FO6" s="153"/>
      <c r="FP6" s="153"/>
      <c r="FQ6" s="153"/>
      <c r="FR6" s="153"/>
      <c r="FS6" s="153"/>
      <c r="FT6" s="153"/>
      <c r="FU6" s="153"/>
      <c r="FV6" s="153"/>
      <c r="FW6" s="153"/>
      <c r="FX6" s="153"/>
      <c r="FY6" s="153"/>
      <c r="FZ6" s="153"/>
      <c r="GA6" s="153"/>
      <c r="GB6" s="153"/>
      <c r="GC6" s="156"/>
      <c r="GD6" s="153"/>
      <c r="GE6" s="153"/>
      <c r="GF6" s="153"/>
      <c r="GG6" s="156"/>
      <c r="GH6" s="153"/>
      <c r="GI6" s="153"/>
      <c r="GJ6" s="153"/>
      <c r="GK6" s="156"/>
      <c r="GL6" s="153"/>
      <c r="GM6" s="153"/>
      <c r="GN6" s="153"/>
      <c r="GO6" s="153"/>
      <c r="GP6" s="153"/>
      <c r="GQ6" s="156"/>
      <c r="GR6" s="153"/>
      <c r="GS6" s="153"/>
      <c r="GT6" s="153"/>
      <c r="GU6" s="153"/>
      <c r="GV6" s="153"/>
      <c r="GW6" s="153"/>
      <c r="GX6" s="154"/>
      <c r="GY6" s="153"/>
      <c r="GZ6" s="153"/>
      <c r="HA6" s="156"/>
    </row>
    <row r="7" spans="1:209" s="58" customFormat="1" ht="18" customHeight="1">
      <c r="A7" s="153">
        <v>3773</v>
      </c>
      <c r="B7" s="153" t="s">
        <v>3094</v>
      </c>
      <c r="C7" s="176" t="s">
        <v>3106</v>
      </c>
      <c r="D7" s="176" t="s">
        <v>84</v>
      </c>
      <c r="E7" s="153" t="s">
        <v>84</v>
      </c>
      <c r="F7" s="58" t="s">
        <v>745</v>
      </c>
      <c r="G7" s="153"/>
      <c r="H7" s="153" t="s">
        <v>716</v>
      </c>
      <c r="I7" s="153" t="s">
        <v>745</v>
      </c>
      <c r="J7" s="153"/>
      <c r="K7" s="153"/>
      <c r="L7" s="153"/>
      <c r="M7" s="153" t="s">
        <v>554</v>
      </c>
      <c r="N7" s="153" t="s">
        <v>625</v>
      </c>
      <c r="O7" s="153" t="s">
        <v>196</v>
      </c>
      <c r="P7" s="153"/>
      <c r="Q7" s="153"/>
      <c r="R7" s="153"/>
      <c r="S7" s="153"/>
      <c r="T7" s="153"/>
      <c r="U7" s="153" t="s">
        <v>554</v>
      </c>
      <c r="V7" s="153"/>
      <c r="W7" s="153"/>
      <c r="X7" s="153"/>
      <c r="Y7" s="153"/>
      <c r="Z7" s="153"/>
      <c r="AA7" s="153"/>
      <c r="AB7" s="153" t="s">
        <v>202</v>
      </c>
      <c r="AC7" s="153" t="s">
        <v>202</v>
      </c>
      <c r="AD7" s="153" t="s">
        <v>202</v>
      </c>
      <c r="AE7" s="153" t="s">
        <v>202</v>
      </c>
      <c r="AF7" s="153" t="s">
        <v>202</v>
      </c>
      <c r="AG7" s="153" t="s">
        <v>202</v>
      </c>
      <c r="AH7" s="153" t="s">
        <v>202</v>
      </c>
      <c r="AI7" s="153" t="s">
        <v>583</v>
      </c>
      <c r="AJ7" s="153" t="s">
        <v>3142</v>
      </c>
      <c r="AK7" s="153" t="s">
        <v>3151</v>
      </c>
      <c r="AL7" s="153" t="s">
        <v>3095</v>
      </c>
      <c r="AM7" s="153" t="s">
        <v>621</v>
      </c>
      <c r="AN7" s="153"/>
      <c r="AO7" s="153" t="s">
        <v>3143</v>
      </c>
      <c r="AP7" s="153" t="s">
        <v>562</v>
      </c>
      <c r="AQ7" s="153" t="s">
        <v>568</v>
      </c>
      <c r="AR7" s="153" t="s">
        <v>576</v>
      </c>
      <c r="AS7" s="153" t="s">
        <v>242</v>
      </c>
      <c r="AT7" s="154" t="s">
        <v>620</v>
      </c>
      <c r="AU7" s="154"/>
      <c r="AV7" s="154"/>
      <c r="AW7" s="153"/>
      <c r="AX7" s="153"/>
      <c r="AY7" s="153"/>
      <c r="AZ7" s="153"/>
      <c r="BA7" s="153"/>
      <c r="BB7" s="153"/>
      <c r="BC7" s="153"/>
      <c r="BD7" s="153"/>
      <c r="BE7" s="153"/>
      <c r="BF7" s="153"/>
      <c r="BG7" s="153"/>
      <c r="BH7" s="155"/>
      <c r="BI7" s="153"/>
      <c r="BJ7" s="155"/>
      <c r="BK7" s="153"/>
      <c r="BL7" s="155"/>
      <c r="BM7" s="153"/>
      <c r="BN7" s="153"/>
      <c r="BO7" s="153"/>
      <c r="BP7" s="153"/>
      <c r="BQ7" s="153"/>
      <c r="BR7" s="153"/>
      <c r="BS7" s="153"/>
      <c r="BT7" s="153"/>
      <c r="BU7" s="153"/>
      <c r="BV7" s="153"/>
      <c r="BW7" s="153"/>
      <c r="BX7" s="153"/>
      <c r="BY7" s="153"/>
      <c r="BZ7" s="153"/>
      <c r="CA7" s="153"/>
      <c r="CB7" s="153"/>
      <c r="CC7" s="153"/>
      <c r="CD7" s="153"/>
      <c r="CE7" s="153"/>
      <c r="CF7" s="153"/>
      <c r="CG7" s="153"/>
      <c r="CH7" s="153"/>
      <c r="CI7" s="153"/>
      <c r="CJ7" s="153"/>
      <c r="CK7" s="153"/>
      <c r="CL7" s="156"/>
      <c r="CM7" s="153"/>
      <c r="CN7" s="154"/>
      <c r="CO7" s="153"/>
      <c r="CP7" s="153"/>
      <c r="CQ7" s="153"/>
      <c r="CR7" s="153"/>
      <c r="CS7" s="153"/>
      <c r="CT7" s="153"/>
      <c r="CU7" s="153"/>
      <c r="CV7" s="153"/>
      <c r="CW7" s="153"/>
      <c r="CX7" s="153"/>
      <c r="CY7" s="153"/>
      <c r="CZ7" s="153"/>
      <c r="DA7" s="154"/>
      <c r="DB7" s="156"/>
      <c r="DC7" s="153"/>
      <c r="DD7" s="153"/>
      <c r="DE7" s="153"/>
      <c r="DF7" s="153"/>
      <c r="DG7" s="153"/>
      <c r="DH7" s="153"/>
      <c r="DI7" s="153"/>
      <c r="DJ7" s="153"/>
      <c r="DK7" s="153"/>
      <c r="DL7" s="153"/>
      <c r="DM7" s="153"/>
      <c r="DN7" s="153"/>
      <c r="DO7" s="153"/>
      <c r="DP7" s="153"/>
      <c r="DQ7" s="154"/>
      <c r="DR7" s="153"/>
      <c r="DS7" s="153"/>
      <c r="DT7" s="153"/>
      <c r="DU7" s="153"/>
      <c r="DV7" s="153"/>
      <c r="DW7" s="153"/>
      <c r="DX7" s="153"/>
      <c r="DY7" s="153"/>
      <c r="DZ7" s="153"/>
      <c r="EA7" s="153"/>
      <c r="EB7" s="153"/>
      <c r="EC7" s="153"/>
      <c r="ED7" s="153"/>
      <c r="EE7" s="153"/>
      <c r="EF7" s="153"/>
      <c r="EG7" s="153"/>
      <c r="EH7" s="153"/>
      <c r="EI7" s="153"/>
      <c r="EJ7" s="153"/>
      <c r="EK7" s="153"/>
      <c r="EL7" s="153"/>
      <c r="EM7" s="153"/>
      <c r="EN7" s="153"/>
      <c r="EO7" s="153"/>
      <c r="EP7" s="153"/>
      <c r="EQ7" s="153"/>
      <c r="ER7" s="153"/>
      <c r="ES7" s="153"/>
      <c r="ET7" s="153"/>
      <c r="EU7" s="153"/>
      <c r="EV7" s="153"/>
      <c r="EW7" s="153"/>
      <c r="EX7" s="154"/>
      <c r="EY7" s="154"/>
      <c r="EZ7" s="154"/>
      <c r="FA7" s="154"/>
      <c r="FB7" s="154"/>
      <c r="FC7" s="154"/>
      <c r="FD7" s="154"/>
      <c r="FE7" s="154"/>
      <c r="FF7" s="154"/>
      <c r="FG7" s="154"/>
      <c r="FH7" s="153"/>
      <c r="FI7" s="153"/>
      <c r="FJ7" s="153"/>
      <c r="FK7" s="156"/>
      <c r="FL7" s="153"/>
      <c r="FM7" s="153"/>
      <c r="FN7" s="153"/>
      <c r="FO7" s="153"/>
      <c r="FP7" s="153"/>
      <c r="FQ7" s="153"/>
      <c r="FR7" s="153"/>
      <c r="FS7" s="153"/>
      <c r="FT7" s="153"/>
      <c r="FU7" s="153"/>
      <c r="FV7" s="153"/>
      <c r="FW7" s="153"/>
      <c r="FX7" s="153"/>
      <c r="FY7" s="153"/>
      <c r="FZ7" s="153"/>
      <c r="GA7" s="153"/>
      <c r="GB7" s="153"/>
      <c r="GC7" s="156"/>
      <c r="GD7" s="153"/>
      <c r="GE7" s="153"/>
      <c r="GF7" s="153"/>
      <c r="GG7" s="156"/>
      <c r="GH7" s="153"/>
      <c r="GI7" s="153"/>
      <c r="GJ7" s="153"/>
      <c r="GK7" s="156"/>
      <c r="GL7" s="153"/>
      <c r="GM7" s="153"/>
      <c r="GN7" s="153"/>
      <c r="GO7" s="153"/>
      <c r="GP7" s="153"/>
      <c r="GQ7" s="156"/>
      <c r="GR7" s="153"/>
      <c r="GS7" s="153"/>
      <c r="GT7" s="153"/>
      <c r="GU7" s="153"/>
      <c r="GV7" s="153"/>
      <c r="GW7" s="153"/>
      <c r="GX7" s="154"/>
      <c r="GY7" s="153"/>
      <c r="GZ7" s="153"/>
      <c r="HA7" s="156"/>
    </row>
    <row r="8" spans="1:209" s="58" customFormat="1" ht="18" customHeight="1">
      <c r="A8" s="153" t="s">
        <v>3107</v>
      </c>
      <c r="B8" s="153" t="s">
        <v>3093</v>
      </c>
      <c r="C8" s="164" t="s">
        <v>3108</v>
      </c>
      <c r="D8" s="164" t="s">
        <v>83</v>
      </c>
      <c r="E8" s="153"/>
      <c r="F8" s="58" t="s">
        <v>1117</v>
      </c>
      <c r="G8" s="153"/>
      <c r="H8" s="153" t="s">
        <v>716</v>
      </c>
      <c r="I8" s="153" t="s">
        <v>1117</v>
      </c>
      <c r="J8" s="153"/>
      <c r="K8" s="153" t="s">
        <v>3152</v>
      </c>
      <c r="L8" s="153" t="s">
        <v>3154</v>
      </c>
      <c r="M8" s="153" t="s">
        <v>202</v>
      </c>
      <c r="N8" s="153" t="s">
        <v>625</v>
      </c>
      <c r="O8" s="153" t="s">
        <v>196</v>
      </c>
      <c r="P8" s="153"/>
      <c r="Q8" s="153"/>
      <c r="R8" s="153"/>
      <c r="S8" s="153"/>
      <c r="T8" s="153"/>
      <c r="U8" s="153"/>
      <c r="V8" s="153"/>
      <c r="W8" s="153"/>
      <c r="X8" s="153"/>
      <c r="Y8" s="153"/>
      <c r="Z8" s="153"/>
      <c r="AA8" s="153"/>
      <c r="AB8" s="153" t="s">
        <v>202</v>
      </c>
      <c r="AC8" s="153" t="s">
        <v>202</v>
      </c>
      <c r="AD8" s="153" t="s">
        <v>202</v>
      </c>
      <c r="AE8" s="153" t="s">
        <v>202</v>
      </c>
      <c r="AF8" s="153" t="s">
        <v>202</v>
      </c>
      <c r="AG8" s="153" t="s">
        <v>202</v>
      </c>
      <c r="AH8" s="153" t="s">
        <v>202</v>
      </c>
      <c r="AI8" s="153" t="s">
        <v>583</v>
      </c>
      <c r="AJ8" s="153" t="s">
        <v>3142</v>
      </c>
      <c r="AK8" s="153" t="s">
        <v>3153</v>
      </c>
      <c r="AL8" s="153" t="s">
        <v>3095</v>
      </c>
      <c r="AM8" s="153" t="s">
        <v>621</v>
      </c>
      <c r="AN8" s="153"/>
      <c r="AO8" s="153" t="s">
        <v>3143</v>
      </c>
      <c r="AP8" s="153" t="s">
        <v>562</v>
      </c>
      <c r="AQ8" s="153" t="s">
        <v>568</v>
      </c>
      <c r="AR8" s="153" t="s">
        <v>576</v>
      </c>
      <c r="AS8" s="153" t="s">
        <v>242</v>
      </c>
      <c r="AT8" s="154" t="s">
        <v>620</v>
      </c>
      <c r="AU8" s="154"/>
      <c r="AV8" s="154"/>
      <c r="AW8" s="153"/>
      <c r="AX8" s="153"/>
      <c r="AY8" s="153" t="s">
        <v>209</v>
      </c>
      <c r="AZ8" s="153"/>
      <c r="BA8" s="153"/>
      <c r="BB8" s="153"/>
      <c r="BC8" s="153"/>
      <c r="BD8" s="153" t="s">
        <v>3147</v>
      </c>
      <c r="BE8" s="153" t="s">
        <v>3142</v>
      </c>
      <c r="BF8" s="153" t="s">
        <v>2156</v>
      </c>
      <c r="BG8" s="153"/>
      <c r="BH8" s="155"/>
      <c r="BI8" s="153"/>
      <c r="BJ8" s="155"/>
      <c r="BK8" s="153"/>
      <c r="BL8" s="155"/>
      <c r="BM8" s="153"/>
      <c r="BN8" s="153"/>
      <c r="BO8" s="153"/>
      <c r="BP8" s="153"/>
      <c r="BQ8" s="153"/>
      <c r="BR8" s="153"/>
      <c r="BS8" s="153"/>
      <c r="BT8" s="153"/>
      <c r="BU8" s="153"/>
      <c r="BV8" s="153"/>
      <c r="BW8" s="153"/>
      <c r="BX8" s="153"/>
      <c r="BY8" s="153"/>
      <c r="BZ8" s="153"/>
      <c r="CA8" s="153"/>
      <c r="CB8" s="153"/>
      <c r="CC8" s="153"/>
      <c r="CD8" s="153"/>
      <c r="CE8" s="153"/>
      <c r="CF8" s="153"/>
      <c r="CG8" s="153"/>
      <c r="CH8" s="153"/>
      <c r="CI8" s="153"/>
      <c r="CJ8" s="153" t="s">
        <v>3149</v>
      </c>
      <c r="CK8" s="153"/>
      <c r="CL8" s="156"/>
      <c r="CM8" s="153"/>
      <c r="CN8" s="154"/>
      <c r="CO8" s="153"/>
      <c r="CP8" s="153"/>
      <c r="CQ8" s="153"/>
      <c r="CR8" s="153"/>
      <c r="CS8" s="153"/>
      <c r="CT8" s="153"/>
      <c r="CU8" s="153"/>
      <c r="CV8" s="153"/>
      <c r="CW8" s="153"/>
      <c r="CX8" s="153"/>
      <c r="CY8" s="153"/>
      <c r="CZ8" s="153"/>
      <c r="DA8" s="154"/>
      <c r="DB8" s="156"/>
      <c r="DC8" s="153">
        <v>44</v>
      </c>
      <c r="DD8" s="153"/>
      <c r="DE8" s="153"/>
      <c r="DF8" s="153"/>
      <c r="DG8" s="153"/>
      <c r="DH8" s="153"/>
      <c r="DI8" s="153"/>
      <c r="DJ8" s="153"/>
      <c r="DK8" s="153"/>
      <c r="DL8" s="153"/>
      <c r="DM8" s="153"/>
      <c r="DN8" s="153"/>
      <c r="DO8" s="153"/>
      <c r="DP8" s="153"/>
      <c r="DQ8" s="154"/>
      <c r="DR8" s="153"/>
      <c r="DS8" s="153"/>
      <c r="DT8" s="153"/>
      <c r="DU8" s="153"/>
      <c r="DV8" s="153"/>
      <c r="DW8" s="153"/>
      <c r="DX8" s="153"/>
      <c r="DY8" s="153"/>
      <c r="DZ8" s="153"/>
      <c r="EA8" s="153"/>
      <c r="EB8" s="153"/>
      <c r="EC8" s="153"/>
      <c r="ED8" s="153"/>
      <c r="EE8" s="153"/>
      <c r="EF8" s="153"/>
      <c r="EG8" s="153"/>
      <c r="EH8" s="153"/>
      <c r="EI8" s="153"/>
      <c r="EJ8" s="153"/>
      <c r="EK8" s="153"/>
      <c r="EL8" s="153"/>
      <c r="EM8" s="153"/>
      <c r="EN8" s="153"/>
      <c r="EO8" s="153"/>
      <c r="EP8" s="153"/>
      <c r="EQ8" s="153"/>
      <c r="ER8" s="153"/>
      <c r="ES8" s="153"/>
      <c r="ET8" s="153"/>
      <c r="EU8" s="153"/>
      <c r="EV8" s="153"/>
      <c r="EW8" s="153"/>
      <c r="EX8" s="154"/>
      <c r="EY8" s="154"/>
      <c r="EZ8" s="154"/>
      <c r="FA8" s="154"/>
      <c r="FB8" s="154"/>
      <c r="FC8" s="154"/>
      <c r="FD8" s="154"/>
      <c r="FE8" s="154"/>
      <c r="FF8" s="154"/>
      <c r="FG8" s="154"/>
      <c r="FH8" s="153"/>
      <c r="FI8" s="153"/>
      <c r="FJ8" s="153"/>
      <c r="FK8" s="156"/>
      <c r="FL8" s="153"/>
      <c r="FM8" s="153"/>
      <c r="FN8" s="153"/>
      <c r="FO8" s="153"/>
      <c r="FP8" s="153"/>
      <c r="FQ8" s="153"/>
      <c r="FR8" s="153"/>
      <c r="FS8" s="153"/>
      <c r="FT8" s="153"/>
      <c r="FU8" s="153"/>
      <c r="FV8" s="153"/>
      <c r="FW8" s="153"/>
      <c r="FX8" s="153"/>
      <c r="FY8" s="153"/>
      <c r="FZ8" s="153"/>
      <c r="GA8" s="153"/>
      <c r="GB8" s="153"/>
      <c r="GC8" s="156"/>
      <c r="GD8" s="153"/>
      <c r="GE8" s="153"/>
      <c r="GF8" s="153"/>
      <c r="GG8" s="156"/>
      <c r="GH8" s="153"/>
      <c r="GI8" s="153"/>
      <c r="GJ8" s="153"/>
      <c r="GK8" s="156"/>
      <c r="GL8" s="153"/>
      <c r="GM8" s="153"/>
      <c r="GN8" s="153"/>
      <c r="GO8" s="153"/>
      <c r="GP8" s="153"/>
      <c r="GQ8" s="156"/>
      <c r="GR8" s="153"/>
      <c r="GS8" s="153"/>
      <c r="GT8" s="153"/>
      <c r="GU8" s="153"/>
      <c r="GV8" s="153"/>
      <c r="GW8" s="153"/>
      <c r="GX8" s="154"/>
      <c r="GY8" s="153"/>
      <c r="GZ8" s="153"/>
      <c r="HA8" s="156"/>
    </row>
    <row r="9" spans="1:209" s="58" customFormat="1" ht="18" customHeight="1">
      <c r="A9" s="153">
        <v>3954</v>
      </c>
      <c r="B9" s="153" t="s">
        <v>3107</v>
      </c>
      <c r="C9" s="176" t="s">
        <v>3109</v>
      </c>
      <c r="D9" s="176" t="s">
        <v>84</v>
      </c>
      <c r="E9" s="153" t="s">
        <v>485</v>
      </c>
      <c r="F9" s="58" t="s">
        <v>1116</v>
      </c>
      <c r="G9" s="153"/>
      <c r="H9" s="153" t="s">
        <v>716</v>
      </c>
      <c r="I9" s="153" t="s">
        <v>1116</v>
      </c>
      <c r="J9" s="153"/>
      <c r="K9" s="153"/>
      <c r="L9" s="153"/>
      <c r="M9" s="153" t="s">
        <v>554</v>
      </c>
      <c r="N9" s="153" t="s">
        <v>625</v>
      </c>
      <c r="O9" s="153" t="s">
        <v>196</v>
      </c>
      <c r="P9" s="153"/>
      <c r="Q9" s="153"/>
      <c r="R9" s="153"/>
      <c r="S9" s="153"/>
      <c r="T9" s="153"/>
      <c r="U9" s="153" t="s">
        <v>554</v>
      </c>
      <c r="V9" s="153"/>
      <c r="W9" s="153"/>
      <c r="X9" s="153"/>
      <c r="Y9" s="153"/>
      <c r="Z9" s="153"/>
      <c r="AA9" s="153"/>
      <c r="AB9" s="153" t="s">
        <v>202</v>
      </c>
      <c r="AC9" s="153" t="s">
        <v>202</v>
      </c>
      <c r="AD9" s="153" t="s">
        <v>202</v>
      </c>
      <c r="AE9" s="153" t="s">
        <v>202</v>
      </c>
      <c r="AF9" s="153" t="s">
        <v>202</v>
      </c>
      <c r="AG9" s="153" t="s">
        <v>202</v>
      </c>
      <c r="AH9" s="153" t="s">
        <v>202</v>
      </c>
      <c r="AI9" s="153" t="s">
        <v>583</v>
      </c>
      <c r="AJ9" s="153" t="s">
        <v>3142</v>
      </c>
      <c r="AK9" s="153" t="s">
        <v>3155</v>
      </c>
      <c r="AL9" s="153" t="s">
        <v>3095</v>
      </c>
      <c r="AM9" s="153" t="s">
        <v>621</v>
      </c>
      <c r="AN9" s="153"/>
      <c r="AO9" s="153" t="s">
        <v>3143</v>
      </c>
      <c r="AP9" s="153" t="s">
        <v>562</v>
      </c>
      <c r="AQ9" s="153" t="s">
        <v>568</v>
      </c>
      <c r="AR9" s="153" t="s">
        <v>576</v>
      </c>
      <c r="AS9" s="153" t="s">
        <v>242</v>
      </c>
      <c r="AT9" s="154" t="s">
        <v>620</v>
      </c>
      <c r="AU9" s="154"/>
      <c r="AV9" s="154"/>
      <c r="AW9" s="153"/>
      <c r="AX9" s="153"/>
      <c r="AY9" s="153"/>
      <c r="AZ9" s="153"/>
      <c r="BA9" s="153"/>
      <c r="BB9" s="153"/>
      <c r="BC9" s="153"/>
      <c r="BD9" s="153"/>
      <c r="BE9" s="153"/>
      <c r="BF9" s="153"/>
      <c r="BG9" s="153"/>
      <c r="BH9" s="155"/>
      <c r="BI9" s="153"/>
      <c r="BJ9" s="155"/>
      <c r="BK9" s="153"/>
      <c r="BL9" s="155"/>
      <c r="BM9" s="153"/>
      <c r="BN9" s="153"/>
      <c r="BO9" s="153"/>
      <c r="BP9" s="153"/>
      <c r="BQ9" s="153"/>
      <c r="BR9" s="153"/>
      <c r="BS9" s="153"/>
      <c r="BT9" s="153"/>
      <c r="BU9" s="153"/>
      <c r="BV9" s="153"/>
      <c r="BW9" s="153"/>
      <c r="BX9" s="153"/>
      <c r="BY9" s="153"/>
      <c r="BZ9" s="153"/>
      <c r="CA9" s="153"/>
      <c r="CB9" s="153"/>
      <c r="CC9" s="153"/>
      <c r="CD9" s="153"/>
      <c r="CE9" s="153"/>
      <c r="CF9" s="153"/>
      <c r="CG9" s="153"/>
      <c r="CH9" s="153"/>
      <c r="CI9" s="153"/>
      <c r="CJ9" s="153"/>
      <c r="CK9" s="153"/>
      <c r="CL9" s="156"/>
      <c r="CM9" s="153"/>
      <c r="CN9" s="154"/>
      <c r="CO9" s="153"/>
      <c r="CP9" s="153"/>
      <c r="CQ9" s="153"/>
      <c r="CR9" s="153"/>
      <c r="CS9" s="153"/>
      <c r="CT9" s="153"/>
      <c r="CU9" s="153"/>
      <c r="CV9" s="153"/>
      <c r="CW9" s="153"/>
      <c r="CX9" s="153"/>
      <c r="CY9" s="153"/>
      <c r="CZ9" s="153"/>
      <c r="DA9" s="154"/>
      <c r="DB9" s="156"/>
      <c r="DC9" s="153"/>
      <c r="DD9" s="153"/>
      <c r="DE9" s="153"/>
      <c r="DF9" s="153"/>
      <c r="DG9" s="153"/>
      <c r="DH9" s="153"/>
      <c r="DI9" s="153"/>
      <c r="DJ9" s="153"/>
      <c r="DK9" s="153"/>
      <c r="DL9" s="153"/>
      <c r="DM9" s="153"/>
      <c r="DN9" s="153"/>
      <c r="DO9" s="153"/>
      <c r="DP9" s="153"/>
      <c r="DQ9" s="154"/>
      <c r="DR9" s="153"/>
      <c r="DS9" s="153"/>
      <c r="DT9" s="153"/>
      <c r="DU9" s="153"/>
      <c r="DV9" s="153"/>
      <c r="DW9" s="153"/>
      <c r="DX9" s="153"/>
      <c r="DY9" s="153"/>
      <c r="DZ9" s="153"/>
      <c r="EA9" s="153"/>
      <c r="EB9" s="153"/>
      <c r="EC9" s="153"/>
      <c r="ED9" s="153"/>
      <c r="EE9" s="153"/>
      <c r="EF9" s="153"/>
      <c r="EG9" s="153"/>
      <c r="EH9" s="153"/>
      <c r="EI9" s="153"/>
      <c r="EJ9" s="153"/>
      <c r="EK9" s="153"/>
      <c r="EL9" s="153"/>
      <c r="EM9" s="153"/>
      <c r="EN9" s="153"/>
      <c r="EO9" s="153"/>
      <c r="EP9" s="153"/>
      <c r="EQ9" s="153"/>
      <c r="ER9" s="153"/>
      <c r="ES9" s="153"/>
      <c r="ET9" s="153"/>
      <c r="EU9" s="153"/>
      <c r="EV9" s="153"/>
      <c r="EW9" s="153"/>
      <c r="EX9" s="154"/>
      <c r="EY9" s="154"/>
      <c r="EZ9" s="154"/>
      <c r="FA9" s="154"/>
      <c r="FB9" s="154"/>
      <c r="FC9" s="154"/>
      <c r="FD9" s="154"/>
      <c r="FE9" s="154"/>
      <c r="FF9" s="154"/>
      <c r="FG9" s="154"/>
      <c r="FH9" s="153"/>
      <c r="FI9" s="153"/>
      <c r="FJ9" s="153"/>
      <c r="FK9" s="156"/>
      <c r="FL9" s="153"/>
      <c r="FM9" s="153"/>
      <c r="FN9" s="153"/>
      <c r="FO9" s="153"/>
      <c r="FP9" s="153"/>
      <c r="FQ9" s="153"/>
      <c r="FR9" s="153"/>
      <c r="FS9" s="153"/>
      <c r="FT9" s="153"/>
      <c r="FU9" s="153"/>
      <c r="FV9" s="153"/>
      <c r="FW9" s="153"/>
      <c r="FX9" s="153"/>
      <c r="FY9" s="153"/>
      <c r="FZ9" s="153"/>
      <c r="GA9" s="153"/>
      <c r="GB9" s="153"/>
      <c r="GC9" s="156"/>
      <c r="GD9" s="153"/>
      <c r="GE9" s="153"/>
      <c r="GF9" s="153"/>
      <c r="GG9" s="156"/>
      <c r="GH9" s="153"/>
      <c r="GI9" s="153"/>
      <c r="GJ9" s="153"/>
      <c r="GK9" s="156"/>
      <c r="GL9" s="153"/>
      <c r="GM9" s="153"/>
      <c r="GN9" s="153"/>
      <c r="GO9" s="153"/>
      <c r="GP9" s="153"/>
      <c r="GQ9" s="156"/>
      <c r="GR9" s="153"/>
      <c r="GS9" s="153"/>
      <c r="GT9" s="153"/>
      <c r="GU9" s="153"/>
      <c r="GV9" s="153"/>
      <c r="GW9" s="153"/>
      <c r="GX9" s="154"/>
      <c r="GY9" s="153"/>
      <c r="GZ9" s="153"/>
      <c r="HA9" s="156"/>
    </row>
    <row r="10" spans="1:209" s="58" customFormat="1" ht="18" customHeight="1">
      <c r="A10" s="153" t="s">
        <v>3092</v>
      </c>
      <c r="B10" s="153" t="s">
        <v>3093</v>
      </c>
      <c r="C10" s="164" t="s">
        <v>1638</v>
      </c>
      <c r="D10" s="164" t="s">
        <v>83</v>
      </c>
      <c r="E10" s="153"/>
      <c r="F10" s="58" t="s">
        <v>1098</v>
      </c>
      <c r="G10" s="153"/>
      <c r="H10" s="153" t="s">
        <v>716</v>
      </c>
      <c r="I10" s="153" t="s">
        <v>1098</v>
      </c>
      <c r="J10" s="153"/>
      <c r="K10" s="153" t="s">
        <v>3156</v>
      </c>
      <c r="L10" s="153" t="s">
        <v>3159</v>
      </c>
      <c r="M10" s="153" t="s">
        <v>202</v>
      </c>
      <c r="N10" s="153" t="s">
        <v>625</v>
      </c>
      <c r="O10" s="153" t="s">
        <v>196</v>
      </c>
      <c r="P10" s="153"/>
      <c r="Q10" s="153"/>
      <c r="R10" s="153"/>
      <c r="S10" s="153"/>
      <c r="T10" s="153"/>
      <c r="U10" s="153"/>
      <c r="V10" s="153"/>
      <c r="W10" s="153"/>
      <c r="X10" s="153"/>
      <c r="Y10" s="153"/>
      <c r="Z10" s="153"/>
      <c r="AA10" s="153"/>
      <c r="AB10" s="153" t="s">
        <v>202</v>
      </c>
      <c r="AC10" s="153" t="s">
        <v>202</v>
      </c>
      <c r="AD10" s="153" t="s">
        <v>202</v>
      </c>
      <c r="AE10" s="153" t="s">
        <v>202</v>
      </c>
      <c r="AF10" s="153" t="s">
        <v>202</v>
      </c>
      <c r="AG10" s="153" t="s">
        <v>202</v>
      </c>
      <c r="AH10" s="153" t="s">
        <v>202</v>
      </c>
      <c r="AI10" s="153" t="s">
        <v>583</v>
      </c>
      <c r="AJ10" s="153" t="s">
        <v>3142</v>
      </c>
      <c r="AK10" s="153" t="s">
        <v>3157</v>
      </c>
      <c r="AL10" s="153" t="s">
        <v>3095</v>
      </c>
      <c r="AM10" s="153" t="s">
        <v>621</v>
      </c>
      <c r="AN10" s="153"/>
      <c r="AO10" s="153" t="s">
        <v>3143</v>
      </c>
      <c r="AP10" s="153" t="s">
        <v>562</v>
      </c>
      <c r="AQ10" s="153" t="s">
        <v>568</v>
      </c>
      <c r="AR10" s="153" t="s">
        <v>576</v>
      </c>
      <c r="AS10" s="153" t="s">
        <v>242</v>
      </c>
      <c r="AT10" s="154" t="s">
        <v>620</v>
      </c>
      <c r="AU10" s="154"/>
      <c r="AV10" s="154"/>
      <c r="AW10" s="153"/>
      <c r="AX10" s="153"/>
      <c r="AY10" s="153" t="s">
        <v>209</v>
      </c>
      <c r="AZ10" s="153"/>
      <c r="BA10" s="153"/>
      <c r="BB10" s="153"/>
      <c r="BC10" s="153"/>
      <c r="BD10" s="153" t="s">
        <v>3158</v>
      </c>
      <c r="BE10" s="153" t="s">
        <v>3142</v>
      </c>
      <c r="BF10" s="153" t="s">
        <v>2158</v>
      </c>
      <c r="BG10" s="153"/>
      <c r="BH10" s="155"/>
      <c r="BI10" s="153"/>
      <c r="BJ10" s="155"/>
      <c r="BK10" s="153"/>
      <c r="BL10" s="155"/>
      <c r="BM10" s="153"/>
      <c r="BN10" s="153"/>
      <c r="BO10" s="153"/>
      <c r="BP10" s="153"/>
      <c r="BQ10" s="153"/>
      <c r="BR10" s="153"/>
      <c r="BS10" s="153"/>
      <c r="BT10" s="153"/>
      <c r="BU10" s="153"/>
      <c r="BV10" s="153"/>
      <c r="BW10" s="153"/>
      <c r="BX10" s="153"/>
      <c r="BY10" s="153"/>
      <c r="BZ10" s="153"/>
      <c r="CA10" s="153"/>
      <c r="CB10" s="153"/>
      <c r="CC10" s="153"/>
      <c r="CD10" s="153"/>
      <c r="CE10" s="153"/>
      <c r="CF10" s="153"/>
      <c r="CG10" s="153"/>
      <c r="CH10" s="153"/>
      <c r="CI10" s="153"/>
      <c r="CJ10" s="153" t="s">
        <v>506</v>
      </c>
      <c r="CK10" s="153"/>
      <c r="CL10" s="156"/>
      <c r="CM10" s="153"/>
      <c r="CN10" s="154"/>
      <c r="CO10" s="153"/>
      <c r="CP10" s="153"/>
      <c r="CQ10" s="153"/>
      <c r="CR10" s="153"/>
      <c r="CS10" s="153"/>
      <c r="CT10" s="153"/>
      <c r="CU10" s="153"/>
      <c r="CV10" s="153"/>
      <c r="CW10" s="153"/>
      <c r="CX10" s="153"/>
      <c r="CY10" s="153"/>
      <c r="CZ10" s="153"/>
      <c r="DA10" s="154"/>
      <c r="DB10" s="156"/>
      <c r="DC10" s="153">
        <v>44</v>
      </c>
      <c r="DD10" s="153"/>
      <c r="DE10" s="153"/>
      <c r="DF10" s="153"/>
      <c r="DG10" s="153"/>
      <c r="DH10" s="153"/>
      <c r="DI10" s="153"/>
      <c r="DJ10" s="153"/>
      <c r="DK10" s="153"/>
      <c r="DL10" s="153"/>
      <c r="DM10" s="153"/>
      <c r="DN10" s="153"/>
      <c r="DO10" s="153"/>
      <c r="DP10" s="153"/>
      <c r="DQ10" s="154"/>
      <c r="DR10" s="153"/>
      <c r="DS10" s="153"/>
      <c r="DT10" s="153"/>
      <c r="DU10" s="153"/>
      <c r="DV10" s="153"/>
      <c r="DW10" s="153"/>
      <c r="DX10" s="153"/>
      <c r="DY10" s="153"/>
      <c r="DZ10" s="153"/>
      <c r="EA10" s="153"/>
      <c r="EB10" s="153"/>
      <c r="EC10" s="153"/>
      <c r="ED10" s="153"/>
      <c r="EE10" s="153"/>
      <c r="EF10" s="153"/>
      <c r="EG10" s="153"/>
      <c r="EH10" s="153"/>
      <c r="EI10" s="153"/>
      <c r="EJ10" s="153"/>
      <c r="EK10" s="153"/>
      <c r="EL10" s="153"/>
      <c r="EM10" s="153"/>
      <c r="EN10" s="153"/>
      <c r="EO10" s="153"/>
      <c r="EP10" s="153"/>
      <c r="EQ10" s="153"/>
      <c r="ER10" s="153"/>
      <c r="ES10" s="153"/>
      <c r="ET10" s="153"/>
      <c r="EU10" s="153"/>
      <c r="EV10" s="153"/>
      <c r="EW10" s="153"/>
      <c r="EX10" s="154"/>
      <c r="EY10" s="154"/>
      <c r="EZ10" s="154"/>
      <c r="FA10" s="154"/>
      <c r="FB10" s="154"/>
      <c r="FC10" s="154"/>
      <c r="FD10" s="154"/>
      <c r="FE10" s="154"/>
      <c r="FF10" s="154"/>
      <c r="FG10" s="154"/>
      <c r="FH10" s="153"/>
      <c r="FI10" s="153"/>
      <c r="FJ10" s="153"/>
      <c r="FK10" s="156"/>
      <c r="FL10" s="153"/>
      <c r="FM10" s="153"/>
      <c r="FN10" s="153"/>
      <c r="FO10" s="153"/>
      <c r="FP10" s="153"/>
      <c r="FQ10" s="153"/>
      <c r="FR10" s="153"/>
      <c r="FS10" s="153"/>
      <c r="FT10" s="153"/>
      <c r="FU10" s="153"/>
      <c r="FV10" s="153"/>
      <c r="FW10" s="153"/>
      <c r="FX10" s="153"/>
      <c r="FY10" s="153"/>
      <c r="FZ10" s="153"/>
      <c r="GA10" s="153"/>
      <c r="GB10" s="153"/>
      <c r="GC10" s="156"/>
      <c r="GD10" s="153"/>
      <c r="GE10" s="153"/>
      <c r="GF10" s="153"/>
      <c r="GG10" s="156"/>
      <c r="GH10" s="153"/>
      <c r="GI10" s="153"/>
      <c r="GJ10" s="153"/>
      <c r="GK10" s="156"/>
      <c r="GL10" s="153"/>
      <c r="GM10" s="153"/>
      <c r="GN10" s="153"/>
      <c r="GO10" s="153"/>
      <c r="GP10" s="153"/>
      <c r="GQ10" s="156"/>
      <c r="GR10" s="153"/>
      <c r="GS10" s="153"/>
      <c r="GT10" s="153"/>
      <c r="GU10" s="153"/>
      <c r="GV10" s="153"/>
      <c r="GW10" s="153"/>
      <c r="GX10" s="154"/>
      <c r="GY10" s="153"/>
      <c r="GZ10" s="153"/>
      <c r="HA10" s="156"/>
    </row>
    <row r="11" spans="1:209" s="58" customFormat="1" ht="18" customHeight="1">
      <c r="A11" s="153">
        <v>3955</v>
      </c>
      <c r="B11" s="153" t="s">
        <v>3092</v>
      </c>
      <c r="C11" s="176" t="s">
        <v>3110</v>
      </c>
      <c r="D11" s="176" t="s">
        <v>84</v>
      </c>
      <c r="E11" s="153" t="s">
        <v>84</v>
      </c>
      <c r="F11" s="58" t="s">
        <v>1095</v>
      </c>
      <c r="G11" s="153"/>
      <c r="H11" s="153" t="s">
        <v>716</v>
      </c>
      <c r="I11" s="153" t="s">
        <v>1095</v>
      </c>
      <c r="J11" s="153"/>
      <c r="K11" s="153"/>
      <c r="L11" s="153"/>
      <c r="M11" s="153" t="s">
        <v>554</v>
      </c>
      <c r="N11" s="153" t="s">
        <v>625</v>
      </c>
      <c r="O11" s="153" t="s">
        <v>196</v>
      </c>
      <c r="P11" s="153"/>
      <c r="Q11" s="153"/>
      <c r="R11" s="153"/>
      <c r="S11" s="153"/>
      <c r="T11" s="153"/>
      <c r="U11" s="153" t="s">
        <v>554</v>
      </c>
      <c r="V11" s="153"/>
      <c r="W11" s="153"/>
      <c r="X11" s="153"/>
      <c r="Y11" s="153"/>
      <c r="Z11" s="153"/>
      <c r="AA11" s="153"/>
      <c r="AB11" s="153" t="s">
        <v>202</v>
      </c>
      <c r="AC11" s="153" t="s">
        <v>202</v>
      </c>
      <c r="AD11" s="153" t="s">
        <v>202</v>
      </c>
      <c r="AE11" s="153" t="s">
        <v>202</v>
      </c>
      <c r="AF11" s="153" t="s">
        <v>202</v>
      </c>
      <c r="AG11" s="153" t="s">
        <v>202</v>
      </c>
      <c r="AH11" s="153" t="s">
        <v>202</v>
      </c>
      <c r="AI11" s="153" t="s">
        <v>583</v>
      </c>
      <c r="AJ11" s="153" t="s">
        <v>3142</v>
      </c>
      <c r="AK11" s="153" t="s">
        <v>3160</v>
      </c>
      <c r="AL11" s="153" t="s">
        <v>3095</v>
      </c>
      <c r="AM11" s="153" t="s">
        <v>621</v>
      </c>
      <c r="AN11" s="153"/>
      <c r="AO11" s="153" t="s">
        <v>3143</v>
      </c>
      <c r="AP11" s="153" t="s">
        <v>562</v>
      </c>
      <c r="AQ11" s="153" t="s">
        <v>568</v>
      </c>
      <c r="AR11" s="153" t="s">
        <v>576</v>
      </c>
      <c r="AS11" s="153" t="s">
        <v>242</v>
      </c>
      <c r="AT11" s="154" t="s">
        <v>620</v>
      </c>
      <c r="AU11" s="154"/>
      <c r="AV11" s="154"/>
      <c r="AW11" s="153"/>
      <c r="AX11" s="153"/>
      <c r="AY11" s="153"/>
      <c r="AZ11" s="153"/>
      <c r="BA11" s="153"/>
      <c r="BB11" s="153"/>
      <c r="BC11" s="153"/>
      <c r="BD11" s="153"/>
      <c r="BE11" s="153"/>
      <c r="BF11" s="153"/>
      <c r="BG11" s="153"/>
      <c r="BH11" s="155"/>
      <c r="BI11" s="153"/>
      <c r="BJ11" s="155"/>
      <c r="BK11" s="153"/>
      <c r="BL11" s="155"/>
      <c r="BM11" s="153"/>
      <c r="BN11" s="153"/>
      <c r="BO11" s="153"/>
      <c r="BP11" s="153"/>
      <c r="BQ11" s="153"/>
      <c r="BR11" s="153"/>
      <c r="BS11" s="153"/>
      <c r="BT11" s="153"/>
      <c r="BU11" s="153"/>
      <c r="BV11" s="153"/>
      <c r="BW11" s="153"/>
      <c r="BX11" s="153"/>
      <c r="BY11" s="153"/>
      <c r="BZ11" s="153"/>
      <c r="CA11" s="153"/>
      <c r="CB11" s="153"/>
      <c r="CC11" s="153"/>
      <c r="CD11" s="153"/>
      <c r="CE11" s="153"/>
      <c r="CF11" s="153"/>
      <c r="CG11" s="153"/>
      <c r="CH11" s="153"/>
      <c r="CI11" s="153"/>
      <c r="CJ11" s="153"/>
      <c r="CK11" s="153"/>
      <c r="CL11" s="156"/>
      <c r="CM11" s="153"/>
      <c r="CN11" s="154"/>
      <c r="CO11" s="153"/>
      <c r="CP11" s="153"/>
      <c r="CQ11" s="153"/>
      <c r="CR11" s="153"/>
      <c r="CS11" s="153"/>
      <c r="CT11" s="153"/>
      <c r="CU11" s="153"/>
      <c r="CV11" s="153"/>
      <c r="CW11" s="153"/>
      <c r="CX11" s="153"/>
      <c r="CY11" s="153"/>
      <c r="CZ11" s="153"/>
      <c r="DA11" s="154"/>
      <c r="DB11" s="156"/>
      <c r="DC11" s="153"/>
      <c r="DD11" s="153"/>
      <c r="DE11" s="153"/>
      <c r="DF11" s="153"/>
      <c r="DG11" s="153"/>
      <c r="DH11" s="153"/>
      <c r="DI11" s="153"/>
      <c r="DJ11" s="153"/>
      <c r="DK11" s="153"/>
      <c r="DL11" s="153"/>
      <c r="DM11" s="153"/>
      <c r="DN11" s="153"/>
      <c r="DO11" s="153"/>
      <c r="DP11" s="153"/>
      <c r="DQ11" s="154"/>
      <c r="DR11" s="153"/>
      <c r="DS11" s="153"/>
      <c r="DT11" s="153"/>
      <c r="DU11" s="153"/>
      <c r="DV11" s="153"/>
      <c r="DW11" s="153"/>
      <c r="DX11" s="153"/>
      <c r="DY11" s="153"/>
      <c r="DZ11" s="153"/>
      <c r="EA11" s="153"/>
      <c r="EB11" s="153"/>
      <c r="EC11" s="153"/>
      <c r="ED11" s="153"/>
      <c r="EE11" s="153"/>
      <c r="EF11" s="153"/>
      <c r="EG11" s="153"/>
      <c r="EH11" s="153"/>
      <c r="EI11" s="153"/>
      <c r="EJ11" s="153"/>
      <c r="EK11" s="153"/>
      <c r="EL11" s="153"/>
      <c r="EM11" s="153"/>
      <c r="EN11" s="153"/>
      <c r="EO11" s="153"/>
      <c r="EP11" s="153"/>
      <c r="EQ11" s="153"/>
      <c r="ER11" s="153"/>
      <c r="ES11" s="153"/>
      <c r="ET11" s="153"/>
      <c r="EU11" s="153"/>
      <c r="EV11" s="153"/>
      <c r="EW11" s="153"/>
      <c r="EX11" s="154"/>
      <c r="EY11" s="154"/>
      <c r="EZ11" s="154"/>
      <c r="FA11" s="154"/>
      <c r="FB11" s="154"/>
      <c r="FC11" s="154"/>
      <c r="FD11" s="154"/>
      <c r="FE11" s="154"/>
      <c r="FF11" s="154"/>
      <c r="FG11" s="154"/>
      <c r="FH11" s="153"/>
      <c r="FI11" s="153"/>
      <c r="FJ11" s="153"/>
      <c r="FK11" s="156"/>
      <c r="FL11" s="153"/>
      <c r="FM11" s="153"/>
      <c r="FN11" s="153"/>
      <c r="FO11" s="153"/>
      <c r="FP11" s="153"/>
      <c r="FQ11" s="153"/>
      <c r="FR11" s="153"/>
      <c r="FS11" s="153"/>
      <c r="FT11" s="153"/>
      <c r="FU11" s="153"/>
      <c r="FV11" s="153"/>
      <c r="FW11" s="153"/>
      <c r="FX11" s="153"/>
      <c r="FY11" s="153"/>
      <c r="FZ11" s="153"/>
      <c r="GA11" s="153"/>
      <c r="GB11" s="153"/>
      <c r="GC11" s="156"/>
      <c r="GD11" s="153"/>
      <c r="GE11" s="153"/>
      <c r="GF11" s="153"/>
      <c r="GG11" s="156"/>
      <c r="GH11" s="153"/>
      <c r="GI11" s="153"/>
      <c r="GJ11" s="153"/>
      <c r="GK11" s="156"/>
      <c r="GL11" s="153"/>
      <c r="GM11" s="153"/>
      <c r="GN11" s="153"/>
      <c r="GO11" s="153"/>
      <c r="GP11" s="153"/>
      <c r="GQ11" s="156"/>
      <c r="GR11" s="153"/>
      <c r="GS11" s="153"/>
      <c r="GT11" s="153"/>
      <c r="GU11" s="153"/>
      <c r="GV11" s="153"/>
      <c r="GW11" s="153"/>
      <c r="GX11" s="154"/>
      <c r="GY11" s="153"/>
      <c r="GZ11" s="153"/>
      <c r="HA11" s="156"/>
    </row>
    <row r="12" spans="1:209" s="58" customFormat="1" ht="18" customHeight="1">
      <c r="A12" s="153">
        <v>11100</v>
      </c>
      <c r="B12" s="153">
        <v>3955</v>
      </c>
      <c r="C12" s="176" t="s">
        <v>816</v>
      </c>
      <c r="D12" s="176" t="s">
        <v>85</v>
      </c>
      <c r="E12" s="153"/>
      <c r="F12" s="58" t="s">
        <v>1094</v>
      </c>
      <c r="G12" s="153"/>
      <c r="H12" s="153" t="s">
        <v>716</v>
      </c>
      <c r="I12" s="153" t="s">
        <v>1094</v>
      </c>
      <c r="J12" s="153"/>
      <c r="K12" s="153"/>
      <c r="L12" s="153"/>
      <c r="M12" s="153" t="s">
        <v>554</v>
      </c>
      <c r="N12" s="153" t="s">
        <v>625</v>
      </c>
      <c r="O12" s="153" t="s">
        <v>196</v>
      </c>
      <c r="P12" s="153"/>
      <c r="Q12" s="153"/>
      <c r="R12" s="153"/>
      <c r="S12" s="153"/>
      <c r="T12" s="153"/>
      <c r="U12" s="153" t="s">
        <v>554</v>
      </c>
      <c r="V12" s="153"/>
      <c r="W12" s="153"/>
      <c r="X12" s="153"/>
      <c r="Y12" s="153"/>
      <c r="Z12" s="153"/>
      <c r="AA12" s="153"/>
      <c r="AB12" s="153" t="s">
        <v>202</v>
      </c>
      <c r="AC12" s="153" t="s">
        <v>202</v>
      </c>
      <c r="AD12" s="153" t="s">
        <v>202</v>
      </c>
      <c r="AE12" s="153" t="s">
        <v>202</v>
      </c>
      <c r="AF12" s="153" t="s">
        <v>202</v>
      </c>
      <c r="AG12" s="153" t="s">
        <v>202</v>
      </c>
      <c r="AH12" s="153" t="s">
        <v>202</v>
      </c>
      <c r="AI12" s="153" t="s">
        <v>583</v>
      </c>
      <c r="AJ12" s="153" t="s">
        <v>3142</v>
      </c>
      <c r="AK12" s="153" t="s">
        <v>3161</v>
      </c>
      <c r="AL12" s="153" t="s">
        <v>3095</v>
      </c>
      <c r="AM12" s="153" t="s">
        <v>621</v>
      </c>
      <c r="AN12" s="153"/>
      <c r="AO12" s="153" t="s">
        <v>3143</v>
      </c>
      <c r="AP12" s="153" t="s">
        <v>562</v>
      </c>
      <c r="AQ12" s="153" t="s">
        <v>568</v>
      </c>
      <c r="AR12" s="153" t="s">
        <v>576</v>
      </c>
      <c r="AS12" s="153" t="s">
        <v>242</v>
      </c>
      <c r="AT12" s="154" t="s">
        <v>620</v>
      </c>
      <c r="AU12" s="154"/>
      <c r="AV12" s="154"/>
      <c r="AW12" s="153"/>
      <c r="AX12" s="153"/>
      <c r="AY12" s="153"/>
      <c r="AZ12" s="153"/>
      <c r="BA12" s="153"/>
      <c r="BB12" s="153"/>
      <c r="BC12" s="153"/>
      <c r="BD12" s="153"/>
      <c r="BE12" s="153"/>
      <c r="BF12" s="153"/>
      <c r="BG12" s="153"/>
      <c r="BH12" s="155"/>
      <c r="BI12" s="153"/>
      <c r="BJ12" s="155"/>
      <c r="BK12" s="153"/>
      <c r="BL12" s="155"/>
      <c r="BM12" s="153"/>
      <c r="BN12" s="153"/>
      <c r="BO12" s="153"/>
      <c r="BP12" s="153"/>
      <c r="BQ12" s="153"/>
      <c r="BR12" s="153"/>
      <c r="BS12" s="153"/>
      <c r="BT12" s="153"/>
      <c r="BU12" s="153"/>
      <c r="BV12" s="153"/>
      <c r="BW12" s="153"/>
      <c r="BX12" s="153"/>
      <c r="BY12" s="153"/>
      <c r="BZ12" s="153"/>
      <c r="CA12" s="153"/>
      <c r="CB12" s="153"/>
      <c r="CC12" s="153"/>
      <c r="CD12" s="153"/>
      <c r="CE12" s="153"/>
      <c r="CF12" s="153"/>
      <c r="CG12" s="153"/>
      <c r="CH12" s="153"/>
      <c r="CI12" s="153"/>
      <c r="CJ12" s="153"/>
      <c r="CK12" s="153"/>
      <c r="CL12" s="156"/>
      <c r="CM12" s="153"/>
      <c r="CN12" s="154"/>
      <c r="CO12" s="153"/>
      <c r="CP12" s="153"/>
      <c r="CQ12" s="153"/>
      <c r="CR12" s="153"/>
      <c r="CS12" s="153"/>
      <c r="CT12" s="153"/>
      <c r="CU12" s="153"/>
      <c r="CV12" s="153"/>
      <c r="CW12" s="153"/>
      <c r="CX12" s="153"/>
      <c r="CY12" s="153"/>
      <c r="CZ12" s="153"/>
      <c r="DA12" s="154"/>
      <c r="DB12" s="156"/>
      <c r="DC12" s="153"/>
      <c r="DD12" s="153"/>
      <c r="DE12" s="153"/>
      <c r="DF12" s="153"/>
      <c r="DG12" s="153"/>
      <c r="DH12" s="153"/>
      <c r="DI12" s="153"/>
      <c r="DJ12" s="153"/>
      <c r="DK12" s="153"/>
      <c r="DL12" s="153"/>
      <c r="DM12" s="153"/>
      <c r="DN12" s="153"/>
      <c r="DO12" s="153"/>
      <c r="DP12" s="153"/>
      <c r="DQ12" s="154"/>
      <c r="DR12" s="153"/>
      <c r="DS12" s="153"/>
      <c r="DT12" s="153"/>
      <c r="DU12" s="153"/>
      <c r="DV12" s="153"/>
      <c r="DW12" s="153"/>
      <c r="DX12" s="153"/>
      <c r="DY12" s="153"/>
      <c r="DZ12" s="153"/>
      <c r="EA12" s="153"/>
      <c r="EB12" s="153"/>
      <c r="EC12" s="153"/>
      <c r="ED12" s="153"/>
      <c r="EE12" s="153"/>
      <c r="EF12" s="153"/>
      <c r="EG12" s="153"/>
      <c r="EH12" s="153"/>
      <c r="EI12" s="153"/>
      <c r="EJ12" s="153"/>
      <c r="EK12" s="153"/>
      <c r="EL12" s="153"/>
      <c r="EM12" s="153"/>
      <c r="EN12" s="153"/>
      <c r="EO12" s="153"/>
      <c r="EP12" s="153"/>
      <c r="EQ12" s="153"/>
      <c r="ER12" s="153"/>
      <c r="ES12" s="153"/>
      <c r="ET12" s="153"/>
      <c r="EU12" s="153"/>
      <c r="EV12" s="153"/>
      <c r="EW12" s="153"/>
      <c r="EX12" s="154"/>
      <c r="EY12" s="154"/>
      <c r="EZ12" s="154"/>
      <c r="FA12" s="154"/>
      <c r="FB12" s="154"/>
      <c r="FC12" s="154"/>
      <c r="FD12" s="154"/>
      <c r="FE12" s="154"/>
      <c r="FF12" s="154"/>
      <c r="FG12" s="154"/>
      <c r="FH12" s="153"/>
      <c r="FI12" s="153"/>
      <c r="FJ12" s="153"/>
      <c r="FK12" s="156"/>
      <c r="FL12" s="153"/>
      <c r="FM12" s="153"/>
      <c r="FN12" s="153"/>
      <c r="FO12" s="153"/>
      <c r="FP12" s="153"/>
      <c r="FQ12" s="153"/>
      <c r="FR12" s="153"/>
      <c r="FS12" s="153"/>
      <c r="FT12" s="153"/>
      <c r="FU12" s="153"/>
      <c r="FV12" s="153"/>
      <c r="FW12" s="153"/>
      <c r="FX12" s="153"/>
      <c r="FY12" s="153"/>
      <c r="FZ12" s="153"/>
      <c r="GA12" s="153"/>
      <c r="GB12" s="153"/>
      <c r="GC12" s="156"/>
      <c r="GD12" s="153"/>
      <c r="GE12" s="153"/>
      <c r="GF12" s="153"/>
      <c r="GG12" s="156"/>
      <c r="GH12" s="153"/>
      <c r="GI12" s="153"/>
      <c r="GJ12" s="153"/>
      <c r="GK12" s="156"/>
      <c r="GL12" s="153"/>
      <c r="GM12" s="153"/>
      <c r="GN12" s="153"/>
      <c r="GO12" s="153"/>
      <c r="GP12" s="153"/>
      <c r="GQ12" s="156"/>
      <c r="GR12" s="153"/>
      <c r="GS12" s="153"/>
      <c r="GT12" s="153"/>
      <c r="GU12" s="153"/>
      <c r="GV12" s="153"/>
      <c r="GW12" s="153"/>
      <c r="GX12" s="154"/>
      <c r="GY12" s="153"/>
      <c r="GZ12" s="153"/>
      <c r="HA12" s="156"/>
    </row>
    <row r="13" spans="1:209" s="58" customFormat="1" ht="18" customHeight="1">
      <c r="A13" s="153">
        <v>3964</v>
      </c>
      <c r="B13" s="153" t="s">
        <v>3093</v>
      </c>
      <c r="C13" s="176" t="s">
        <v>3111</v>
      </c>
      <c r="D13" s="176" t="s">
        <v>708</v>
      </c>
      <c r="E13" s="153"/>
      <c r="F13" s="58" t="s">
        <v>1080</v>
      </c>
      <c r="G13" s="153"/>
      <c r="H13" s="153" t="s">
        <v>716</v>
      </c>
      <c r="I13" s="153" t="s">
        <v>1080</v>
      </c>
      <c r="J13" s="153"/>
      <c r="K13" s="153"/>
      <c r="L13" s="153"/>
      <c r="M13" s="153" t="s">
        <v>554</v>
      </c>
      <c r="N13" s="153" t="s">
        <v>625</v>
      </c>
      <c r="O13" s="153" t="s">
        <v>196</v>
      </c>
      <c r="P13" s="153"/>
      <c r="Q13" s="153"/>
      <c r="R13" s="153"/>
      <c r="S13" s="153"/>
      <c r="T13" s="153"/>
      <c r="U13" s="153" t="s">
        <v>554</v>
      </c>
      <c r="V13" s="153"/>
      <c r="W13" s="153"/>
      <c r="X13" s="153"/>
      <c r="Y13" s="153"/>
      <c r="Z13" s="153"/>
      <c r="AA13" s="153"/>
      <c r="AB13" s="153"/>
      <c r="AC13" s="153"/>
      <c r="AD13" s="153"/>
      <c r="AE13" s="153"/>
      <c r="AF13" s="153"/>
      <c r="AG13" s="153"/>
      <c r="AH13" s="153"/>
      <c r="AI13" s="153" t="s">
        <v>583</v>
      </c>
      <c r="AJ13" s="153" t="s">
        <v>3142</v>
      </c>
      <c r="AK13" s="153"/>
      <c r="AL13" s="153" t="s">
        <v>3095</v>
      </c>
      <c r="AM13" s="153"/>
      <c r="AN13" s="153"/>
      <c r="AO13" s="153"/>
      <c r="AP13" s="153"/>
      <c r="AQ13" s="153"/>
      <c r="AR13" s="153"/>
      <c r="AS13" s="153" t="s">
        <v>242</v>
      </c>
      <c r="AT13" s="154"/>
      <c r="AU13" s="154"/>
      <c r="AV13" s="154"/>
      <c r="AW13" s="153"/>
      <c r="AX13" s="153"/>
      <c r="AY13" s="153"/>
      <c r="AZ13" s="153"/>
      <c r="BA13" s="153"/>
      <c r="BB13" s="153"/>
      <c r="BC13" s="153"/>
      <c r="BD13" s="153"/>
      <c r="BE13" s="153"/>
      <c r="BF13" s="153"/>
      <c r="BG13" s="153"/>
      <c r="BH13" s="155"/>
      <c r="BI13" s="153"/>
      <c r="BJ13" s="155"/>
      <c r="BK13" s="153"/>
      <c r="BL13" s="155"/>
      <c r="BM13" s="153"/>
      <c r="BN13" s="153"/>
      <c r="BO13" s="153"/>
      <c r="BP13" s="153"/>
      <c r="BQ13" s="153"/>
      <c r="BR13" s="153"/>
      <c r="BS13" s="153"/>
      <c r="BT13" s="153"/>
      <c r="BU13" s="153"/>
      <c r="BV13" s="153"/>
      <c r="BW13" s="153"/>
      <c r="BX13" s="153"/>
      <c r="BY13" s="153"/>
      <c r="BZ13" s="153"/>
      <c r="CA13" s="153"/>
      <c r="CB13" s="153"/>
      <c r="CC13" s="153"/>
      <c r="CD13" s="153"/>
      <c r="CE13" s="153"/>
      <c r="CF13" s="153"/>
      <c r="CG13" s="153"/>
      <c r="CH13" s="153"/>
      <c r="CI13" s="153"/>
      <c r="CJ13" s="153"/>
      <c r="CK13" s="153"/>
      <c r="CL13" s="156"/>
      <c r="CM13" s="153"/>
      <c r="CN13" s="154"/>
      <c r="CO13" s="153"/>
      <c r="CP13" s="153"/>
      <c r="CQ13" s="153"/>
      <c r="CR13" s="153"/>
      <c r="CS13" s="153"/>
      <c r="CT13" s="153"/>
      <c r="CU13" s="153"/>
      <c r="CV13" s="153"/>
      <c r="CW13" s="153"/>
      <c r="CX13" s="153"/>
      <c r="CY13" s="153"/>
      <c r="CZ13" s="153"/>
      <c r="DA13" s="154"/>
      <c r="DB13" s="156"/>
      <c r="DC13" s="153"/>
      <c r="DD13" s="153"/>
      <c r="DE13" s="153"/>
      <c r="DF13" s="153"/>
      <c r="DG13" s="153"/>
      <c r="DH13" s="153"/>
      <c r="DI13" s="153"/>
      <c r="DJ13" s="153"/>
      <c r="DK13" s="153"/>
      <c r="DL13" s="153"/>
      <c r="DM13" s="153"/>
      <c r="DN13" s="153"/>
      <c r="DO13" s="153"/>
      <c r="DP13" s="153"/>
      <c r="DQ13" s="154"/>
      <c r="DR13" s="153"/>
      <c r="DS13" s="153"/>
      <c r="DT13" s="153"/>
      <c r="DU13" s="153"/>
      <c r="DV13" s="153"/>
      <c r="DW13" s="153"/>
      <c r="DX13" s="153"/>
      <c r="DY13" s="153"/>
      <c r="DZ13" s="153"/>
      <c r="EA13" s="153"/>
      <c r="EB13" s="153"/>
      <c r="EC13" s="153"/>
      <c r="ED13" s="153"/>
      <c r="EE13" s="153"/>
      <c r="EF13" s="153"/>
      <c r="EG13" s="153"/>
      <c r="EH13" s="153"/>
      <c r="EI13" s="153"/>
      <c r="EJ13" s="153"/>
      <c r="EK13" s="153"/>
      <c r="EL13" s="153"/>
      <c r="EM13" s="153"/>
      <c r="EN13" s="153"/>
      <c r="EO13" s="153"/>
      <c r="EP13" s="153"/>
      <c r="EQ13" s="153"/>
      <c r="ER13" s="153"/>
      <c r="ES13" s="153"/>
      <c r="ET13" s="153"/>
      <c r="EU13" s="153"/>
      <c r="EV13" s="153"/>
      <c r="EW13" s="153"/>
      <c r="EX13" s="154"/>
      <c r="EY13" s="154"/>
      <c r="EZ13" s="154"/>
      <c r="FA13" s="154"/>
      <c r="FB13" s="154"/>
      <c r="FC13" s="154"/>
      <c r="FD13" s="154"/>
      <c r="FE13" s="154"/>
      <c r="FF13" s="154"/>
      <c r="FG13" s="154"/>
      <c r="FH13" s="153"/>
      <c r="FI13" s="153"/>
      <c r="FJ13" s="153"/>
      <c r="FK13" s="156"/>
      <c r="FL13" s="153"/>
      <c r="FM13" s="153"/>
      <c r="FN13" s="153"/>
      <c r="FO13" s="153"/>
      <c r="FP13" s="153"/>
      <c r="FQ13" s="153"/>
      <c r="FR13" s="153"/>
      <c r="FS13" s="153"/>
      <c r="FT13" s="153"/>
      <c r="FU13" s="153"/>
      <c r="FV13" s="153"/>
      <c r="FW13" s="153"/>
      <c r="FX13" s="153"/>
      <c r="FY13" s="153"/>
      <c r="FZ13" s="153"/>
      <c r="GA13" s="153"/>
      <c r="GB13" s="153"/>
      <c r="GC13" s="156"/>
      <c r="GD13" s="153"/>
      <c r="GE13" s="153"/>
      <c r="GF13" s="153"/>
      <c r="GG13" s="156"/>
      <c r="GH13" s="153"/>
      <c r="GI13" s="153"/>
      <c r="GJ13" s="153"/>
      <c r="GK13" s="156"/>
      <c r="GL13" s="153"/>
      <c r="GM13" s="153"/>
      <c r="GN13" s="153"/>
      <c r="GO13" s="153"/>
      <c r="GP13" s="153"/>
      <c r="GQ13" s="156"/>
      <c r="GR13" s="153"/>
      <c r="GS13" s="153"/>
      <c r="GT13" s="153"/>
      <c r="GU13" s="153"/>
      <c r="GV13" s="153"/>
      <c r="GW13" s="153"/>
      <c r="GX13" s="154"/>
      <c r="GY13" s="153"/>
      <c r="GZ13" s="153"/>
      <c r="HA13" s="156"/>
    </row>
    <row r="14" spans="1:209" s="58" customFormat="1" ht="18" customHeight="1">
      <c r="A14" s="153" t="s">
        <v>3112</v>
      </c>
      <c r="B14" s="153" t="s">
        <v>3103</v>
      </c>
      <c r="C14" s="158" t="s">
        <v>3113</v>
      </c>
      <c r="D14" s="158" t="s">
        <v>79</v>
      </c>
      <c r="E14" s="153"/>
      <c r="F14" s="58" t="s">
        <v>494</v>
      </c>
      <c r="G14" s="153"/>
      <c r="H14" s="153" t="s">
        <v>716</v>
      </c>
      <c r="I14" s="153" t="s">
        <v>494</v>
      </c>
      <c r="J14" s="153"/>
      <c r="K14" s="153"/>
      <c r="L14" s="153"/>
      <c r="M14" s="153" t="s">
        <v>202</v>
      </c>
      <c r="N14" s="153" t="s">
        <v>625</v>
      </c>
      <c r="O14" s="153" t="s">
        <v>196</v>
      </c>
      <c r="P14" s="153"/>
      <c r="Q14" s="153"/>
      <c r="R14" s="153"/>
      <c r="S14" s="153"/>
      <c r="T14" s="153"/>
      <c r="U14" s="153"/>
      <c r="V14" s="153"/>
      <c r="W14" s="153"/>
      <c r="X14" s="153"/>
      <c r="Y14" s="153"/>
      <c r="Z14" s="153"/>
      <c r="AA14" s="153"/>
      <c r="AB14" s="153"/>
      <c r="AC14" s="153"/>
      <c r="AD14" s="153"/>
      <c r="AE14" s="153"/>
      <c r="AF14" s="153"/>
      <c r="AG14" s="153"/>
      <c r="AH14" s="153"/>
      <c r="AI14" s="153" t="s">
        <v>583</v>
      </c>
      <c r="AJ14" s="153" t="s">
        <v>3142</v>
      </c>
      <c r="AK14" s="153"/>
      <c r="AL14" s="153" t="s">
        <v>3095</v>
      </c>
      <c r="AM14" s="153"/>
      <c r="AN14" s="153"/>
      <c r="AO14" s="153"/>
      <c r="AP14" s="153"/>
      <c r="AQ14" s="153"/>
      <c r="AR14" s="153"/>
      <c r="AS14" s="153" t="s">
        <v>242</v>
      </c>
      <c r="AT14" s="154"/>
      <c r="AU14" s="154"/>
      <c r="AV14" s="154"/>
      <c r="AW14" s="153"/>
      <c r="AX14" s="153"/>
      <c r="AY14" s="153" t="s">
        <v>209</v>
      </c>
      <c r="AZ14" s="153"/>
      <c r="BA14" s="153"/>
      <c r="BB14" s="153"/>
      <c r="BC14" s="153"/>
      <c r="BD14" s="153"/>
      <c r="BE14" s="153"/>
      <c r="BF14" s="153"/>
      <c r="BG14" s="153"/>
      <c r="BH14" s="155"/>
      <c r="BI14" s="153"/>
      <c r="BJ14" s="155"/>
      <c r="BK14" s="153"/>
      <c r="BL14" s="155"/>
      <c r="BM14" s="153"/>
      <c r="BN14" s="153"/>
      <c r="BO14" s="153"/>
      <c r="BP14" s="153"/>
      <c r="BQ14" s="153"/>
      <c r="BR14" s="153"/>
      <c r="BS14" s="153"/>
      <c r="BT14" s="153"/>
      <c r="BU14" s="153"/>
      <c r="BV14" s="153"/>
      <c r="BW14" s="153"/>
      <c r="BX14" s="153"/>
      <c r="BY14" s="153"/>
      <c r="BZ14" s="153"/>
      <c r="CA14" s="153"/>
      <c r="CB14" s="153"/>
      <c r="CC14" s="153"/>
      <c r="CD14" s="153"/>
      <c r="CE14" s="153"/>
      <c r="CF14" s="153"/>
      <c r="CG14" s="153"/>
      <c r="CH14" s="153"/>
      <c r="CI14" s="153"/>
      <c r="CJ14" s="153"/>
      <c r="CK14" s="153"/>
      <c r="CL14" s="156"/>
      <c r="CM14" s="153"/>
      <c r="CN14" s="154"/>
      <c r="CO14" s="153"/>
      <c r="CP14" s="153"/>
      <c r="CQ14" s="153"/>
      <c r="CR14" s="153"/>
      <c r="CS14" s="153"/>
      <c r="CT14" s="153"/>
      <c r="CU14" s="153"/>
      <c r="CV14" s="153"/>
      <c r="CW14" s="153"/>
      <c r="CX14" s="153"/>
      <c r="CY14" s="153"/>
      <c r="CZ14" s="153"/>
      <c r="DA14" s="154"/>
      <c r="DB14" s="156"/>
      <c r="DC14" s="153">
        <v>44</v>
      </c>
      <c r="DD14" s="153"/>
      <c r="DE14" s="153"/>
      <c r="DF14" s="153"/>
      <c r="DG14" s="153"/>
      <c r="DH14" s="153"/>
      <c r="DI14" s="153"/>
      <c r="DJ14" s="153"/>
      <c r="DK14" s="153"/>
      <c r="DL14" s="153"/>
      <c r="DM14" s="153"/>
      <c r="DN14" s="153"/>
      <c r="DO14" s="153"/>
      <c r="DP14" s="153"/>
      <c r="DQ14" s="154"/>
      <c r="DR14" s="153"/>
      <c r="DS14" s="153"/>
      <c r="DT14" s="153"/>
      <c r="DU14" s="153"/>
      <c r="DV14" s="153"/>
      <c r="DW14" s="153"/>
      <c r="DX14" s="153"/>
      <c r="DY14" s="153"/>
      <c r="DZ14" s="153"/>
      <c r="EA14" s="153"/>
      <c r="EB14" s="153"/>
      <c r="EC14" s="153"/>
      <c r="ED14" s="153"/>
      <c r="EE14" s="153"/>
      <c r="EF14" s="153"/>
      <c r="EG14" s="153"/>
      <c r="EH14" s="153"/>
      <c r="EI14" s="153"/>
      <c r="EJ14" s="153"/>
      <c r="EK14" s="153"/>
      <c r="EL14" s="153"/>
      <c r="EM14" s="153"/>
      <c r="EN14" s="153"/>
      <c r="EO14" s="153"/>
      <c r="EP14" s="153"/>
      <c r="EQ14" s="153"/>
      <c r="ER14" s="153"/>
      <c r="ES14" s="153"/>
      <c r="ET14" s="153"/>
      <c r="EU14" s="153"/>
      <c r="EV14" s="153"/>
      <c r="EW14" s="153"/>
      <c r="EX14" s="154"/>
      <c r="EY14" s="154"/>
      <c r="EZ14" s="154"/>
      <c r="FA14" s="154"/>
      <c r="FB14" s="154"/>
      <c r="FC14" s="154"/>
      <c r="FD14" s="154"/>
      <c r="FE14" s="154"/>
      <c r="FF14" s="154"/>
      <c r="FG14" s="154"/>
      <c r="FH14" s="153"/>
      <c r="FI14" s="153"/>
      <c r="FJ14" s="153"/>
      <c r="FK14" s="156"/>
      <c r="FL14" s="153"/>
      <c r="FM14" s="153"/>
      <c r="FN14" s="153"/>
      <c r="FO14" s="153"/>
      <c r="FP14" s="153"/>
      <c r="FQ14" s="153"/>
      <c r="FR14" s="153"/>
      <c r="FS14" s="153"/>
      <c r="FT14" s="153"/>
      <c r="FU14" s="153"/>
      <c r="FV14" s="153"/>
      <c r="FW14" s="153"/>
      <c r="FX14" s="153"/>
      <c r="FY14" s="153"/>
      <c r="FZ14" s="153"/>
      <c r="GA14" s="153"/>
      <c r="GB14" s="153"/>
      <c r="GC14" s="156"/>
      <c r="GD14" s="153"/>
      <c r="GE14" s="153"/>
      <c r="GF14" s="153"/>
      <c r="GG14" s="156"/>
      <c r="GH14" s="153"/>
      <c r="GI14" s="153"/>
      <c r="GJ14" s="153"/>
      <c r="GK14" s="156"/>
      <c r="GL14" s="153"/>
      <c r="GM14" s="153"/>
      <c r="GN14" s="153"/>
      <c r="GO14" s="153"/>
      <c r="GP14" s="153"/>
      <c r="GQ14" s="156"/>
      <c r="GR14" s="153"/>
      <c r="GS14" s="153"/>
      <c r="GT14" s="153"/>
      <c r="GU14" s="153"/>
      <c r="GV14" s="153"/>
      <c r="GW14" s="153"/>
      <c r="GX14" s="154"/>
      <c r="GY14" s="153"/>
      <c r="GZ14" s="153"/>
      <c r="HA14" s="156"/>
    </row>
    <row r="15" spans="1:209" s="58" customFormat="1" ht="18" customHeight="1">
      <c r="A15" s="153" t="s">
        <v>3114</v>
      </c>
      <c r="B15" s="153" t="s">
        <v>3112</v>
      </c>
      <c r="C15" s="164" t="s">
        <v>3115</v>
      </c>
      <c r="D15" s="164" t="s">
        <v>83</v>
      </c>
      <c r="E15" s="153"/>
      <c r="F15" s="58" t="s">
        <v>3061</v>
      </c>
      <c r="G15" s="153"/>
      <c r="H15" s="153" t="s">
        <v>716</v>
      </c>
      <c r="I15" s="153" t="s">
        <v>3061</v>
      </c>
      <c r="J15" s="153"/>
      <c r="K15" s="153"/>
      <c r="L15" s="153"/>
      <c r="M15" s="153" t="s">
        <v>202</v>
      </c>
      <c r="N15" s="153" t="s">
        <v>625</v>
      </c>
      <c r="O15" s="153" t="s">
        <v>196</v>
      </c>
      <c r="P15" s="153"/>
      <c r="Q15" s="153"/>
      <c r="R15" s="153"/>
      <c r="S15" s="153"/>
      <c r="T15" s="153"/>
      <c r="U15" s="153"/>
      <c r="V15" s="153"/>
      <c r="W15" s="153"/>
      <c r="X15" s="153"/>
      <c r="Y15" s="153"/>
      <c r="Z15" s="153"/>
      <c r="AA15" s="153"/>
      <c r="AB15" s="153"/>
      <c r="AC15" s="153"/>
      <c r="AD15" s="153"/>
      <c r="AE15" s="153"/>
      <c r="AF15" s="153"/>
      <c r="AG15" s="153"/>
      <c r="AH15" s="153"/>
      <c r="AI15" s="153" t="s">
        <v>583</v>
      </c>
      <c r="AJ15" s="153" t="s">
        <v>3142</v>
      </c>
      <c r="AK15" s="153"/>
      <c r="AL15" s="153" t="s">
        <v>3095</v>
      </c>
      <c r="AM15" s="153"/>
      <c r="AN15" s="153"/>
      <c r="AO15" s="153"/>
      <c r="AP15" s="153"/>
      <c r="AQ15" s="153"/>
      <c r="AR15" s="153"/>
      <c r="AS15" s="153" t="s">
        <v>242</v>
      </c>
      <c r="AT15" s="154"/>
      <c r="AU15" s="154"/>
      <c r="AV15" s="154"/>
      <c r="AW15" s="153"/>
      <c r="AX15" s="153"/>
      <c r="AY15" s="153" t="s">
        <v>209</v>
      </c>
      <c r="AZ15" s="153"/>
      <c r="BA15" s="153"/>
      <c r="BB15" s="153"/>
      <c r="BC15" s="153"/>
      <c r="BD15" s="153"/>
      <c r="BE15" s="153"/>
      <c r="BF15" s="153"/>
      <c r="BG15" s="153"/>
      <c r="BH15" s="155"/>
      <c r="BI15" s="153"/>
      <c r="BJ15" s="155"/>
      <c r="BK15" s="153"/>
      <c r="BL15" s="155"/>
      <c r="BM15" s="153"/>
      <c r="BN15" s="153"/>
      <c r="BO15" s="153"/>
      <c r="BP15" s="153"/>
      <c r="BQ15" s="153"/>
      <c r="BR15" s="153"/>
      <c r="BS15" s="153"/>
      <c r="BT15" s="153"/>
      <c r="BU15" s="153"/>
      <c r="BV15" s="153"/>
      <c r="BW15" s="153"/>
      <c r="BX15" s="153"/>
      <c r="BY15" s="153"/>
      <c r="BZ15" s="153"/>
      <c r="CA15" s="153"/>
      <c r="CB15" s="153"/>
      <c r="CC15" s="153"/>
      <c r="CD15" s="153"/>
      <c r="CE15" s="153"/>
      <c r="CF15" s="153"/>
      <c r="CG15" s="153"/>
      <c r="CH15" s="153"/>
      <c r="CI15" s="153"/>
      <c r="CJ15" s="153"/>
      <c r="CK15" s="153"/>
      <c r="CL15" s="156"/>
      <c r="CM15" s="153"/>
      <c r="CN15" s="154"/>
      <c r="CO15" s="153"/>
      <c r="CP15" s="153"/>
      <c r="CQ15" s="153"/>
      <c r="CR15" s="153"/>
      <c r="CS15" s="153"/>
      <c r="CT15" s="153"/>
      <c r="CU15" s="153"/>
      <c r="CV15" s="153"/>
      <c r="CW15" s="153"/>
      <c r="CX15" s="153"/>
      <c r="CY15" s="153"/>
      <c r="CZ15" s="153"/>
      <c r="DA15" s="154"/>
      <c r="DB15" s="156"/>
      <c r="DC15" s="153">
        <v>44</v>
      </c>
      <c r="DD15" s="153"/>
      <c r="DE15" s="153"/>
      <c r="DF15" s="153"/>
      <c r="DG15" s="153"/>
      <c r="DH15" s="153"/>
      <c r="DI15" s="153"/>
      <c r="DJ15" s="153"/>
      <c r="DK15" s="153"/>
      <c r="DL15" s="153"/>
      <c r="DM15" s="153"/>
      <c r="DN15" s="153"/>
      <c r="DO15" s="153"/>
      <c r="DP15" s="153"/>
      <c r="DQ15" s="154"/>
      <c r="DR15" s="153"/>
      <c r="DS15" s="153"/>
      <c r="DT15" s="153"/>
      <c r="DU15" s="153"/>
      <c r="DV15" s="153"/>
      <c r="DW15" s="153"/>
      <c r="DX15" s="153"/>
      <c r="DY15" s="153"/>
      <c r="DZ15" s="153"/>
      <c r="EA15" s="153"/>
      <c r="EB15" s="153"/>
      <c r="EC15" s="153"/>
      <c r="ED15" s="153"/>
      <c r="EE15" s="153"/>
      <c r="EF15" s="153"/>
      <c r="EG15" s="153"/>
      <c r="EH15" s="153"/>
      <c r="EI15" s="153"/>
      <c r="EJ15" s="153"/>
      <c r="EK15" s="153"/>
      <c r="EL15" s="153"/>
      <c r="EM15" s="153"/>
      <c r="EN15" s="153"/>
      <c r="EO15" s="153"/>
      <c r="EP15" s="153"/>
      <c r="EQ15" s="153"/>
      <c r="ER15" s="153"/>
      <c r="ES15" s="153"/>
      <c r="ET15" s="153"/>
      <c r="EU15" s="153"/>
      <c r="EV15" s="153"/>
      <c r="EW15" s="153"/>
      <c r="EX15" s="154"/>
      <c r="EY15" s="154"/>
      <c r="EZ15" s="154"/>
      <c r="FA15" s="154"/>
      <c r="FB15" s="154"/>
      <c r="FC15" s="154"/>
      <c r="FD15" s="154"/>
      <c r="FE15" s="154"/>
      <c r="FF15" s="154"/>
      <c r="FG15" s="154"/>
      <c r="FH15" s="153"/>
      <c r="FI15" s="153"/>
      <c r="FJ15" s="153"/>
      <c r="FK15" s="156"/>
      <c r="FL15" s="153"/>
      <c r="FM15" s="153"/>
      <c r="FN15" s="153"/>
      <c r="FO15" s="153"/>
      <c r="FP15" s="153"/>
      <c r="FQ15" s="153"/>
      <c r="FR15" s="153"/>
      <c r="FS15" s="153"/>
      <c r="FT15" s="153"/>
      <c r="FU15" s="153"/>
      <c r="FV15" s="153"/>
      <c r="FW15" s="153"/>
      <c r="FX15" s="153"/>
      <c r="FY15" s="153"/>
      <c r="FZ15" s="153"/>
      <c r="GA15" s="153"/>
      <c r="GB15" s="153"/>
      <c r="GC15" s="156"/>
      <c r="GD15" s="153"/>
      <c r="GE15" s="153"/>
      <c r="GF15" s="153"/>
      <c r="GG15" s="156"/>
      <c r="GH15" s="153"/>
      <c r="GI15" s="153"/>
      <c r="GJ15" s="153"/>
      <c r="GK15" s="156"/>
      <c r="GL15" s="153"/>
      <c r="GM15" s="153"/>
      <c r="GN15" s="153"/>
      <c r="GO15" s="153"/>
      <c r="GP15" s="153"/>
      <c r="GQ15" s="156"/>
      <c r="GR15" s="153"/>
      <c r="GS15" s="153"/>
      <c r="GT15" s="153"/>
      <c r="GU15" s="153"/>
      <c r="GV15" s="153"/>
      <c r="GW15" s="153"/>
      <c r="GX15" s="154"/>
      <c r="GY15" s="153"/>
      <c r="GZ15" s="153"/>
      <c r="HA15" s="156"/>
    </row>
    <row r="16" spans="1:209" s="58" customFormat="1" ht="18" customHeight="1">
      <c r="A16" s="153">
        <v>3775</v>
      </c>
      <c r="B16" s="153" t="s">
        <v>3114</v>
      </c>
      <c r="C16" s="176" t="s">
        <v>3116</v>
      </c>
      <c r="D16" s="176" t="s">
        <v>84</v>
      </c>
      <c r="E16" s="153" t="s">
        <v>84</v>
      </c>
      <c r="F16" s="58" t="s">
        <v>3090</v>
      </c>
      <c r="G16" s="153"/>
      <c r="H16" s="153" t="s">
        <v>716</v>
      </c>
      <c r="I16" s="153" t="s">
        <v>3090</v>
      </c>
      <c r="J16" s="153"/>
      <c r="K16" s="153"/>
      <c r="L16" s="153"/>
      <c r="M16" s="153" t="s">
        <v>554</v>
      </c>
      <c r="N16" s="153" t="s">
        <v>625</v>
      </c>
      <c r="O16" s="153" t="s">
        <v>196</v>
      </c>
      <c r="P16" s="153"/>
      <c r="Q16" s="153"/>
      <c r="R16" s="153"/>
      <c r="S16" s="153"/>
      <c r="T16" s="153"/>
      <c r="U16" s="153" t="s">
        <v>554</v>
      </c>
      <c r="V16" s="153"/>
      <c r="W16" s="153"/>
      <c r="X16" s="153"/>
      <c r="Y16" s="153"/>
      <c r="Z16" s="153"/>
      <c r="AA16" s="153"/>
      <c r="AB16" s="153"/>
      <c r="AC16" s="153"/>
      <c r="AD16" s="153"/>
      <c r="AE16" s="153"/>
      <c r="AF16" s="153"/>
      <c r="AG16" s="153"/>
      <c r="AH16" s="153"/>
      <c r="AI16" s="153" t="s">
        <v>583</v>
      </c>
      <c r="AJ16" s="153" t="s">
        <v>3142</v>
      </c>
      <c r="AK16" s="153"/>
      <c r="AL16" s="153" t="s">
        <v>3095</v>
      </c>
      <c r="AM16" s="153"/>
      <c r="AN16" s="153"/>
      <c r="AO16" s="153"/>
      <c r="AP16" s="153"/>
      <c r="AQ16" s="153"/>
      <c r="AR16" s="153"/>
      <c r="AS16" s="153" t="s">
        <v>242</v>
      </c>
      <c r="AT16" s="154"/>
      <c r="AU16" s="154"/>
      <c r="AV16" s="154"/>
      <c r="AW16" s="153"/>
      <c r="AX16" s="153"/>
      <c r="AY16" s="153"/>
      <c r="AZ16" s="153"/>
      <c r="BA16" s="153"/>
      <c r="BB16" s="153"/>
      <c r="BC16" s="153"/>
      <c r="BD16" s="153"/>
      <c r="BE16" s="153"/>
      <c r="BF16" s="153"/>
      <c r="BG16" s="153"/>
      <c r="BH16" s="155"/>
      <c r="BI16" s="153"/>
      <c r="BJ16" s="155"/>
      <c r="BK16" s="153"/>
      <c r="BL16" s="155"/>
      <c r="BM16" s="153"/>
      <c r="BN16" s="153"/>
      <c r="BO16" s="153"/>
      <c r="BP16" s="153"/>
      <c r="BQ16" s="153"/>
      <c r="BR16" s="153"/>
      <c r="BS16" s="153"/>
      <c r="BT16" s="153"/>
      <c r="BU16" s="153"/>
      <c r="BV16" s="153"/>
      <c r="BW16" s="153"/>
      <c r="BX16" s="153"/>
      <c r="BY16" s="153"/>
      <c r="BZ16" s="153"/>
      <c r="CA16" s="153"/>
      <c r="CB16" s="153"/>
      <c r="CC16" s="153"/>
      <c r="CD16" s="153"/>
      <c r="CE16" s="153"/>
      <c r="CF16" s="153"/>
      <c r="CG16" s="153"/>
      <c r="CH16" s="153"/>
      <c r="CI16" s="153"/>
      <c r="CJ16" s="153"/>
      <c r="CK16" s="153"/>
      <c r="CL16" s="156"/>
      <c r="CM16" s="153"/>
      <c r="CN16" s="154"/>
      <c r="CO16" s="153"/>
      <c r="CP16" s="153"/>
      <c r="CQ16" s="153"/>
      <c r="CR16" s="153"/>
      <c r="CS16" s="153"/>
      <c r="CT16" s="153"/>
      <c r="CU16" s="153"/>
      <c r="CV16" s="153"/>
      <c r="CW16" s="153"/>
      <c r="CX16" s="153"/>
      <c r="CY16" s="153"/>
      <c r="CZ16" s="153"/>
      <c r="DA16" s="154"/>
      <c r="DB16" s="156"/>
      <c r="DC16" s="153"/>
      <c r="DD16" s="153"/>
      <c r="DE16" s="153"/>
      <c r="DF16" s="153"/>
      <c r="DG16" s="153"/>
      <c r="DH16" s="153"/>
      <c r="DI16" s="153"/>
      <c r="DJ16" s="153"/>
      <c r="DK16" s="153"/>
      <c r="DL16" s="153"/>
      <c r="DM16" s="153"/>
      <c r="DN16" s="153"/>
      <c r="DO16" s="153"/>
      <c r="DP16" s="153"/>
      <c r="DQ16" s="154"/>
      <c r="DR16" s="153"/>
      <c r="DS16" s="153"/>
      <c r="DT16" s="153"/>
      <c r="DU16" s="153"/>
      <c r="DV16" s="153"/>
      <c r="DW16" s="153"/>
      <c r="DX16" s="153"/>
      <c r="DY16" s="153"/>
      <c r="DZ16" s="153"/>
      <c r="EA16" s="153"/>
      <c r="EB16" s="153"/>
      <c r="EC16" s="153"/>
      <c r="ED16" s="153"/>
      <c r="EE16" s="153"/>
      <c r="EF16" s="153"/>
      <c r="EG16" s="153"/>
      <c r="EH16" s="153"/>
      <c r="EI16" s="153"/>
      <c r="EJ16" s="153"/>
      <c r="EK16" s="153"/>
      <c r="EL16" s="153"/>
      <c r="EM16" s="153"/>
      <c r="EN16" s="153"/>
      <c r="EO16" s="153"/>
      <c r="EP16" s="153"/>
      <c r="EQ16" s="153"/>
      <c r="ER16" s="153"/>
      <c r="ES16" s="153"/>
      <c r="ET16" s="153"/>
      <c r="EU16" s="153"/>
      <c r="EV16" s="153"/>
      <c r="EW16" s="153"/>
      <c r="EX16" s="154"/>
      <c r="EY16" s="154"/>
      <c r="EZ16" s="154"/>
      <c r="FA16" s="154"/>
      <c r="FB16" s="154"/>
      <c r="FC16" s="154"/>
      <c r="FD16" s="154"/>
      <c r="FE16" s="154"/>
      <c r="FF16" s="154"/>
      <c r="FG16" s="154"/>
      <c r="FH16" s="153"/>
      <c r="FI16" s="153"/>
      <c r="FJ16" s="153"/>
      <c r="FK16" s="156"/>
      <c r="FL16" s="153"/>
      <c r="FM16" s="153"/>
      <c r="FN16" s="153"/>
      <c r="FO16" s="153"/>
      <c r="FP16" s="153"/>
      <c r="FQ16" s="153"/>
      <c r="FR16" s="153"/>
      <c r="FS16" s="153"/>
      <c r="FT16" s="153"/>
      <c r="FU16" s="153"/>
      <c r="FV16" s="153"/>
      <c r="FW16" s="153"/>
      <c r="FX16" s="153"/>
      <c r="FY16" s="153"/>
      <c r="FZ16" s="153"/>
      <c r="GA16" s="153"/>
      <c r="GB16" s="153"/>
      <c r="GC16" s="156"/>
      <c r="GD16" s="153"/>
      <c r="GE16" s="153"/>
      <c r="GF16" s="153"/>
      <c r="GG16" s="156"/>
      <c r="GH16" s="153"/>
      <c r="GI16" s="153"/>
      <c r="GJ16" s="153"/>
      <c r="GK16" s="156"/>
      <c r="GL16" s="153"/>
      <c r="GM16" s="153"/>
      <c r="GN16" s="153"/>
      <c r="GO16" s="153"/>
      <c r="GP16" s="153"/>
      <c r="GQ16" s="156"/>
      <c r="GR16" s="153"/>
      <c r="GS16" s="153"/>
      <c r="GT16" s="153"/>
      <c r="GU16" s="153"/>
      <c r="GV16" s="153"/>
      <c r="GW16" s="153"/>
      <c r="GX16" s="154"/>
      <c r="GY16" s="153"/>
      <c r="GZ16" s="153"/>
      <c r="HA16" s="156"/>
    </row>
    <row r="17" spans="1:209" s="58" customFormat="1" ht="18" customHeight="1">
      <c r="A17" s="153" t="s">
        <v>3117</v>
      </c>
      <c r="B17" s="153" t="s">
        <v>3112</v>
      </c>
      <c r="C17" s="164" t="s">
        <v>3118</v>
      </c>
      <c r="D17" s="164" t="s">
        <v>83</v>
      </c>
      <c r="E17" s="153"/>
      <c r="F17" s="58" t="s">
        <v>3119</v>
      </c>
      <c r="G17" s="153"/>
      <c r="H17" s="153" t="s">
        <v>716</v>
      </c>
      <c r="I17" s="153" t="s">
        <v>3119</v>
      </c>
      <c r="J17" s="153"/>
      <c r="K17" s="153"/>
      <c r="L17" s="153"/>
      <c r="M17" s="153" t="s">
        <v>202</v>
      </c>
      <c r="N17" s="153" t="s">
        <v>625</v>
      </c>
      <c r="O17" s="153" t="s">
        <v>196</v>
      </c>
      <c r="P17" s="153"/>
      <c r="Q17" s="153"/>
      <c r="R17" s="153"/>
      <c r="S17" s="153"/>
      <c r="T17" s="153"/>
      <c r="U17" s="153"/>
      <c r="V17" s="153"/>
      <c r="W17" s="153"/>
      <c r="X17" s="153"/>
      <c r="Y17" s="153"/>
      <c r="Z17" s="153"/>
      <c r="AA17" s="153"/>
      <c r="AB17" s="153"/>
      <c r="AC17" s="153"/>
      <c r="AD17" s="153"/>
      <c r="AE17" s="153"/>
      <c r="AF17" s="153"/>
      <c r="AG17" s="153"/>
      <c r="AH17" s="153"/>
      <c r="AI17" s="153" t="s">
        <v>583</v>
      </c>
      <c r="AJ17" s="153" t="s">
        <v>3142</v>
      </c>
      <c r="AK17" s="153"/>
      <c r="AL17" s="153" t="s">
        <v>3095</v>
      </c>
      <c r="AM17" s="153"/>
      <c r="AN17" s="153"/>
      <c r="AO17" s="153"/>
      <c r="AP17" s="153"/>
      <c r="AQ17" s="153"/>
      <c r="AR17" s="153"/>
      <c r="AS17" s="153" t="s">
        <v>242</v>
      </c>
      <c r="AT17" s="154"/>
      <c r="AU17" s="154"/>
      <c r="AV17" s="154"/>
      <c r="AW17" s="153"/>
      <c r="AX17" s="153"/>
      <c r="AY17" s="153" t="s">
        <v>209</v>
      </c>
      <c r="AZ17" s="153"/>
      <c r="BA17" s="153"/>
      <c r="BB17" s="153"/>
      <c r="BC17" s="153"/>
      <c r="BD17" s="153"/>
      <c r="BE17" s="153"/>
      <c r="BF17" s="153"/>
      <c r="BG17" s="153"/>
      <c r="BH17" s="155"/>
      <c r="BI17" s="153"/>
      <c r="BJ17" s="155"/>
      <c r="BK17" s="153"/>
      <c r="BL17" s="155"/>
      <c r="BM17" s="153"/>
      <c r="BN17" s="153"/>
      <c r="BO17" s="153"/>
      <c r="BP17" s="153"/>
      <c r="BQ17" s="153"/>
      <c r="BR17" s="153"/>
      <c r="BS17" s="153"/>
      <c r="BT17" s="153"/>
      <c r="BU17" s="153"/>
      <c r="BV17" s="153"/>
      <c r="BW17" s="153"/>
      <c r="BX17" s="153"/>
      <c r="BY17" s="153"/>
      <c r="BZ17" s="153"/>
      <c r="CA17" s="153"/>
      <c r="CB17" s="153"/>
      <c r="CC17" s="153"/>
      <c r="CD17" s="153"/>
      <c r="CE17" s="153"/>
      <c r="CF17" s="153"/>
      <c r="CG17" s="153"/>
      <c r="CH17" s="153"/>
      <c r="CI17" s="153"/>
      <c r="CJ17" s="153"/>
      <c r="CK17" s="153"/>
      <c r="CL17" s="156"/>
      <c r="CM17" s="153"/>
      <c r="CN17" s="154"/>
      <c r="CO17" s="153"/>
      <c r="CP17" s="153"/>
      <c r="CQ17" s="153"/>
      <c r="CR17" s="153"/>
      <c r="CS17" s="153"/>
      <c r="CT17" s="153"/>
      <c r="CU17" s="153"/>
      <c r="CV17" s="153"/>
      <c r="CW17" s="153"/>
      <c r="CX17" s="153"/>
      <c r="CY17" s="153"/>
      <c r="CZ17" s="153"/>
      <c r="DA17" s="154"/>
      <c r="DB17" s="156"/>
      <c r="DC17" s="153">
        <v>44</v>
      </c>
      <c r="DD17" s="153"/>
      <c r="DE17" s="153"/>
      <c r="DF17" s="153"/>
      <c r="DG17" s="153"/>
      <c r="DH17" s="153"/>
      <c r="DI17" s="153"/>
      <c r="DJ17" s="153"/>
      <c r="DK17" s="153"/>
      <c r="DL17" s="153"/>
      <c r="DM17" s="153"/>
      <c r="DN17" s="153"/>
      <c r="DO17" s="153"/>
      <c r="DP17" s="153"/>
      <c r="DQ17" s="154"/>
      <c r="DR17" s="153"/>
      <c r="DS17" s="153"/>
      <c r="DT17" s="153"/>
      <c r="DU17" s="153"/>
      <c r="DV17" s="153"/>
      <c r="DW17" s="153"/>
      <c r="DX17" s="153"/>
      <c r="DY17" s="153"/>
      <c r="DZ17" s="153"/>
      <c r="EA17" s="153"/>
      <c r="EB17" s="153"/>
      <c r="EC17" s="153"/>
      <c r="ED17" s="153"/>
      <c r="EE17" s="153"/>
      <c r="EF17" s="153"/>
      <c r="EG17" s="153"/>
      <c r="EH17" s="153"/>
      <c r="EI17" s="153"/>
      <c r="EJ17" s="153"/>
      <c r="EK17" s="153"/>
      <c r="EL17" s="153"/>
      <c r="EM17" s="153"/>
      <c r="EN17" s="153"/>
      <c r="EO17" s="153"/>
      <c r="EP17" s="153"/>
      <c r="EQ17" s="153"/>
      <c r="ER17" s="153"/>
      <c r="ES17" s="153"/>
      <c r="ET17" s="153"/>
      <c r="EU17" s="153"/>
      <c r="EV17" s="153"/>
      <c r="EW17" s="153"/>
      <c r="EX17" s="154"/>
      <c r="EY17" s="154"/>
      <c r="EZ17" s="154"/>
      <c r="FA17" s="154"/>
      <c r="FB17" s="154"/>
      <c r="FC17" s="154"/>
      <c r="FD17" s="154"/>
      <c r="FE17" s="154"/>
      <c r="FF17" s="154"/>
      <c r="FG17" s="154"/>
      <c r="FH17" s="153"/>
      <c r="FI17" s="153"/>
      <c r="FJ17" s="153"/>
      <c r="FK17" s="156"/>
      <c r="FL17" s="153"/>
      <c r="FM17" s="153"/>
      <c r="FN17" s="153"/>
      <c r="FO17" s="153"/>
      <c r="FP17" s="153"/>
      <c r="FQ17" s="153"/>
      <c r="FR17" s="153"/>
      <c r="FS17" s="153"/>
      <c r="FT17" s="153"/>
      <c r="FU17" s="153"/>
      <c r="FV17" s="153"/>
      <c r="FW17" s="153"/>
      <c r="FX17" s="153"/>
      <c r="FY17" s="153"/>
      <c r="FZ17" s="153"/>
      <c r="GA17" s="153"/>
      <c r="GB17" s="153"/>
      <c r="GC17" s="156"/>
      <c r="GD17" s="153"/>
      <c r="GE17" s="153"/>
      <c r="GF17" s="153"/>
      <c r="GG17" s="156"/>
      <c r="GH17" s="153"/>
      <c r="GI17" s="153"/>
      <c r="GJ17" s="153"/>
      <c r="GK17" s="156"/>
      <c r="GL17" s="153"/>
      <c r="GM17" s="153"/>
      <c r="GN17" s="153"/>
      <c r="GO17" s="153"/>
      <c r="GP17" s="153"/>
      <c r="GQ17" s="156"/>
      <c r="GR17" s="153"/>
      <c r="GS17" s="153"/>
      <c r="GT17" s="153"/>
      <c r="GU17" s="153"/>
      <c r="GV17" s="153"/>
      <c r="GW17" s="153"/>
      <c r="GX17" s="154"/>
      <c r="GY17" s="153"/>
      <c r="GZ17" s="153"/>
      <c r="HA17" s="156"/>
    </row>
    <row r="18" spans="1:209" s="58" customFormat="1" ht="18" customHeight="1">
      <c r="A18" s="153">
        <v>3777</v>
      </c>
      <c r="B18" s="153" t="s">
        <v>3117</v>
      </c>
      <c r="C18" s="176" t="s">
        <v>3120</v>
      </c>
      <c r="D18" s="176" t="s">
        <v>84</v>
      </c>
      <c r="E18" s="153" t="s">
        <v>84</v>
      </c>
      <c r="F18" s="58" t="s">
        <v>3121</v>
      </c>
      <c r="G18" s="153"/>
      <c r="H18" s="153" t="s">
        <v>716</v>
      </c>
      <c r="I18" s="153" t="s">
        <v>3121</v>
      </c>
      <c r="J18" s="153"/>
      <c r="K18" s="153"/>
      <c r="L18" s="153"/>
      <c r="M18" s="153" t="s">
        <v>554</v>
      </c>
      <c r="N18" s="153" t="s">
        <v>625</v>
      </c>
      <c r="O18" s="153" t="s">
        <v>196</v>
      </c>
      <c r="P18" s="153"/>
      <c r="Q18" s="153"/>
      <c r="R18" s="153"/>
      <c r="S18" s="153"/>
      <c r="T18" s="153"/>
      <c r="U18" s="153" t="s">
        <v>554</v>
      </c>
      <c r="V18" s="153"/>
      <c r="W18" s="153"/>
      <c r="X18" s="153"/>
      <c r="Y18" s="153"/>
      <c r="Z18" s="153"/>
      <c r="AA18" s="153"/>
      <c r="AB18" s="153"/>
      <c r="AC18" s="153"/>
      <c r="AD18" s="153"/>
      <c r="AE18" s="153"/>
      <c r="AF18" s="153"/>
      <c r="AG18" s="153"/>
      <c r="AH18" s="153"/>
      <c r="AI18" s="153" t="s">
        <v>583</v>
      </c>
      <c r="AJ18" s="153" t="s">
        <v>3142</v>
      </c>
      <c r="AK18" s="153"/>
      <c r="AL18" s="153" t="s">
        <v>3095</v>
      </c>
      <c r="AM18" s="153"/>
      <c r="AN18" s="153"/>
      <c r="AO18" s="153"/>
      <c r="AP18" s="153"/>
      <c r="AQ18" s="153"/>
      <c r="AR18" s="153"/>
      <c r="AS18" s="153" t="s">
        <v>242</v>
      </c>
      <c r="AT18" s="154"/>
      <c r="AU18" s="154"/>
      <c r="AV18" s="154"/>
      <c r="AW18" s="153"/>
      <c r="AX18" s="153"/>
      <c r="AY18" s="153"/>
      <c r="AZ18" s="153"/>
      <c r="BA18" s="153"/>
      <c r="BB18" s="153"/>
      <c r="BC18" s="153"/>
      <c r="BD18" s="153"/>
      <c r="BE18" s="153"/>
      <c r="BF18" s="153"/>
      <c r="BG18" s="153"/>
      <c r="BH18" s="155"/>
      <c r="BI18" s="153"/>
      <c r="BJ18" s="155"/>
      <c r="BK18" s="153"/>
      <c r="BL18" s="155"/>
      <c r="BM18" s="153"/>
      <c r="BN18" s="153"/>
      <c r="BO18" s="153"/>
      <c r="BP18" s="153"/>
      <c r="BQ18" s="153"/>
      <c r="BR18" s="153"/>
      <c r="BS18" s="153"/>
      <c r="BT18" s="153"/>
      <c r="BU18" s="153"/>
      <c r="BV18" s="153"/>
      <c r="BW18" s="153"/>
      <c r="BX18" s="153"/>
      <c r="BY18" s="153"/>
      <c r="BZ18" s="153"/>
      <c r="CA18" s="153"/>
      <c r="CB18" s="153"/>
      <c r="CC18" s="153"/>
      <c r="CD18" s="153"/>
      <c r="CE18" s="153"/>
      <c r="CF18" s="153"/>
      <c r="CG18" s="153"/>
      <c r="CH18" s="153"/>
      <c r="CI18" s="153"/>
      <c r="CJ18" s="153"/>
      <c r="CK18" s="153"/>
      <c r="CL18" s="156"/>
      <c r="CM18" s="153"/>
      <c r="CN18" s="154"/>
      <c r="CO18" s="153"/>
      <c r="CP18" s="153"/>
      <c r="CQ18" s="153"/>
      <c r="CR18" s="153"/>
      <c r="CS18" s="153"/>
      <c r="CT18" s="153"/>
      <c r="CU18" s="153"/>
      <c r="CV18" s="153"/>
      <c r="CW18" s="153"/>
      <c r="CX18" s="153"/>
      <c r="CY18" s="153"/>
      <c r="CZ18" s="153"/>
      <c r="DA18" s="154"/>
      <c r="DB18" s="156"/>
      <c r="DC18" s="153"/>
      <c r="DD18" s="153"/>
      <c r="DE18" s="153"/>
      <c r="DF18" s="153"/>
      <c r="DG18" s="153"/>
      <c r="DH18" s="153"/>
      <c r="DI18" s="153"/>
      <c r="DJ18" s="153"/>
      <c r="DK18" s="153"/>
      <c r="DL18" s="153"/>
      <c r="DM18" s="153"/>
      <c r="DN18" s="153"/>
      <c r="DO18" s="153"/>
      <c r="DP18" s="153"/>
      <c r="DQ18" s="154"/>
      <c r="DR18" s="153"/>
      <c r="DS18" s="153"/>
      <c r="DT18" s="153"/>
      <c r="DU18" s="153"/>
      <c r="DV18" s="153"/>
      <c r="DW18" s="153"/>
      <c r="DX18" s="153"/>
      <c r="DY18" s="153"/>
      <c r="DZ18" s="153"/>
      <c r="EA18" s="153"/>
      <c r="EB18" s="153"/>
      <c r="EC18" s="153"/>
      <c r="ED18" s="153"/>
      <c r="EE18" s="153"/>
      <c r="EF18" s="153"/>
      <c r="EG18" s="153"/>
      <c r="EH18" s="153"/>
      <c r="EI18" s="153"/>
      <c r="EJ18" s="153"/>
      <c r="EK18" s="153"/>
      <c r="EL18" s="153"/>
      <c r="EM18" s="153"/>
      <c r="EN18" s="153"/>
      <c r="EO18" s="153"/>
      <c r="EP18" s="153"/>
      <c r="EQ18" s="153"/>
      <c r="ER18" s="153"/>
      <c r="ES18" s="153"/>
      <c r="ET18" s="153"/>
      <c r="EU18" s="153"/>
      <c r="EV18" s="153"/>
      <c r="EW18" s="153"/>
      <c r="EX18" s="154"/>
      <c r="EY18" s="154"/>
      <c r="EZ18" s="154"/>
      <c r="FA18" s="154"/>
      <c r="FB18" s="154"/>
      <c r="FC18" s="154"/>
      <c r="FD18" s="154"/>
      <c r="FE18" s="154"/>
      <c r="FF18" s="154"/>
      <c r="FG18" s="154"/>
      <c r="FH18" s="153"/>
      <c r="FI18" s="153"/>
      <c r="FJ18" s="153"/>
      <c r="FK18" s="156"/>
      <c r="FL18" s="153"/>
      <c r="FM18" s="153"/>
      <c r="FN18" s="153"/>
      <c r="FO18" s="153"/>
      <c r="FP18" s="153"/>
      <c r="FQ18" s="153"/>
      <c r="FR18" s="153"/>
      <c r="FS18" s="153"/>
      <c r="FT18" s="153"/>
      <c r="FU18" s="153"/>
      <c r="FV18" s="153"/>
      <c r="FW18" s="153"/>
      <c r="FX18" s="153"/>
      <c r="FY18" s="153"/>
      <c r="FZ18" s="153"/>
      <c r="GA18" s="153"/>
      <c r="GB18" s="153"/>
      <c r="GC18" s="156"/>
      <c r="GD18" s="153"/>
      <c r="GE18" s="153"/>
      <c r="GF18" s="153"/>
      <c r="GG18" s="156"/>
      <c r="GH18" s="153"/>
      <c r="GI18" s="153"/>
      <c r="GJ18" s="153"/>
      <c r="GK18" s="156"/>
      <c r="GL18" s="153"/>
      <c r="GM18" s="153"/>
      <c r="GN18" s="153"/>
      <c r="GO18" s="153"/>
      <c r="GP18" s="153"/>
      <c r="GQ18" s="156"/>
      <c r="GR18" s="153"/>
      <c r="GS18" s="153"/>
      <c r="GT18" s="153"/>
      <c r="GU18" s="153"/>
      <c r="GV18" s="153"/>
      <c r="GW18" s="153"/>
      <c r="GX18" s="154"/>
      <c r="GY18" s="153"/>
      <c r="GZ18" s="153"/>
      <c r="HA18" s="156"/>
    </row>
    <row r="19" spans="1:209" s="58" customFormat="1" ht="18" customHeight="1">
      <c r="A19" s="153" t="s">
        <v>3122</v>
      </c>
      <c r="B19" s="153" t="s">
        <v>3103</v>
      </c>
      <c r="C19" s="158" t="s">
        <v>3123</v>
      </c>
      <c r="D19" s="158" t="s">
        <v>79</v>
      </c>
      <c r="E19" s="153"/>
      <c r="F19" s="58" t="s">
        <v>495</v>
      </c>
      <c r="G19" s="153"/>
      <c r="H19" s="153" t="s">
        <v>716</v>
      </c>
      <c r="I19" s="153" t="s">
        <v>495</v>
      </c>
      <c r="J19" s="153"/>
      <c r="K19" s="153"/>
      <c r="L19" s="153"/>
      <c r="M19" s="153" t="s">
        <v>202</v>
      </c>
      <c r="N19" s="153" t="s">
        <v>625</v>
      </c>
      <c r="O19" s="153" t="s">
        <v>196</v>
      </c>
      <c r="P19" s="153"/>
      <c r="Q19" s="153"/>
      <c r="R19" s="153"/>
      <c r="S19" s="153"/>
      <c r="T19" s="153"/>
      <c r="U19" s="153"/>
      <c r="V19" s="153"/>
      <c r="W19" s="153"/>
      <c r="X19" s="153"/>
      <c r="Y19" s="153"/>
      <c r="Z19" s="153"/>
      <c r="AA19" s="153"/>
      <c r="AB19" s="153"/>
      <c r="AC19" s="153"/>
      <c r="AD19" s="153"/>
      <c r="AE19" s="153"/>
      <c r="AF19" s="153"/>
      <c r="AG19" s="153"/>
      <c r="AH19" s="153"/>
      <c r="AI19" s="153" t="s">
        <v>583</v>
      </c>
      <c r="AJ19" s="153" t="s">
        <v>3142</v>
      </c>
      <c r="AK19" s="153"/>
      <c r="AL19" s="153" t="s">
        <v>3095</v>
      </c>
      <c r="AM19" s="153"/>
      <c r="AN19" s="153"/>
      <c r="AO19" s="153"/>
      <c r="AP19" s="153"/>
      <c r="AQ19" s="153"/>
      <c r="AR19" s="153"/>
      <c r="AS19" s="153" t="s">
        <v>242</v>
      </c>
      <c r="AT19" s="154"/>
      <c r="AU19" s="154"/>
      <c r="AV19" s="154"/>
      <c r="AW19" s="153"/>
      <c r="AX19" s="153"/>
      <c r="AY19" s="153" t="s">
        <v>209</v>
      </c>
      <c r="AZ19" s="153"/>
      <c r="BA19" s="153"/>
      <c r="BB19" s="153"/>
      <c r="BC19" s="153"/>
      <c r="BD19" s="153"/>
      <c r="BE19" s="153"/>
      <c r="BF19" s="153"/>
      <c r="BG19" s="153"/>
      <c r="BH19" s="155"/>
      <c r="BI19" s="153"/>
      <c r="BJ19" s="155"/>
      <c r="BK19" s="153"/>
      <c r="BL19" s="155"/>
      <c r="BM19" s="153"/>
      <c r="BN19" s="153"/>
      <c r="BO19" s="153"/>
      <c r="BP19" s="153"/>
      <c r="BQ19" s="153"/>
      <c r="BR19" s="153"/>
      <c r="BS19" s="153"/>
      <c r="BT19" s="153"/>
      <c r="BU19" s="153"/>
      <c r="BV19" s="153"/>
      <c r="BW19" s="153"/>
      <c r="BX19" s="153"/>
      <c r="BY19" s="153"/>
      <c r="BZ19" s="153"/>
      <c r="CA19" s="153"/>
      <c r="CB19" s="153"/>
      <c r="CC19" s="153"/>
      <c r="CD19" s="153"/>
      <c r="CE19" s="153"/>
      <c r="CF19" s="153"/>
      <c r="CG19" s="153"/>
      <c r="CH19" s="153"/>
      <c r="CI19" s="153"/>
      <c r="CJ19" s="153"/>
      <c r="CK19" s="153"/>
      <c r="CL19" s="156"/>
      <c r="CM19" s="153"/>
      <c r="CN19" s="154"/>
      <c r="CO19" s="153"/>
      <c r="CP19" s="153"/>
      <c r="CQ19" s="153"/>
      <c r="CR19" s="153"/>
      <c r="CS19" s="153"/>
      <c r="CT19" s="153"/>
      <c r="CU19" s="153"/>
      <c r="CV19" s="153"/>
      <c r="CW19" s="153"/>
      <c r="CX19" s="153"/>
      <c r="CY19" s="153"/>
      <c r="CZ19" s="153"/>
      <c r="DA19" s="154"/>
      <c r="DB19" s="156"/>
      <c r="DC19" s="153">
        <v>44</v>
      </c>
      <c r="DD19" s="153"/>
      <c r="DE19" s="153"/>
      <c r="DF19" s="153"/>
      <c r="DG19" s="153"/>
      <c r="DH19" s="153"/>
      <c r="DI19" s="153"/>
      <c r="DJ19" s="153"/>
      <c r="DK19" s="153"/>
      <c r="DL19" s="153"/>
      <c r="DM19" s="153"/>
      <c r="DN19" s="153"/>
      <c r="DO19" s="153"/>
      <c r="DP19" s="153"/>
      <c r="DQ19" s="154"/>
      <c r="DR19" s="153"/>
      <c r="DS19" s="153"/>
      <c r="DT19" s="153"/>
      <c r="DU19" s="153"/>
      <c r="DV19" s="153"/>
      <c r="DW19" s="153"/>
      <c r="DX19" s="153"/>
      <c r="DY19" s="153"/>
      <c r="DZ19" s="153"/>
      <c r="EA19" s="153"/>
      <c r="EB19" s="153"/>
      <c r="EC19" s="153"/>
      <c r="ED19" s="153"/>
      <c r="EE19" s="153"/>
      <c r="EF19" s="153"/>
      <c r="EG19" s="153"/>
      <c r="EH19" s="153"/>
      <c r="EI19" s="153"/>
      <c r="EJ19" s="153"/>
      <c r="EK19" s="153"/>
      <c r="EL19" s="153"/>
      <c r="EM19" s="153"/>
      <c r="EN19" s="153"/>
      <c r="EO19" s="153"/>
      <c r="EP19" s="153"/>
      <c r="EQ19" s="153"/>
      <c r="ER19" s="153"/>
      <c r="ES19" s="153"/>
      <c r="ET19" s="153"/>
      <c r="EU19" s="153"/>
      <c r="EV19" s="153"/>
      <c r="EW19" s="153"/>
      <c r="EX19" s="154"/>
      <c r="EY19" s="154"/>
      <c r="EZ19" s="154"/>
      <c r="FA19" s="154"/>
      <c r="FB19" s="154"/>
      <c r="FC19" s="154"/>
      <c r="FD19" s="154"/>
      <c r="FE19" s="154"/>
      <c r="FF19" s="154"/>
      <c r="FG19" s="154"/>
      <c r="FH19" s="153"/>
      <c r="FI19" s="153"/>
      <c r="FJ19" s="153"/>
      <c r="FK19" s="156"/>
      <c r="FL19" s="153"/>
      <c r="FM19" s="153"/>
      <c r="FN19" s="153"/>
      <c r="FO19" s="153"/>
      <c r="FP19" s="153"/>
      <c r="FQ19" s="153"/>
      <c r="FR19" s="153"/>
      <c r="FS19" s="153"/>
      <c r="FT19" s="153"/>
      <c r="FU19" s="153"/>
      <c r="FV19" s="153"/>
      <c r="FW19" s="153"/>
      <c r="FX19" s="153"/>
      <c r="FY19" s="153"/>
      <c r="FZ19" s="153"/>
      <c r="GA19" s="153"/>
      <c r="GB19" s="153"/>
      <c r="GC19" s="156"/>
      <c r="GD19" s="153"/>
      <c r="GE19" s="153"/>
      <c r="GF19" s="153"/>
      <c r="GG19" s="156"/>
      <c r="GH19" s="153"/>
      <c r="GI19" s="153"/>
      <c r="GJ19" s="153"/>
      <c r="GK19" s="156"/>
      <c r="GL19" s="153"/>
      <c r="GM19" s="153"/>
      <c r="GN19" s="153"/>
      <c r="GO19" s="153"/>
      <c r="GP19" s="153"/>
      <c r="GQ19" s="156"/>
      <c r="GR19" s="153"/>
      <c r="GS19" s="153"/>
      <c r="GT19" s="153"/>
      <c r="GU19" s="153"/>
      <c r="GV19" s="153"/>
      <c r="GW19" s="153"/>
      <c r="GX19" s="154"/>
      <c r="GY19" s="153"/>
      <c r="GZ19" s="153"/>
      <c r="HA19" s="156"/>
    </row>
    <row r="20" spans="1:209" s="58" customFormat="1" ht="18" customHeight="1">
      <c r="A20" s="153" t="s">
        <v>3124</v>
      </c>
      <c r="B20" s="153" t="s">
        <v>3122</v>
      </c>
      <c r="C20" s="164" t="s">
        <v>3125</v>
      </c>
      <c r="D20" s="164" t="s">
        <v>83</v>
      </c>
      <c r="E20" s="153"/>
      <c r="F20" s="58" t="s">
        <v>3062</v>
      </c>
      <c r="G20" s="153"/>
      <c r="H20" s="153" t="s">
        <v>716</v>
      </c>
      <c r="I20" s="153" t="s">
        <v>3062</v>
      </c>
      <c r="J20" s="153"/>
      <c r="K20" s="153"/>
      <c r="L20" s="153"/>
      <c r="M20" s="153" t="s">
        <v>202</v>
      </c>
      <c r="N20" s="153" t="s">
        <v>625</v>
      </c>
      <c r="O20" s="153" t="s">
        <v>196</v>
      </c>
      <c r="P20" s="153"/>
      <c r="Q20" s="153"/>
      <c r="R20" s="153"/>
      <c r="S20" s="153"/>
      <c r="T20" s="153"/>
      <c r="U20" s="153"/>
      <c r="V20" s="153"/>
      <c r="W20" s="153"/>
      <c r="X20" s="153"/>
      <c r="Y20" s="153"/>
      <c r="Z20" s="153"/>
      <c r="AA20" s="153"/>
      <c r="AB20" s="153"/>
      <c r="AC20" s="153"/>
      <c r="AD20" s="153"/>
      <c r="AE20" s="153"/>
      <c r="AF20" s="153"/>
      <c r="AG20" s="153"/>
      <c r="AH20" s="153"/>
      <c r="AI20" s="153"/>
      <c r="AJ20" s="153" t="s">
        <v>3142</v>
      </c>
      <c r="AK20" s="153"/>
      <c r="AL20" s="153" t="s">
        <v>3095</v>
      </c>
      <c r="AM20" s="153"/>
      <c r="AN20" s="153"/>
      <c r="AO20" s="153"/>
      <c r="AP20" s="153"/>
      <c r="AQ20" s="153"/>
      <c r="AR20" s="153"/>
      <c r="AS20" s="153"/>
      <c r="AT20" s="154"/>
      <c r="AU20" s="154"/>
      <c r="AV20" s="154"/>
      <c r="AW20" s="153"/>
      <c r="AX20" s="153"/>
      <c r="AY20" s="153" t="s">
        <v>209</v>
      </c>
      <c r="AZ20" s="153"/>
      <c r="BA20" s="153"/>
      <c r="BB20" s="153"/>
      <c r="BC20" s="153"/>
      <c r="BD20" s="153"/>
      <c r="BE20" s="153"/>
      <c r="BF20" s="153"/>
      <c r="BG20" s="153"/>
      <c r="BH20" s="155"/>
      <c r="BI20" s="153"/>
      <c r="BJ20" s="155"/>
      <c r="BK20" s="153"/>
      <c r="BL20" s="155"/>
      <c r="BM20" s="153"/>
      <c r="BN20" s="153"/>
      <c r="BO20" s="153"/>
      <c r="BP20" s="153"/>
      <c r="BQ20" s="153"/>
      <c r="BR20" s="153"/>
      <c r="BS20" s="153"/>
      <c r="BT20" s="153"/>
      <c r="BU20" s="153"/>
      <c r="BV20" s="153"/>
      <c r="BW20" s="153"/>
      <c r="BX20" s="153"/>
      <c r="BY20" s="153"/>
      <c r="BZ20" s="153"/>
      <c r="CA20" s="153"/>
      <c r="CB20" s="153"/>
      <c r="CC20" s="153"/>
      <c r="CD20" s="153"/>
      <c r="CE20" s="153"/>
      <c r="CF20" s="153"/>
      <c r="CG20" s="153"/>
      <c r="CH20" s="153"/>
      <c r="CI20" s="153"/>
      <c r="CJ20" s="153"/>
      <c r="CK20" s="153"/>
      <c r="CL20" s="156"/>
      <c r="CM20" s="153"/>
      <c r="CN20" s="154"/>
      <c r="CO20" s="153"/>
      <c r="CP20" s="153"/>
      <c r="CQ20" s="153"/>
      <c r="CR20" s="153"/>
      <c r="CS20" s="153"/>
      <c r="CT20" s="153"/>
      <c r="CU20" s="153"/>
      <c r="CV20" s="153"/>
      <c r="CW20" s="153"/>
      <c r="CX20" s="153"/>
      <c r="CY20" s="153"/>
      <c r="CZ20" s="153"/>
      <c r="DA20" s="154"/>
      <c r="DB20" s="156"/>
      <c r="DC20" s="153">
        <v>44</v>
      </c>
      <c r="DD20" s="153"/>
      <c r="DE20" s="153"/>
      <c r="DF20" s="153"/>
      <c r="DG20" s="153"/>
      <c r="DH20" s="153"/>
      <c r="DI20" s="153"/>
      <c r="DJ20" s="153"/>
      <c r="DK20" s="153"/>
      <c r="DL20" s="153"/>
      <c r="DM20" s="153"/>
      <c r="DN20" s="153"/>
      <c r="DO20" s="153"/>
      <c r="DP20" s="153"/>
      <c r="DQ20" s="154"/>
      <c r="DR20" s="153"/>
      <c r="DS20" s="153"/>
      <c r="DT20" s="153"/>
      <c r="DU20" s="153"/>
      <c r="DV20" s="153"/>
      <c r="DW20" s="153"/>
      <c r="DX20" s="153"/>
      <c r="DY20" s="153"/>
      <c r="DZ20" s="153"/>
      <c r="EA20" s="153"/>
      <c r="EB20" s="153"/>
      <c r="EC20" s="153"/>
      <c r="ED20" s="153"/>
      <c r="EE20" s="153"/>
      <c r="EF20" s="153"/>
      <c r="EG20" s="153"/>
      <c r="EH20" s="153"/>
      <c r="EI20" s="153"/>
      <c r="EJ20" s="153"/>
      <c r="EK20" s="153"/>
      <c r="EL20" s="153"/>
      <c r="EM20" s="153"/>
      <c r="EN20" s="153"/>
      <c r="EO20" s="153"/>
      <c r="EP20" s="153"/>
      <c r="EQ20" s="153"/>
      <c r="ER20" s="153"/>
      <c r="ES20" s="153"/>
      <c r="ET20" s="153"/>
      <c r="EU20" s="153"/>
      <c r="EV20" s="153"/>
      <c r="EW20" s="153"/>
      <c r="EX20" s="154"/>
      <c r="EY20" s="154"/>
      <c r="EZ20" s="154"/>
      <c r="FA20" s="154"/>
      <c r="FB20" s="154"/>
      <c r="FC20" s="154"/>
      <c r="FD20" s="154"/>
      <c r="FE20" s="154"/>
      <c r="FF20" s="154"/>
      <c r="FG20" s="154"/>
      <c r="FH20" s="153"/>
      <c r="FI20" s="153"/>
      <c r="FJ20" s="153"/>
      <c r="FK20" s="156"/>
      <c r="FL20" s="153"/>
      <c r="FM20" s="153"/>
      <c r="FN20" s="153"/>
      <c r="FO20" s="153"/>
      <c r="FP20" s="153"/>
      <c r="FQ20" s="153"/>
      <c r="FR20" s="153"/>
      <c r="FS20" s="153"/>
      <c r="FT20" s="153"/>
      <c r="FU20" s="153"/>
      <c r="FV20" s="153"/>
      <c r="FW20" s="153"/>
      <c r="FX20" s="153"/>
      <c r="FY20" s="153"/>
      <c r="FZ20" s="153"/>
      <c r="GA20" s="153"/>
      <c r="GB20" s="153"/>
      <c r="GC20" s="156"/>
      <c r="GD20" s="153"/>
      <c r="GE20" s="153"/>
      <c r="GF20" s="153"/>
      <c r="GG20" s="156"/>
      <c r="GH20" s="153"/>
      <c r="GI20" s="153"/>
      <c r="GJ20" s="153"/>
      <c r="GK20" s="156"/>
      <c r="GL20" s="153"/>
      <c r="GM20" s="153"/>
      <c r="GN20" s="153"/>
      <c r="GO20" s="153"/>
      <c r="GP20" s="153"/>
      <c r="GQ20" s="156"/>
      <c r="GR20" s="153"/>
      <c r="GS20" s="153"/>
      <c r="GT20" s="153"/>
      <c r="GU20" s="153"/>
      <c r="GV20" s="153"/>
      <c r="GW20" s="153"/>
      <c r="GX20" s="154"/>
      <c r="GY20" s="153"/>
      <c r="GZ20" s="153"/>
      <c r="HA20" s="156"/>
    </row>
    <row r="21" spans="1:209" s="58" customFormat="1" ht="18" customHeight="1">
      <c r="A21" s="153">
        <v>3956</v>
      </c>
      <c r="B21" s="153" t="s">
        <v>3124</v>
      </c>
      <c r="C21" s="176" t="s">
        <v>3126</v>
      </c>
      <c r="D21" s="176" t="s">
        <v>84</v>
      </c>
      <c r="E21" s="153" t="s">
        <v>84</v>
      </c>
      <c r="F21" s="58" t="s">
        <v>3091</v>
      </c>
      <c r="G21" s="153"/>
      <c r="H21" s="153" t="s">
        <v>716</v>
      </c>
      <c r="I21" s="153" t="s">
        <v>3091</v>
      </c>
      <c r="J21" s="153"/>
      <c r="K21" s="153"/>
      <c r="L21" s="153"/>
      <c r="M21" s="153" t="s">
        <v>554</v>
      </c>
      <c r="N21" s="153" t="s">
        <v>625</v>
      </c>
      <c r="O21" s="153" t="s">
        <v>196</v>
      </c>
      <c r="P21" s="153"/>
      <c r="Q21" s="153"/>
      <c r="R21" s="153"/>
      <c r="S21" s="153"/>
      <c r="T21" s="153"/>
      <c r="U21" s="153" t="s">
        <v>554</v>
      </c>
      <c r="V21" s="153"/>
      <c r="W21" s="153"/>
      <c r="X21" s="153"/>
      <c r="Y21" s="153"/>
      <c r="Z21" s="153"/>
      <c r="AA21" s="153"/>
      <c r="AB21" s="153"/>
      <c r="AC21" s="153"/>
      <c r="AD21" s="153"/>
      <c r="AE21" s="153"/>
      <c r="AF21" s="153"/>
      <c r="AG21" s="153"/>
      <c r="AH21" s="153"/>
      <c r="AI21" s="153"/>
      <c r="AJ21" s="153"/>
      <c r="AK21" s="153"/>
      <c r="AL21" s="153"/>
      <c r="AM21" s="153"/>
      <c r="AN21" s="153"/>
      <c r="AO21" s="153"/>
      <c r="AP21" s="153"/>
      <c r="AQ21" s="153"/>
      <c r="AR21" s="153"/>
      <c r="AS21" s="153"/>
      <c r="AT21" s="154"/>
      <c r="AU21" s="154"/>
      <c r="AV21" s="154"/>
      <c r="AW21" s="153"/>
      <c r="AX21" s="153"/>
      <c r="AY21" s="153"/>
      <c r="AZ21" s="153"/>
      <c r="BA21" s="153"/>
      <c r="BB21" s="153"/>
      <c r="BC21" s="153"/>
      <c r="BD21" s="153"/>
      <c r="BE21" s="153"/>
      <c r="BF21" s="153"/>
      <c r="BG21" s="153"/>
      <c r="BH21" s="155"/>
      <c r="BI21" s="153"/>
      <c r="BJ21" s="155"/>
      <c r="BK21" s="153"/>
      <c r="BL21" s="155"/>
      <c r="BM21" s="153"/>
      <c r="BN21" s="153"/>
      <c r="BO21" s="153"/>
      <c r="BP21" s="153"/>
      <c r="BQ21" s="153"/>
      <c r="BR21" s="153"/>
      <c r="BS21" s="153"/>
      <c r="BT21" s="153"/>
      <c r="BU21" s="153"/>
      <c r="BV21" s="153"/>
      <c r="BW21" s="153"/>
      <c r="BX21" s="153"/>
      <c r="BY21" s="153"/>
      <c r="BZ21" s="153"/>
      <c r="CA21" s="153"/>
      <c r="CB21" s="153"/>
      <c r="CC21" s="153"/>
      <c r="CD21" s="153"/>
      <c r="CE21" s="153"/>
      <c r="CF21" s="153"/>
      <c r="CG21" s="153"/>
      <c r="CH21" s="153"/>
      <c r="CI21" s="153"/>
      <c r="CJ21" s="153"/>
      <c r="CK21" s="153"/>
      <c r="CL21" s="156"/>
      <c r="CM21" s="153"/>
      <c r="CN21" s="154"/>
      <c r="CO21" s="153"/>
      <c r="CP21" s="153"/>
      <c r="CQ21" s="153"/>
      <c r="CR21" s="153"/>
      <c r="CS21" s="153"/>
      <c r="CT21" s="153"/>
      <c r="CU21" s="153"/>
      <c r="CV21" s="153"/>
      <c r="CW21" s="153"/>
      <c r="CX21" s="153"/>
      <c r="CY21" s="153"/>
      <c r="CZ21" s="153"/>
      <c r="DA21" s="154"/>
      <c r="DB21" s="156"/>
      <c r="DC21" s="153"/>
      <c r="DD21" s="153"/>
      <c r="DE21" s="153"/>
      <c r="DF21" s="153"/>
      <c r="DG21" s="153"/>
      <c r="DH21" s="153"/>
      <c r="DI21" s="153"/>
      <c r="DJ21" s="153"/>
      <c r="DK21" s="153"/>
      <c r="DL21" s="153"/>
      <c r="DM21" s="153"/>
      <c r="DN21" s="153"/>
      <c r="DO21" s="153"/>
      <c r="DP21" s="153"/>
      <c r="DQ21" s="154"/>
      <c r="DR21" s="153"/>
      <c r="DS21" s="153"/>
      <c r="DT21" s="153"/>
      <c r="DU21" s="153"/>
      <c r="DV21" s="153"/>
      <c r="DW21" s="153"/>
      <c r="DX21" s="153"/>
      <c r="DY21" s="153"/>
      <c r="DZ21" s="153"/>
      <c r="EA21" s="153"/>
      <c r="EB21" s="153"/>
      <c r="EC21" s="153"/>
      <c r="ED21" s="153"/>
      <c r="EE21" s="153"/>
      <c r="EF21" s="153"/>
      <c r="EG21" s="153"/>
      <c r="EH21" s="153"/>
      <c r="EI21" s="153"/>
      <c r="EJ21" s="153"/>
      <c r="EK21" s="153"/>
      <c r="EL21" s="153"/>
      <c r="EM21" s="153"/>
      <c r="EN21" s="153"/>
      <c r="EO21" s="153"/>
      <c r="EP21" s="153"/>
      <c r="EQ21" s="153"/>
      <c r="ER21" s="153"/>
      <c r="ES21" s="153"/>
      <c r="ET21" s="153"/>
      <c r="EU21" s="153"/>
      <c r="EV21" s="153"/>
      <c r="EW21" s="153"/>
      <c r="EX21" s="154"/>
      <c r="EY21" s="154"/>
      <c r="EZ21" s="154"/>
      <c r="FA21" s="154"/>
      <c r="FB21" s="154"/>
      <c r="FC21" s="154"/>
      <c r="FD21" s="154"/>
      <c r="FE21" s="154"/>
      <c r="FF21" s="154"/>
      <c r="FG21" s="154"/>
      <c r="FH21" s="153"/>
      <c r="FI21" s="153"/>
      <c r="FJ21" s="153"/>
      <c r="FK21" s="156"/>
      <c r="FL21" s="153"/>
      <c r="FM21" s="153"/>
      <c r="FN21" s="153"/>
      <c r="FO21" s="153"/>
      <c r="FP21" s="153"/>
      <c r="FQ21" s="153"/>
      <c r="FR21" s="153"/>
      <c r="FS21" s="153"/>
      <c r="FT21" s="153"/>
      <c r="FU21" s="153"/>
      <c r="FV21" s="153"/>
      <c r="FW21" s="153"/>
      <c r="FX21" s="153"/>
      <c r="FY21" s="153"/>
      <c r="FZ21" s="153"/>
      <c r="GA21" s="153"/>
      <c r="GB21" s="153"/>
      <c r="GC21" s="156"/>
      <c r="GD21" s="153"/>
      <c r="GE21" s="153"/>
      <c r="GF21" s="153"/>
      <c r="GG21" s="156"/>
      <c r="GH21" s="153"/>
      <c r="GI21" s="153"/>
      <c r="GJ21" s="153"/>
      <c r="GK21" s="156"/>
      <c r="GL21" s="153"/>
      <c r="GM21" s="153"/>
      <c r="GN21" s="153"/>
      <c r="GO21" s="153"/>
      <c r="GP21" s="153"/>
      <c r="GQ21" s="156"/>
      <c r="GR21" s="153"/>
      <c r="GS21" s="153"/>
      <c r="GT21" s="153"/>
      <c r="GU21" s="153"/>
      <c r="GV21" s="153"/>
      <c r="GW21" s="153"/>
      <c r="GX21" s="154"/>
      <c r="GY21" s="153"/>
      <c r="GZ21" s="153"/>
      <c r="HA21" s="156"/>
    </row>
    <row r="22" spans="1:209" s="58" customFormat="1" ht="18" customHeight="1">
      <c r="A22" s="153" t="s">
        <v>3127</v>
      </c>
      <c r="B22" s="153" t="s">
        <v>3122</v>
      </c>
      <c r="C22" s="164" t="s">
        <v>3128</v>
      </c>
      <c r="D22" s="164" t="s">
        <v>83</v>
      </c>
      <c r="E22" s="153"/>
      <c r="F22" s="58" t="s">
        <v>3063</v>
      </c>
      <c r="G22" s="153"/>
      <c r="H22" s="153" t="s">
        <v>716</v>
      </c>
      <c r="I22" s="153" t="s">
        <v>3063</v>
      </c>
      <c r="J22" s="153"/>
      <c r="K22" s="153"/>
      <c r="L22" s="153"/>
      <c r="M22" s="153" t="s">
        <v>202</v>
      </c>
      <c r="N22" s="153" t="s">
        <v>625</v>
      </c>
      <c r="O22" s="153" t="s">
        <v>196</v>
      </c>
      <c r="P22" s="153"/>
      <c r="Q22" s="153"/>
      <c r="R22" s="153"/>
      <c r="S22" s="153"/>
      <c r="T22" s="153"/>
      <c r="U22" s="153"/>
      <c r="V22" s="153"/>
      <c r="W22" s="153"/>
      <c r="X22" s="153"/>
      <c r="Y22" s="153"/>
      <c r="Z22" s="153"/>
      <c r="AA22" s="153" t="s">
        <v>662</v>
      </c>
      <c r="AB22" s="153"/>
      <c r="AC22" s="153"/>
      <c r="AD22" s="153"/>
      <c r="AE22" s="153"/>
      <c r="AF22" s="153"/>
      <c r="AG22" s="153"/>
      <c r="AH22" s="153"/>
      <c r="AI22" s="153"/>
      <c r="AJ22" s="153"/>
      <c r="AK22" s="153"/>
      <c r="AL22" s="153"/>
      <c r="AM22" s="153"/>
      <c r="AN22" s="153"/>
      <c r="AO22" s="153"/>
      <c r="AP22" s="153"/>
      <c r="AQ22" s="153"/>
      <c r="AR22" s="153"/>
      <c r="AS22" s="153"/>
      <c r="AT22" s="154"/>
      <c r="AU22" s="154"/>
      <c r="AV22" s="154"/>
      <c r="AW22" s="153"/>
      <c r="AX22" s="153"/>
      <c r="AY22" s="153"/>
      <c r="AZ22" s="153"/>
      <c r="BA22" s="153" t="s">
        <v>711</v>
      </c>
      <c r="BB22" s="153"/>
      <c r="BC22" s="153"/>
      <c r="BD22" s="153"/>
      <c r="BE22" s="153" t="s">
        <v>711</v>
      </c>
      <c r="BF22" s="153"/>
      <c r="BG22" s="153"/>
      <c r="BH22" s="155"/>
      <c r="BI22" s="153"/>
      <c r="BJ22" s="155"/>
      <c r="BK22" s="153"/>
      <c r="BL22" s="155"/>
      <c r="BM22" s="153"/>
      <c r="BN22" s="153"/>
      <c r="BO22" s="153"/>
      <c r="BP22" s="153"/>
      <c r="BQ22" s="153"/>
      <c r="BR22" s="153"/>
      <c r="BS22" s="153"/>
      <c r="BT22" s="153"/>
      <c r="BU22" s="153"/>
      <c r="BV22" s="153"/>
      <c r="BW22" s="153"/>
      <c r="BX22" s="153"/>
      <c r="BY22" s="153"/>
      <c r="BZ22" s="153"/>
      <c r="CA22" s="153"/>
      <c r="CB22" s="153"/>
      <c r="CC22" s="153"/>
      <c r="CD22" s="153"/>
      <c r="CE22" s="153"/>
      <c r="CF22" s="153"/>
      <c r="CG22" s="153"/>
      <c r="CH22" s="153"/>
      <c r="CI22" s="153"/>
      <c r="CJ22" s="153"/>
      <c r="CK22" s="153"/>
      <c r="CL22" s="156"/>
      <c r="CM22" s="153"/>
      <c r="CN22" s="154"/>
      <c r="CO22" s="153" t="s">
        <v>584</v>
      </c>
      <c r="CP22" s="153"/>
      <c r="CQ22" s="153" t="s">
        <v>617</v>
      </c>
      <c r="CR22" s="153" t="s">
        <v>614</v>
      </c>
      <c r="CS22" s="153" t="s">
        <v>701</v>
      </c>
      <c r="CT22" s="153"/>
      <c r="CU22" s="153"/>
      <c r="CV22" s="153"/>
      <c r="CW22" s="153"/>
      <c r="CX22" s="153"/>
      <c r="CY22" s="153"/>
      <c r="CZ22" s="153"/>
      <c r="DA22" s="154"/>
      <c r="DB22" s="156"/>
      <c r="DC22" s="153">
        <v>44</v>
      </c>
      <c r="DD22" s="153"/>
      <c r="DE22" s="153" t="s">
        <v>3162</v>
      </c>
      <c r="DF22" s="153"/>
      <c r="DG22" s="153"/>
      <c r="DH22" s="153"/>
      <c r="DI22" s="153"/>
      <c r="DJ22" s="153"/>
      <c r="DK22" s="153"/>
      <c r="DL22" s="153"/>
      <c r="DM22" s="153"/>
      <c r="DN22" s="153"/>
      <c r="DO22" s="153"/>
      <c r="DP22" s="153"/>
      <c r="DQ22" s="154"/>
      <c r="DR22" s="153"/>
      <c r="DS22" s="153"/>
      <c r="DT22" s="153"/>
      <c r="DU22" s="153"/>
      <c r="DV22" s="153"/>
      <c r="DW22" s="153"/>
      <c r="DX22" s="153"/>
      <c r="DY22" s="153"/>
      <c r="DZ22" s="153"/>
      <c r="EA22" s="153"/>
      <c r="EB22" s="153"/>
      <c r="EC22" s="153"/>
      <c r="ED22" s="153"/>
      <c r="EE22" s="153"/>
      <c r="EF22" s="153"/>
      <c r="EG22" s="153"/>
      <c r="EH22" s="153"/>
      <c r="EI22" s="153"/>
      <c r="EJ22" s="153"/>
      <c r="EK22" s="153"/>
      <c r="EL22" s="153"/>
      <c r="EM22" s="153"/>
      <c r="EN22" s="153"/>
      <c r="EO22" s="153"/>
      <c r="EP22" s="153"/>
      <c r="EQ22" s="153"/>
      <c r="ER22" s="153"/>
      <c r="ES22" s="153"/>
      <c r="ET22" s="153"/>
      <c r="EU22" s="153"/>
      <c r="EV22" s="153"/>
      <c r="EW22" s="153"/>
      <c r="EX22" s="154"/>
      <c r="EY22" s="154"/>
      <c r="EZ22" s="154"/>
      <c r="FA22" s="154"/>
      <c r="FB22" s="154"/>
      <c r="FC22" s="154"/>
      <c r="FD22" s="154"/>
      <c r="FE22" s="154"/>
      <c r="FF22" s="154"/>
      <c r="FG22" s="154"/>
      <c r="FH22" s="153"/>
      <c r="FI22" s="153"/>
      <c r="FJ22" s="153"/>
      <c r="FK22" s="156"/>
      <c r="FL22" s="153"/>
      <c r="FM22" s="153"/>
      <c r="FN22" s="153"/>
      <c r="FO22" s="153"/>
      <c r="FP22" s="153"/>
      <c r="FQ22" s="153"/>
      <c r="FR22" s="153"/>
      <c r="FS22" s="153"/>
      <c r="FT22" s="153"/>
      <c r="FU22" s="153"/>
      <c r="FV22" s="153"/>
      <c r="FW22" s="153"/>
      <c r="FX22" s="153"/>
      <c r="FY22" s="153"/>
      <c r="FZ22" s="153"/>
      <c r="GA22" s="153"/>
      <c r="GB22" s="153"/>
      <c r="GC22" s="156"/>
      <c r="GD22" s="153"/>
      <c r="GE22" s="153"/>
      <c r="GF22" s="153"/>
      <c r="GG22" s="156"/>
      <c r="GH22" s="153"/>
      <c r="GI22" s="153"/>
      <c r="GJ22" s="153"/>
      <c r="GK22" s="156"/>
      <c r="GL22" s="153"/>
      <c r="GM22" s="153"/>
      <c r="GN22" s="153"/>
      <c r="GO22" s="153"/>
      <c r="GP22" s="153"/>
      <c r="GQ22" s="156"/>
      <c r="GR22" s="153"/>
      <c r="GS22" s="153"/>
      <c r="GT22" s="153"/>
      <c r="GU22" s="153"/>
      <c r="GV22" s="153"/>
      <c r="GW22" s="153"/>
      <c r="GX22" s="154"/>
      <c r="GY22" s="153"/>
      <c r="GZ22" s="153"/>
      <c r="HA22" s="156"/>
    </row>
    <row r="23" spans="1:209" s="58" customFormat="1" ht="18" customHeight="1">
      <c r="A23" s="153">
        <v>3957</v>
      </c>
      <c r="B23" s="153" t="s">
        <v>3127</v>
      </c>
      <c r="C23" s="176" t="s">
        <v>3110</v>
      </c>
      <c r="D23" s="176" t="s">
        <v>84</v>
      </c>
      <c r="E23" s="153" t="s">
        <v>84</v>
      </c>
      <c r="F23" s="58" t="s">
        <v>3129</v>
      </c>
      <c r="G23" s="153"/>
      <c r="H23" s="153" t="s">
        <v>716</v>
      </c>
      <c r="I23" s="153" t="s">
        <v>3129</v>
      </c>
      <c r="J23" s="153"/>
      <c r="K23" s="153"/>
      <c r="L23" s="153"/>
      <c r="M23" s="153" t="s">
        <v>554</v>
      </c>
      <c r="N23" s="153" t="s">
        <v>625</v>
      </c>
      <c r="O23" s="153" t="s">
        <v>196</v>
      </c>
      <c r="P23" s="153"/>
      <c r="Q23" s="153"/>
      <c r="R23" s="153"/>
      <c r="S23" s="153"/>
      <c r="T23" s="153"/>
      <c r="U23" s="153" t="s">
        <v>554</v>
      </c>
      <c r="V23" s="153"/>
      <c r="W23" s="153"/>
      <c r="X23" s="153"/>
      <c r="Y23" s="153"/>
      <c r="Z23" s="153"/>
      <c r="AA23" s="153" t="s">
        <v>662</v>
      </c>
      <c r="AB23" s="153"/>
      <c r="AC23" s="153"/>
      <c r="AD23" s="153"/>
      <c r="AE23" s="153"/>
      <c r="AF23" s="153"/>
      <c r="AG23" s="153"/>
      <c r="AH23" s="153"/>
      <c r="AI23" s="153"/>
      <c r="AJ23" s="153"/>
      <c r="AK23" s="153"/>
      <c r="AL23" s="153"/>
      <c r="AM23" s="153"/>
      <c r="AN23" s="153"/>
      <c r="AO23" s="153"/>
      <c r="AP23" s="153"/>
      <c r="AQ23" s="153"/>
      <c r="AR23" s="153"/>
      <c r="AS23" s="153"/>
      <c r="AT23" s="154"/>
      <c r="AU23" s="154"/>
      <c r="AV23" s="154"/>
      <c r="AW23" s="153"/>
      <c r="AX23" s="153"/>
      <c r="AY23" s="153"/>
      <c r="AZ23" s="153"/>
      <c r="BA23" s="153"/>
      <c r="BB23" s="153"/>
      <c r="BC23" s="153"/>
      <c r="BD23" s="153"/>
      <c r="BE23" s="153"/>
      <c r="BF23" s="153"/>
      <c r="BG23" s="153"/>
      <c r="BH23" s="155"/>
      <c r="BI23" s="153"/>
      <c r="BJ23" s="155"/>
      <c r="BK23" s="153"/>
      <c r="BL23" s="155"/>
      <c r="BM23" s="153"/>
      <c r="BN23" s="153"/>
      <c r="BO23" s="153"/>
      <c r="BP23" s="153"/>
      <c r="BQ23" s="153"/>
      <c r="BR23" s="153"/>
      <c r="BS23" s="153"/>
      <c r="BT23" s="153"/>
      <c r="BU23" s="153"/>
      <c r="BV23" s="153"/>
      <c r="BW23" s="153"/>
      <c r="BX23" s="153"/>
      <c r="BY23" s="153"/>
      <c r="BZ23" s="153"/>
      <c r="CA23" s="153"/>
      <c r="CB23" s="153"/>
      <c r="CC23" s="153"/>
      <c r="CD23" s="153"/>
      <c r="CE23" s="153"/>
      <c r="CF23" s="153"/>
      <c r="CG23" s="153"/>
      <c r="CH23" s="153"/>
      <c r="CI23" s="153"/>
      <c r="CJ23" s="153"/>
      <c r="CK23" s="153"/>
      <c r="CL23" s="156"/>
      <c r="CM23" s="153"/>
      <c r="CN23" s="154"/>
      <c r="CO23" s="153"/>
      <c r="CP23" s="153"/>
      <c r="CQ23" s="153"/>
      <c r="CR23" s="153"/>
      <c r="CS23" s="153"/>
      <c r="CT23" s="153"/>
      <c r="CU23" s="153"/>
      <c r="CV23" s="153"/>
      <c r="CW23" s="153"/>
      <c r="CX23" s="153"/>
      <c r="CY23" s="153"/>
      <c r="CZ23" s="153"/>
      <c r="DA23" s="154"/>
      <c r="DB23" s="156"/>
      <c r="DC23" s="153"/>
      <c r="DD23" s="153"/>
      <c r="DE23" s="153"/>
      <c r="DF23" s="153"/>
      <c r="DG23" s="153"/>
      <c r="DH23" s="153"/>
      <c r="DI23" s="153"/>
      <c r="DJ23" s="153"/>
      <c r="DK23" s="153"/>
      <c r="DL23" s="153"/>
      <c r="DM23" s="153"/>
      <c r="DN23" s="153"/>
      <c r="DO23" s="153"/>
      <c r="DP23" s="153"/>
      <c r="DQ23" s="154"/>
      <c r="DR23" s="153"/>
      <c r="DS23" s="153"/>
      <c r="DT23" s="153"/>
      <c r="DU23" s="153"/>
      <c r="DV23" s="153"/>
      <c r="DW23" s="153"/>
      <c r="DX23" s="153"/>
      <c r="DY23" s="153"/>
      <c r="DZ23" s="153"/>
      <c r="EA23" s="153"/>
      <c r="EB23" s="153"/>
      <c r="EC23" s="153"/>
      <c r="ED23" s="153"/>
      <c r="EE23" s="153"/>
      <c r="EF23" s="153"/>
      <c r="EG23" s="153"/>
      <c r="EH23" s="153"/>
      <c r="EI23" s="153"/>
      <c r="EJ23" s="153"/>
      <c r="EK23" s="153"/>
      <c r="EL23" s="153"/>
      <c r="EM23" s="153"/>
      <c r="EN23" s="153"/>
      <c r="EO23" s="153"/>
      <c r="EP23" s="153"/>
      <c r="EQ23" s="153"/>
      <c r="ER23" s="153"/>
      <c r="ES23" s="153"/>
      <c r="ET23" s="153"/>
      <c r="EU23" s="153"/>
      <c r="EV23" s="153"/>
      <c r="EW23" s="153"/>
      <c r="EX23" s="154"/>
      <c r="EY23" s="154"/>
      <c r="EZ23" s="154"/>
      <c r="FA23" s="154"/>
      <c r="FB23" s="154"/>
      <c r="FC23" s="154"/>
      <c r="FD23" s="154"/>
      <c r="FE23" s="154"/>
      <c r="FF23" s="154"/>
      <c r="FG23" s="154"/>
      <c r="FH23" s="153"/>
      <c r="FI23" s="153"/>
      <c r="FJ23" s="153"/>
      <c r="FK23" s="156"/>
      <c r="FL23" s="153"/>
      <c r="FM23" s="153"/>
      <c r="FN23" s="153"/>
      <c r="FO23" s="153"/>
      <c r="FP23" s="153"/>
      <c r="FQ23" s="153"/>
      <c r="FR23" s="153"/>
      <c r="FS23" s="153"/>
      <c r="FT23" s="153"/>
      <c r="FU23" s="153"/>
      <c r="FV23" s="153"/>
      <c r="FW23" s="153"/>
      <c r="FX23" s="153"/>
      <c r="FY23" s="153"/>
      <c r="FZ23" s="153"/>
      <c r="GA23" s="153"/>
      <c r="GB23" s="153"/>
      <c r="GC23" s="156"/>
      <c r="GD23" s="153"/>
      <c r="GE23" s="153"/>
      <c r="GF23" s="153"/>
      <c r="GG23" s="156"/>
      <c r="GH23" s="153"/>
      <c r="GI23" s="153"/>
      <c r="GJ23" s="153"/>
      <c r="GK23" s="156"/>
      <c r="GL23" s="153"/>
      <c r="GM23" s="153"/>
      <c r="GN23" s="153"/>
      <c r="GO23" s="153"/>
      <c r="GP23" s="153"/>
      <c r="GQ23" s="156"/>
      <c r="GR23" s="153"/>
      <c r="GS23" s="153"/>
      <c r="GT23" s="153"/>
      <c r="GU23" s="153"/>
      <c r="GV23" s="153"/>
      <c r="GW23" s="153"/>
      <c r="GX23" s="154"/>
      <c r="GY23" s="153"/>
      <c r="GZ23" s="153"/>
      <c r="HA23" s="156"/>
    </row>
    <row r="24" spans="1:209" s="58" customFormat="1" ht="18" customHeight="1">
      <c r="A24" s="153">
        <v>3962</v>
      </c>
      <c r="B24" s="153" t="s">
        <v>3092</v>
      </c>
      <c r="C24" s="176" t="s">
        <v>3130</v>
      </c>
      <c r="D24" s="176" t="s">
        <v>708</v>
      </c>
      <c r="E24" s="153"/>
      <c r="F24" s="58" t="s">
        <v>1090</v>
      </c>
      <c r="G24" s="153"/>
      <c r="H24" s="153" t="s">
        <v>716</v>
      </c>
      <c r="I24" s="153" t="s">
        <v>1090</v>
      </c>
      <c r="J24" s="153"/>
      <c r="K24" s="153"/>
      <c r="L24" s="153"/>
      <c r="M24" s="153" t="s">
        <v>554</v>
      </c>
      <c r="N24" s="153" t="s">
        <v>625</v>
      </c>
      <c r="O24" s="153" t="s">
        <v>196</v>
      </c>
      <c r="P24" s="153"/>
      <c r="Q24" s="153"/>
      <c r="R24" s="153"/>
      <c r="S24" s="153"/>
      <c r="T24" s="153"/>
      <c r="U24" s="153" t="s">
        <v>554</v>
      </c>
      <c r="V24" s="153"/>
      <c r="W24" s="153"/>
      <c r="X24" s="153"/>
      <c r="Y24" s="153"/>
      <c r="Z24" s="153"/>
      <c r="AA24" s="153"/>
      <c r="AB24" s="153"/>
      <c r="AC24" s="153"/>
      <c r="AD24" s="153"/>
      <c r="AE24" s="153"/>
      <c r="AF24" s="153"/>
      <c r="AG24" s="153"/>
      <c r="AH24" s="153"/>
      <c r="AI24" s="153"/>
      <c r="AJ24" s="153"/>
      <c r="AK24" s="153"/>
      <c r="AL24" s="153"/>
      <c r="AM24" s="153"/>
      <c r="AN24" s="153"/>
      <c r="AO24" s="153"/>
      <c r="AP24" s="153"/>
      <c r="AQ24" s="153"/>
      <c r="AR24" s="153"/>
      <c r="AS24" s="153"/>
      <c r="AT24" s="154"/>
      <c r="AU24" s="154"/>
      <c r="AV24" s="154"/>
      <c r="AW24" s="153"/>
      <c r="AX24" s="153"/>
      <c r="AY24" s="153"/>
      <c r="AZ24" s="153"/>
      <c r="BA24" s="153"/>
      <c r="BB24" s="153"/>
      <c r="BC24" s="153"/>
      <c r="BD24" s="153"/>
      <c r="BE24" s="153"/>
      <c r="BF24" s="153"/>
      <c r="BG24" s="153"/>
      <c r="BH24" s="155"/>
      <c r="BI24" s="153"/>
      <c r="BJ24" s="155"/>
      <c r="BK24" s="153"/>
      <c r="BL24" s="155"/>
      <c r="BM24" s="153"/>
      <c r="BN24" s="153"/>
      <c r="BO24" s="153"/>
      <c r="BP24" s="153"/>
      <c r="BQ24" s="153"/>
      <c r="BR24" s="153"/>
      <c r="BS24" s="153"/>
      <c r="BT24" s="153"/>
      <c r="BU24" s="153"/>
      <c r="BV24" s="153"/>
      <c r="BW24" s="153"/>
      <c r="BX24" s="153"/>
      <c r="BY24" s="153"/>
      <c r="BZ24" s="153"/>
      <c r="CA24" s="153"/>
      <c r="CB24" s="153"/>
      <c r="CC24" s="153"/>
      <c r="CD24" s="153"/>
      <c r="CE24" s="153"/>
      <c r="CF24" s="153"/>
      <c r="CG24" s="153"/>
      <c r="CH24" s="153"/>
      <c r="CI24" s="153"/>
      <c r="CJ24" s="153"/>
      <c r="CK24" s="153"/>
      <c r="CL24" s="156"/>
      <c r="CM24" s="153"/>
      <c r="CN24" s="154"/>
      <c r="CO24" s="153"/>
      <c r="CP24" s="153"/>
      <c r="CQ24" s="153"/>
      <c r="CR24" s="153"/>
      <c r="CS24" s="153"/>
      <c r="CT24" s="153"/>
      <c r="CU24" s="153"/>
      <c r="CV24" s="153"/>
      <c r="CW24" s="153"/>
      <c r="CX24" s="153"/>
      <c r="CY24" s="153"/>
      <c r="CZ24" s="153"/>
      <c r="DA24" s="154"/>
      <c r="DB24" s="156"/>
      <c r="DC24" s="153"/>
      <c r="DD24" s="153"/>
      <c r="DE24" s="153"/>
      <c r="DF24" s="153"/>
      <c r="DG24" s="153"/>
      <c r="DH24" s="153"/>
      <c r="DI24" s="153"/>
      <c r="DJ24" s="153"/>
      <c r="DK24" s="153"/>
      <c r="DL24" s="153"/>
      <c r="DM24" s="153"/>
      <c r="DN24" s="153"/>
      <c r="DO24" s="153"/>
      <c r="DP24" s="153"/>
      <c r="DQ24" s="154"/>
      <c r="DR24" s="153"/>
      <c r="DS24" s="153"/>
      <c r="DT24" s="153"/>
      <c r="DU24" s="153"/>
      <c r="DV24" s="153"/>
      <c r="DW24" s="153"/>
      <c r="DX24" s="153"/>
      <c r="DY24" s="153"/>
      <c r="DZ24" s="153"/>
      <c r="EA24" s="153"/>
      <c r="EB24" s="153"/>
      <c r="EC24" s="153"/>
      <c r="ED24" s="153"/>
      <c r="EE24" s="153"/>
      <c r="EF24" s="153"/>
      <c r="EG24" s="153"/>
      <c r="EH24" s="153"/>
      <c r="EI24" s="153"/>
      <c r="EJ24" s="153"/>
      <c r="EK24" s="153"/>
      <c r="EL24" s="153"/>
      <c r="EM24" s="153"/>
      <c r="EN24" s="153"/>
      <c r="EO24" s="153"/>
      <c r="EP24" s="153"/>
      <c r="EQ24" s="153"/>
      <c r="ER24" s="153"/>
      <c r="ES24" s="153"/>
      <c r="ET24" s="153"/>
      <c r="EU24" s="153"/>
      <c r="EV24" s="153"/>
      <c r="EW24" s="153"/>
      <c r="EX24" s="154"/>
      <c r="EY24" s="154"/>
      <c r="EZ24" s="154"/>
      <c r="FA24" s="154"/>
      <c r="FB24" s="154"/>
      <c r="FC24" s="154"/>
      <c r="FD24" s="154"/>
      <c r="FE24" s="154"/>
      <c r="FF24" s="154"/>
      <c r="FG24" s="154"/>
      <c r="FH24" s="153"/>
      <c r="FI24" s="153"/>
      <c r="FJ24" s="153"/>
      <c r="FK24" s="156"/>
      <c r="FL24" s="153"/>
      <c r="FM24" s="153"/>
      <c r="FN24" s="153"/>
      <c r="FO24" s="153"/>
      <c r="FP24" s="153"/>
      <c r="FQ24" s="153"/>
      <c r="FR24" s="153"/>
      <c r="FS24" s="153"/>
      <c r="FT24" s="153"/>
      <c r="FU24" s="153"/>
      <c r="FV24" s="153"/>
      <c r="FW24" s="153"/>
      <c r="FX24" s="153"/>
      <c r="FY24" s="153"/>
      <c r="FZ24" s="153"/>
      <c r="GA24" s="153"/>
      <c r="GB24" s="153"/>
      <c r="GC24" s="156"/>
      <c r="GD24" s="153"/>
      <c r="GE24" s="153"/>
      <c r="GF24" s="153"/>
      <c r="GG24" s="156"/>
      <c r="GH24" s="153"/>
      <c r="GI24" s="153"/>
      <c r="GJ24" s="153"/>
      <c r="GK24" s="156"/>
      <c r="GL24" s="153"/>
      <c r="GM24" s="153"/>
      <c r="GN24" s="153"/>
      <c r="GO24" s="153"/>
      <c r="GP24" s="153"/>
      <c r="GQ24" s="156"/>
      <c r="GR24" s="153"/>
      <c r="GS24" s="153"/>
      <c r="GT24" s="153"/>
      <c r="GU24" s="153"/>
      <c r="GV24" s="153"/>
      <c r="GW24" s="153"/>
      <c r="GX24" s="154"/>
      <c r="GY24" s="153"/>
      <c r="GZ24" s="153"/>
      <c r="HA24" s="156"/>
    </row>
    <row r="25" spans="1:209" s="58" customFormat="1" ht="18" customHeight="1">
      <c r="A25" s="153">
        <v>3963</v>
      </c>
      <c r="B25" s="153" t="s">
        <v>3112</v>
      </c>
      <c r="C25" s="176" t="s">
        <v>1689</v>
      </c>
      <c r="D25" s="176" t="s">
        <v>708</v>
      </c>
      <c r="E25" s="153"/>
      <c r="F25" s="58" t="s">
        <v>3131</v>
      </c>
      <c r="G25" s="153"/>
      <c r="H25" s="153" t="s">
        <v>716</v>
      </c>
      <c r="I25" s="153" t="s">
        <v>3131</v>
      </c>
      <c r="J25" s="153"/>
      <c r="K25" s="153"/>
      <c r="L25" s="153"/>
      <c r="M25" s="153" t="s">
        <v>554</v>
      </c>
      <c r="N25" s="153" t="s">
        <v>625</v>
      </c>
      <c r="O25" s="153" t="s">
        <v>196</v>
      </c>
      <c r="P25" s="153"/>
      <c r="Q25" s="153"/>
      <c r="R25" s="153"/>
      <c r="S25" s="153"/>
      <c r="T25" s="153"/>
      <c r="U25" s="153" t="s">
        <v>554</v>
      </c>
      <c r="V25" s="153"/>
      <c r="W25" s="153"/>
      <c r="X25" s="153"/>
      <c r="Y25" s="153"/>
      <c r="Z25" s="153"/>
      <c r="AA25" s="153"/>
      <c r="AB25" s="153"/>
      <c r="AC25" s="153"/>
      <c r="AD25" s="153"/>
      <c r="AE25" s="153"/>
      <c r="AF25" s="153"/>
      <c r="AG25" s="153"/>
      <c r="AH25" s="153"/>
      <c r="AI25" s="153"/>
      <c r="AJ25" s="153"/>
      <c r="AK25" s="153"/>
      <c r="AL25" s="153"/>
      <c r="AM25" s="153"/>
      <c r="AN25" s="153"/>
      <c r="AO25" s="153"/>
      <c r="AP25" s="153"/>
      <c r="AQ25" s="153"/>
      <c r="AR25" s="153"/>
      <c r="AS25" s="153"/>
      <c r="AT25" s="154"/>
      <c r="AU25" s="154"/>
      <c r="AV25" s="154"/>
      <c r="AW25" s="153"/>
      <c r="AX25" s="153"/>
      <c r="AY25" s="153"/>
      <c r="AZ25" s="153"/>
      <c r="BA25" s="153"/>
      <c r="BB25" s="153"/>
      <c r="BC25" s="153"/>
      <c r="BD25" s="153"/>
      <c r="BE25" s="153"/>
      <c r="BF25" s="153"/>
      <c r="BG25" s="153"/>
      <c r="BH25" s="155"/>
      <c r="BI25" s="153"/>
      <c r="BJ25" s="155"/>
      <c r="BK25" s="153"/>
      <c r="BL25" s="155"/>
      <c r="BM25" s="153"/>
      <c r="BN25" s="153"/>
      <c r="BO25" s="153"/>
      <c r="BP25" s="153"/>
      <c r="BQ25" s="153"/>
      <c r="BR25" s="153"/>
      <c r="BS25" s="153"/>
      <c r="BT25" s="153"/>
      <c r="BU25" s="153"/>
      <c r="BV25" s="153"/>
      <c r="BW25" s="153"/>
      <c r="BX25" s="153"/>
      <c r="BY25" s="153"/>
      <c r="BZ25" s="153"/>
      <c r="CA25" s="153"/>
      <c r="CB25" s="153"/>
      <c r="CC25" s="153"/>
      <c r="CD25" s="153"/>
      <c r="CE25" s="153"/>
      <c r="CF25" s="153"/>
      <c r="CG25" s="153"/>
      <c r="CH25" s="153"/>
      <c r="CI25" s="153"/>
      <c r="CJ25" s="153"/>
      <c r="CK25" s="153"/>
      <c r="CL25" s="156"/>
      <c r="CM25" s="153"/>
      <c r="CN25" s="154"/>
      <c r="CO25" s="153"/>
      <c r="CP25" s="153"/>
      <c r="CQ25" s="153"/>
      <c r="CR25" s="153"/>
      <c r="CS25" s="153"/>
      <c r="CT25" s="153"/>
      <c r="CU25" s="153"/>
      <c r="CV25" s="153"/>
      <c r="CW25" s="153"/>
      <c r="CX25" s="153"/>
      <c r="CY25" s="153"/>
      <c r="CZ25" s="153"/>
      <c r="DA25" s="154"/>
      <c r="DB25" s="156"/>
      <c r="DC25" s="153"/>
      <c r="DD25" s="153"/>
      <c r="DE25" s="153"/>
      <c r="DF25" s="153"/>
      <c r="DG25" s="153"/>
      <c r="DH25" s="153"/>
      <c r="DI25" s="153"/>
      <c r="DJ25" s="153"/>
      <c r="DK25" s="153"/>
      <c r="DL25" s="153"/>
      <c r="DM25" s="153"/>
      <c r="DN25" s="153"/>
      <c r="DO25" s="153"/>
      <c r="DP25" s="153"/>
      <c r="DQ25" s="154"/>
      <c r="DR25" s="153"/>
      <c r="DS25" s="153"/>
      <c r="DT25" s="153"/>
      <c r="DU25" s="153"/>
      <c r="DV25" s="153"/>
      <c r="DW25" s="153"/>
      <c r="DX25" s="153"/>
      <c r="DY25" s="153"/>
      <c r="DZ25" s="153"/>
      <c r="EA25" s="153"/>
      <c r="EB25" s="153"/>
      <c r="EC25" s="153"/>
      <c r="ED25" s="153"/>
      <c r="EE25" s="153"/>
      <c r="EF25" s="153"/>
      <c r="EG25" s="153"/>
      <c r="EH25" s="153"/>
      <c r="EI25" s="153"/>
      <c r="EJ25" s="153"/>
      <c r="EK25" s="153"/>
      <c r="EL25" s="153"/>
      <c r="EM25" s="153"/>
      <c r="EN25" s="153"/>
      <c r="EO25" s="153"/>
      <c r="EP25" s="153"/>
      <c r="EQ25" s="153"/>
      <c r="ER25" s="153"/>
      <c r="ES25" s="153"/>
      <c r="ET25" s="153"/>
      <c r="EU25" s="153"/>
      <c r="EV25" s="153"/>
      <c r="EW25" s="153"/>
      <c r="EX25" s="154"/>
      <c r="EY25" s="154"/>
      <c r="EZ25" s="154"/>
      <c r="FA25" s="154"/>
      <c r="FB25" s="154"/>
      <c r="FC25" s="154"/>
      <c r="FD25" s="154"/>
      <c r="FE25" s="154"/>
      <c r="FF25" s="154"/>
      <c r="FG25" s="154"/>
      <c r="FH25" s="153"/>
      <c r="FI25" s="153"/>
      <c r="FJ25" s="153"/>
      <c r="FK25" s="156"/>
      <c r="FL25" s="153"/>
      <c r="FM25" s="153"/>
      <c r="FN25" s="153"/>
      <c r="FO25" s="153"/>
      <c r="FP25" s="153"/>
      <c r="FQ25" s="153"/>
      <c r="FR25" s="153"/>
      <c r="FS25" s="153"/>
      <c r="FT25" s="153"/>
      <c r="FU25" s="153"/>
      <c r="FV25" s="153"/>
      <c r="FW25" s="153"/>
      <c r="FX25" s="153"/>
      <c r="FY25" s="153"/>
      <c r="FZ25" s="153"/>
      <c r="GA25" s="153"/>
      <c r="GB25" s="153"/>
      <c r="GC25" s="156"/>
      <c r="GD25" s="153"/>
      <c r="GE25" s="153"/>
      <c r="GF25" s="153"/>
      <c r="GG25" s="156"/>
      <c r="GH25" s="153"/>
      <c r="GI25" s="153"/>
      <c r="GJ25" s="153"/>
      <c r="GK25" s="156"/>
      <c r="GL25" s="153"/>
      <c r="GM25" s="153"/>
      <c r="GN25" s="153"/>
      <c r="GO25" s="153"/>
      <c r="GP25" s="153"/>
      <c r="GQ25" s="156"/>
      <c r="GR25" s="153"/>
      <c r="GS25" s="153"/>
      <c r="GT25" s="153"/>
      <c r="GU25" s="153"/>
      <c r="GV25" s="153"/>
      <c r="GW25" s="153"/>
      <c r="GX25" s="154"/>
      <c r="GY25" s="153"/>
      <c r="GZ25" s="153"/>
      <c r="HA25" s="156"/>
    </row>
    <row r="26" spans="1:209" s="58" customFormat="1" ht="18" customHeight="1">
      <c r="A26" s="153">
        <v>16054</v>
      </c>
      <c r="B26" s="153" t="s">
        <v>3094</v>
      </c>
      <c r="C26" s="176" t="s">
        <v>3132</v>
      </c>
      <c r="D26" s="176" t="s">
        <v>84</v>
      </c>
      <c r="E26" s="153" t="s">
        <v>84</v>
      </c>
      <c r="F26" s="58" t="s">
        <v>1128</v>
      </c>
      <c r="G26" s="153"/>
      <c r="H26" s="153" t="s">
        <v>716</v>
      </c>
      <c r="I26" s="153" t="s">
        <v>1128</v>
      </c>
      <c r="J26" s="153"/>
      <c r="K26" s="153"/>
      <c r="L26" s="153"/>
      <c r="M26" s="153" t="s">
        <v>554</v>
      </c>
      <c r="N26" s="153" t="s">
        <v>625</v>
      </c>
      <c r="O26" s="153" t="s">
        <v>196</v>
      </c>
      <c r="P26" s="153"/>
      <c r="Q26" s="153"/>
      <c r="R26" s="153"/>
      <c r="S26" s="153"/>
      <c r="T26" s="153"/>
      <c r="U26" s="153" t="s">
        <v>554</v>
      </c>
      <c r="V26" s="153"/>
      <c r="W26" s="153"/>
      <c r="X26" s="153"/>
      <c r="Y26" s="153"/>
      <c r="Z26" s="153"/>
      <c r="AA26" s="153"/>
      <c r="AB26" s="153"/>
      <c r="AC26" s="153"/>
      <c r="AD26" s="153"/>
      <c r="AE26" s="153"/>
      <c r="AF26" s="153"/>
      <c r="AG26" s="153"/>
      <c r="AH26" s="153"/>
      <c r="AI26" s="153"/>
      <c r="AJ26" s="153"/>
      <c r="AK26" s="153"/>
      <c r="AL26" s="153"/>
      <c r="AM26" s="153"/>
      <c r="AN26" s="153"/>
      <c r="AO26" s="153"/>
      <c r="AP26" s="153"/>
      <c r="AQ26" s="153"/>
      <c r="AR26" s="153"/>
      <c r="AS26" s="153"/>
      <c r="AT26" s="154"/>
      <c r="AU26" s="154"/>
      <c r="AV26" s="154"/>
      <c r="AW26" s="153"/>
      <c r="AX26" s="153"/>
      <c r="AY26" s="153"/>
      <c r="AZ26" s="153"/>
      <c r="BA26" s="153"/>
      <c r="BB26" s="153"/>
      <c r="BC26" s="153"/>
      <c r="BD26" s="153"/>
      <c r="BE26" s="153"/>
      <c r="BF26" s="153"/>
      <c r="BG26" s="153"/>
      <c r="BH26" s="155"/>
      <c r="BI26" s="153"/>
      <c r="BJ26" s="155"/>
      <c r="BK26" s="153"/>
      <c r="BL26" s="155"/>
      <c r="BM26" s="153"/>
      <c r="BN26" s="153"/>
      <c r="BO26" s="153"/>
      <c r="BP26" s="153"/>
      <c r="BQ26" s="153"/>
      <c r="BR26" s="153"/>
      <c r="BS26" s="153"/>
      <c r="BT26" s="153"/>
      <c r="BU26" s="153"/>
      <c r="BV26" s="153"/>
      <c r="BW26" s="153"/>
      <c r="BX26" s="153"/>
      <c r="BY26" s="153"/>
      <c r="BZ26" s="153"/>
      <c r="CA26" s="153"/>
      <c r="CB26" s="153"/>
      <c r="CC26" s="153"/>
      <c r="CD26" s="153"/>
      <c r="CE26" s="153"/>
      <c r="CF26" s="153"/>
      <c r="CG26" s="153"/>
      <c r="CH26" s="153"/>
      <c r="CI26" s="153"/>
      <c r="CJ26" s="153"/>
      <c r="CK26" s="153"/>
      <c r="CL26" s="156"/>
      <c r="CM26" s="153"/>
      <c r="CN26" s="154"/>
      <c r="CO26" s="153"/>
      <c r="CP26" s="153"/>
      <c r="CQ26" s="153"/>
      <c r="CR26" s="153"/>
      <c r="CS26" s="153"/>
      <c r="CT26" s="153"/>
      <c r="CU26" s="153"/>
      <c r="CV26" s="153"/>
      <c r="CW26" s="153"/>
      <c r="CX26" s="153"/>
      <c r="CY26" s="153"/>
      <c r="CZ26" s="153"/>
      <c r="DA26" s="154"/>
      <c r="DB26" s="156"/>
      <c r="DC26" s="153"/>
      <c r="DD26" s="153"/>
      <c r="DE26" s="153"/>
      <c r="DF26" s="153"/>
      <c r="DG26" s="153"/>
      <c r="DH26" s="153"/>
      <c r="DI26" s="153"/>
      <c r="DJ26" s="153"/>
      <c r="DK26" s="153"/>
      <c r="DL26" s="153"/>
      <c r="DM26" s="153"/>
      <c r="DN26" s="153"/>
      <c r="DO26" s="153"/>
      <c r="DP26" s="153"/>
      <c r="DQ26" s="154"/>
      <c r="DR26" s="153"/>
      <c r="DS26" s="153"/>
      <c r="DT26" s="153"/>
      <c r="DU26" s="153"/>
      <c r="DV26" s="153"/>
      <c r="DW26" s="153"/>
      <c r="DX26" s="153"/>
      <c r="DY26" s="153"/>
      <c r="DZ26" s="153"/>
      <c r="EA26" s="153"/>
      <c r="EB26" s="153"/>
      <c r="EC26" s="153"/>
      <c r="ED26" s="153"/>
      <c r="EE26" s="153"/>
      <c r="EF26" s="153"/>
      <c r="EG26" s="153"/>
      <c r="EH26" s="153"/>
      <c r="EI26" s="153"/>
      <c r="EJ26" s="153"/>
      <c r="EK26" s="153"/>
      <c r="EL26" s="153"/>
      <c r="EM26" s="153"/>
      <c r="EN26" s="153"/>
      <c r="EO26" s="153"/>
      <c r="EP26" s="153"/>
      <c r="EQ26" s="153"/>
      <c r="ER26" s="153"/>
      <c r="ES26" s="153"/>
      <c r="ET26" s="153"/>
      <c r="EU26" s="153"/>
      <c r="EV26" s="153"/>
      <c r="EW26" s="153"/>
      <c r="EX26" s="154"/>
      <c r="EY26" s="154"/>
      <c r="EZ26" s="154"/>
      <c r="FA26" s="154"/>
      <c r="FB26" s="154"/>
      <c r="FC26" s="154"/>
      <c r="FD26" s="154"/>
      <c r="FE26" s="154"/>
      <c r="FF26" s="154"/>
      <c r="FG26" s="154"/>
      <c r="FH26" s="153"/>
      <c r="FI26" s="153"/>
      <c r="FJ26" s="153"/>
      <c r="FK26" s="156"/>
      <c r="FL26" s="153"/>
      <c r="FM26" s="153"/>
      <c r="FN26" s="153"/>
      <c r="FO26" s="153"/>
      <c r="FP26" s="153"/>
      <c r="FQ26" s="153"/>
      <c r="FR26" s="153"/>
      <c r="FS26" s="153"/>
      <c r="FT26" s="153"/>
      <c r="FU26" s="153"/>
      <c r="FV26" s="153"/>
      <c r="FW26" s="153"/>
      <c r="FX26" s="153"/>
      <c r="FY26" s="153"/>
      <c r="FZ26" s="153"/>
      <c r="GA26" s="153"/>
      <c r="GB26" s="153"/>
      <c r="GC26" s="156"/>
      <c r="GD26" s="153"/>
      <c r="GE26" s="153"/>
      <c r="GF26" s="153"/>
      <c r="GG26" s="156"/>
      <c r="GH26" s="153"/>
      <c r="GI26" s="153"/>
      <c r="GJ26" s="153"/>
      <c r="GK26" s="156"/>
      <c r="GL26" s="153"/>
      <c r="GM26" s="153"/>
      <c r="GN26" s="153"/>
      <c r="GO26" s="153"/>
      <c r="GP26" s="153"/>
      <c r="GQ26" s="156"/>
      <c r="GR26" s="153"/>
      <c r="GS26" s="153"/>
      <c r="GT26" s="153"/>
      <c r="GU26" s="153"/>
      <c r="GV26" s="153"/>
      <c r="GW26" s="153"/>
      <c r="GX26" s="154"/>
      <c r="GY26" s="153"/>
      <c r="GZ26" s="153"/>
      <c r="HA26" s="156"/>
    </row>
    <row r="27" spans="1:209" s="58" customFormat="1" ht="18" customHeight="1">
      <c r="A27" s="153">
        <v>16055</v>
      </c>
      <c r="B27" s="153" t="s">
        <v>3094</v>
      </c>
      <c r="C27" s="176" t="s">
        <v>3133</v>
      </c>
      <c r="D27" s="176" t="s">
        <v>84</v>
      </c>
      <c r="E27" s="153" t="s">
        <v>84</v>
      </c>
      <c r="F27" s="58" t="s">
        <v>1123</v>
      </c>
      <c r="G27" s="153"/>
      <c r="H27" s="153" t="s">
        <v>716</v>
      </c>
      <c r="I27" s="153" t="s">
        <v>1123</v>
      </c>
      <c r="J27" s="153"/>
      <c r="K27" s="153"/>
      <c r="L27" s="153"/>
      <c r="M27" s="153" t="s">
        <v>554</v>
      </c>
      <c r="N27" s="153" t="s">
        <v>625</v>
      </c>
      <c r="O27" s="153" t="s">
        <v>196</v>
      </c>
      <c r="P27" s="153"/>
      <c r="Q27" s="153"/>
      <c r="R27" s="153"/>
      <c r="S27" s="153"/>
      <c r="T27" s="153"/>
      <c r="U27" s="153" t="s">
        <v>554</v>
      </c>
      <c r="V27" s="153"/>
      <c r="W27" s="153"/>
      <c r="X27" s="153"/>
      <c r="Y27" s="153"/>
      <c r="Z27" s="153"/>
      <c r="AA27" s="153"/>
      <c r="AB27" s="153"/>
      <c r="AC27" s="153"/>
      <c r="AD27" s="153"/>
      <c r="AE27" s="153"/>
      <c r="AF27" s="153"/>
      <c r="AG27" s="153"/>
      <c r="AH27" s="153"/>
      <c r="AI27" s="153"/>
      <c r="AJ27" s="153"/>
      <c r="AK27" s="153"/>
      <c r="AL27" s="153"/>
      <c r="AM27" s="153"/>
      <c r="AN27" s="153"/>
      <c r="AO27" s="153"/>
      <c r="AP27" s="153"/>
      <c r="AQ27" s="153"/>
      <c r="AR27" s="153"/>
      <c r="AS27" s="153"/>
      <c r="AT27" s="154"/>
      <c r="AU27" s="154"/>
      <c r="AV27" s="154"/>
      <c r="AW27" s="153"/>
      <c r="AX27" s="153"/>
      <c r="AY27" s="153"/>
      <c r="AZ27" s="153"/>
      <c r="BA27" s="153"/>
      <c r="BB27" s="153"/>
      <c r="BC27" s="153"/>
      <c r="BD27" s="153"/>
      <c r="BE27" s="153"/>
      <c r="BF27" s="153"/>
      <c r="BG27" s="153"/>
      <c r="BH27" s="155"/>
      <c r="BI27" s="153"/>
      <c r="BJ27" s="155"/>
      <c r="BK27" s="153"/>
      <c r="BL27" s="155"/>
      <c r="BM27" s="153"/>
      <c r="BN27" s="153"/>
      <c r="BO27" s="153"/>
      <c r="BP27" s="153"/>
      <c r="BQ27" s="153"/>
      <c r="BR27" s="153"/>
      <c r="BS27" s="153"/>
      <c r="BT27" s="153"/>
      <c r="BU27" s="153"/>
      <c r="BV27" s="153"/>
      <c r="BW27" s="153"/>
      <c r="BX27" s="153"/>
      <c r="BY27" s="153"/>
      <c r="BZ27" s="153"/>
      <c r="CA27" s="153"/>
      <c r="CB27" s="153"/>
      <c r="CC27" s="153"/>
      <c r="CD27" s="153"/>
      <c r="CE27" s="153"/>
      <c r="CF27" s="153"/>
      <c r="CG27" s="153"/>
      <c r="CH27" s="153"/>
      <c r="CI27" s="153"/>
      <c r="CJ27" s="153"/>
      <c r="CK27" s="153"/>
      <c r="CL27" s="156"/>
      <c r="CM27" s="153"/>
      <c r="CN27" s="154"/>
      <c r="CO27" s="153"/>
      <c r="CP27" s="153"/>
      <c r="CQ27" s="153"/>
      <c r="CR27" s="153"/>
      <c r="CS27" s="153"/>
      <c r="CT27" s="153"/>
      <c r="CU27" s="153"/>
      <c r="CV27" s="153"/>
      <c r="CW27" s="153"/>
      <c r="CX27" s="153"/>
      <c r="CY27" s="153"/>
      <c r="CZ27" s="153"/>
      <c r="DA27" s="154"/>
      <c r="DB27" s="156"/>
      <c r="DC27" s="153"/>
      <c r="DD27" s="153"/>
      <c r="DE27" s="153"/>
      <c r="DF27" s="153"/>
      <c r="DG27" s="153"/>
      <c r="DH27" s="153"/>
      <c r="DI27" s="153"/>
      <c r="DJ27" s="153"/>
      <c r="DK27" s="153"/>
      <c r="DL27" s="153"/>
      <c r="DM27" s="153"/>
      <c r="DN27" s="153"/>
      <c r="DO27" s="153"/>
      <c r="DP27" s="153"/>
      <c r="DQ27" s="154"/>
      <c r="DR27" s="153"/>
      <c r="DS27" s="153"/>
      <c r="DT27" s="153"/>
      <c r="DU27" s="153"/>
      <c r="DV27" s="153"/>
      <c r="DW27" s="153"/>
      <c r="DX27" s="153"/>
      <c r="DY27" s="153"/>
      <c r="DZ27" s="153"/>
      <c r="EA27" s="153"/>
      <c r="EB27" s="153"/>
      <c r="EC27" s="153"/>
      <c r="ED27" s="153"/>
      <c r="EE27" s="153"/>
      <c r="EF27" s="153"/>
      <c r="EG27" s="153"/>
      <c r="EH27" s="153"/>
      <c r="EI27" s="153"/>
      <c r="EJ27" s="153"/>
      <c r="EK27" s="153"/>
      <c r="EL27" s="153"/>
      <c r="EM27" s="153"/>
      <c r="EN27" s="153"/>
      <c r="EO27" s="153"/>
      <c r="EP27" s="153"/>
      <c r="EQ27" s="153"/>
      <c r="ER27" s="153"/>
      <c r="ES27" s="153"/>
      <c r="ET27" s="153"/>
      <c r="EU27" s="153"/>
      <c r="EV27" s="153"/>
      <c r="EW27" s="153"/>
      <c r="EX27" s="154"/>
      <c r="EY27" s="154"/>
      <c r="EZ27" s="154"/>
      <c r="FA27" s="154"/>
      <c r="FB27" s="154"/>
      <c r="FC27" s="154"/>
      <c r="FD27" s="154"/>
      <c r="FE27" s="154"/>
      <c r="FF27" s="154"/>
      <c r="FG27" s="154"/>
      <c r="FH27" s="153"/>
      <c r="FI27" s="153"/>
      <c r="FJ27" s="153"/>
      <c r="FK27" s="156"/>
      <c r="FL27" s="153"/>
      <c r="FM27" s="153"/>
      <c r="FN27" s="153"/>
      <c r="FO27" s="153"/>
      <c r="FP27" s="153"/>
      <c r="FQ27" s="153"/>
      <c r="FR27" s="153"/>
      <c r="FS27" s="153"/>
      <c r="FT27" s="153"/>
      <c r="FU27" s="153"/>
      <c r="FV27" s="153"/>
      <c r="FW27" s="153"/>
      <c r="FX27" s="153"/>
      <c r="FY27" s="153"/>
      <c r="FZ27" s="153"/>
      <c r="GA27" s="153"/>
      <c r="GB27" s="153"/>
      <c r="GC27" s="156"/>
      <c r="GD27" s="153"/>
      <c r="GE27" s="153"/>
      <c r="GF27" s="153"/>
      <c r="GG27" s="156"/>
      <c r="GH27" s="153"/>
      <c r="GI27" s="153"/>
      <c r="GJ27" s="153"/>
      <c r="GK27" s="156"/>
      <c r="GL27" s="153"/>
      <c r="GM27" s="153"/>
      <c r="GN27" s="153"/>
      <c r="GO27" s="153"/>
      <c r="GP27" s="153"/>
      <c r="GQ27" s="156"/>
      <c r="GR27" s="153"/>
      <c r="GS27" s="153"/>
      <c r="GT27" s="153"/>
      <c r="GU27" s="153"/>
      <c r="GV27" s="153"/>
      <c r="GW27" s="153"/>
      <c r="GX27" s="154"/>
      <c r="GY27" s="153"/>
      <c r="GZ27" s="153"/>
      <c r="HA27" s="156"/>
    </row>
    <row r="28" spans="1:209" s="58" customFormat="1" ht="18" customHeight="1">
      <c r="A28" s="153">
        <v>16056</v>
      </c>
      <c r="B28" s="153" t="s">
        <v>3094</v>
      </c>
      <c r="C28" s="176" t="s">
        <v>3134</v>
      </c>
      <c r="D28" s="176" t="s">
        <v>84</v>
      </c>
      <c r="E28" s="153" t="s">
        <v>484</v>
      </c>
      <c r="F28" s="58" t="s">
        <v>3135</v>
      </c>
      <c r="G28" s="153"/>
      <c r="H28" s="153" t="s">
        <v>716</v>
      </c>
      <c r="I28" s="153" t="s">
        <v>3137</v>
      </c>
      <c r="J28" s="153"/>
      <c r="K28" s="153"/>
      <c r="L28" s="153"/>
      <c r="M28" s="153" t="s">
        <v>554</v>
      </c>
      <c r="N28" s="153" t="s">
        <v>625</v>
      </c>
      <c r="O28" s="153" t="s">
        <v>196</v>
      </c>
      <c r="P28" s="153"/>
      <c r="Q28" s="153"/>
      <c r="R28" s="153"/>
      <c r="S28" s="153"/>
      <c r="T28" s="153"/>
      <c r="U28" s="153" t="s">
        <v>554</v>
      </c>
      <c r="V28" s="153"/>
      <c r="W28" s="153"/>
      <c r="X28" s="153"/>
      <c r="Y28" s="153"/>
      <c r="Z28" s="153"/>
      <c r="AA28" s="153"/>
      <c r="AB28" s="153"/>
      <c r="AC28" s="153"/>
      <c r="AD28" s="153"/>
      <c r="AE28" s="153"/>
      <c r="AF28" s="153"/>
      <c r="AG28" s="153"/>
      <c r="AH28" s="153"/>
      <c r="AI28" s="153"/>
      <c r="AJ28" s="153"/>
      <c r="AK28" s="153"/>
      <c r="AL28" s="153"/>
      <c r="AM28" s="153"/>
      <c r="AN28" s="153"/>
      <c r="AO28" s="153"/>
      <c r="AP28" s="153"/>
      <c r="AQ28" s="153"/>
      <c r="AR28" s="153"/>
      <c r="AS28" s="153"/>
      <c r="AT28" s="154"/>
      <c r="AU28" s="154"/>
      <c r="AV28" s="154"/>
      <c r="AW28" s="153"/>
      <c r="AX28" s="153"/>
      <c r="AY28" s="153"/>
      <c r="AZ28" s="153"/>
      <c r="BA28" s="153"/>
      <c r="BB28" s="153"/>
      <c r="BC28" s="153"/>
      <c r="BD28" s="153"/>
      <c r="BE28" s="153"/>
      <c r="BF28" s="153"/>
      <c r="BG28" s="153"/>
      <c r="BH28" s="155"/>
      <c r="BI28" s="153"/>
      <c r="BJ28" s="155"/>
      <c r="BK28" s="153"/>
      <c r="BL28" s="155"/>
      <c r="BM28" s="153"/>
      <c r="BN28" s="153"/>
      <c r="BO28" s="153"/>
      <c r="BP28" s="153"/>
      <c r="BQ28" s="153"/>
      <c r="BR28" s="153"/>
      <c r="BS28" s="153"/>
      <c r="BT28" s="153"/>
      <c r="BU28" s="153"/>
      <c r="BV28" s="153"/>
      <c r="BW28" s="153"/>
      <c r="BX28" s="153"/>
      <c r="BY28" s="153"/>
      <c r="BZ28" s="153"/>
      <c r="CA28" s="153"/>
      <c r="CB28" s="153"/>
      <c r="CC28" s="153"/>
      <c r="CD28" s="153"/>
      <c r="CE28" s="153"/>
      <c r="CF28" s="153"/>
      <c r="CG28" s="153"/>
      <c r="CH28" s="153"/>
      <c r="CI28" s="153"/>
      <c r="CJ28" s="153"/>
      <c r="CK28" s="153"/>
      <c r="CL28" s="156"/>
      <c r="CM28" s="153"/>
      <c r="CN28" s="154"/>
      <c r="CO28" s="153"/>
      <c r="CP28" s="153"/>
      <c r="CQ28" s="153"/>
      <c r="CR28" s="153"/>
      <c r="CS28" s="153"/>
      <c r="CT28" s="153"/>
      <c r="CU28" s="153"/>
      <c r="CV28" s="153"/>
      <c r="CW28" s="153"/>
      <c r="CX28" s="153"/>
      <c r="CY28" s="153"/>
      <c r="CZ28" s="153"/>
      <c r="DA28" s="154"/>
      <c r="DB28" s="156"/>
      <c r="DC28" s="153"/>
      <c r="DD28" s="153"/>
      <c r="DE28" s="153"/>
      <c r="DF28" s="153"/>
      <c r="DG28" s="153"/>
      <c r="DH28" s="153"/>
      <c r="DI28" s="153"/>
      <c r="DJ28" s="153"/>
      <c r="DK28" s="153"/>
      <c r="DL28" s="153"/>
      <c r="DM28" s="153"/>
      <c r="DN28" s="153"/>
      <c r="DO28" s="153"/>
      <c r="DP28" s="153"/>
      <c r="DQ28" s="154"/>
      <c r="DR28" s="153"/>
      <c r="DS28" s="153"/>
      <c r="DT28" s="153"/>
      <c r="DU28" s="153"/>
      <c r="DV28" s="153"/>
      <c r="DW28" s="153"/>
      <c r="DX28" s="153"/>
      <c r="DY28" s="153"/>
      <c r="DZ28" s="153"/>
      <c r="EA28" s="153"/>
      <c r="EB28" s="153"/>
      <c r="EC28" s="153"/>
      <c r="ED28" s="153"/>
      <c r="EE28" s="153"/>
      <c r="EF28" s="153"/>
      <c r="EG28" s="153"/>
      <c r="EH28" s="153"/>
      <c r="EI28" s="153"/>
      <c r="EJ28" s="153"/>
      <c r="EK28" s="153"/>
      <c r="EL28" s="153"/>
      <c r="EM28" s="153"/>
      <c r="EN28" s="153"/>
      <c r="EO28" s="153"/>
      <c r="EP28" s="153"/>
      <c r="EQ28" s="153"/>
      <c r="ER28" s="153"/>
      <c r="ES28" s="153"/>
      <c r="ET28" s="153"/>
      <c r="EU28" s="153"/>
      <c r="EV28" s="153"/>
      <c r="EW28" s="153"/>
      <c r="EX28" s="154"/>
      <c r="EY28" s="154"/>
      <c r="EZ28" s="154"/>
      <c r="FA28" s="154"/>
      <c r="FB28" s="154"/>
      <c r="FC28" s="154"/>
      <c r="FD28" s="154"/>
      <c r="FE28" s="154"/>
      <c r="FF28" s="154"/>
      <c r="FG28" s="154"/>
      <c r="FH28" s="153"/>
      <c r="FI28" s="153"/>
      <c r="FJ28" s="153"/>
      <c r="FK28" s="156"/>
      <c r="FL28" s="153"/>
      <c r="FM28" s="153"/>
      <c r="FN28" s="153"/>
      <c r="FO28" s="153"/>
      <c r="FP28" s="153"/>
      <c r="FQ28" s="153"/>
      <c r="FR28" s="153"/>
      <c r="FS28" s="153"/>
      <c r="FT28" s="153"/>
      <c r="FU28" s="153"/>
      <c r="FV28" s="153"/>
      <c r="FW28" s="153"/>
      <c r="FX28" s="153"/>
      <c r="FY28" s="153"/>
      <c r="FZ28" s="153"/>
      <c r="GA28" s="153"/>
      <c r="GB28" s="153"/>
      <c r="GC28" s="156"/>
      <c r="GD28" s="153"/>
      <c r="GE28" s="153"/>
      <c r="GF28" s="153"/>
      <c r="GG28" s="156"/>
      <c r="GH28" s="153"/>
      <c r="GI28" s="153"/>
      <c r="GJ28" s="153"/>
      <c r="GK28" s="156"/>
      <c r="GL28" s="153"/>
      <c r="GM28" s="153"/>
      <c r="GN28" s="153"/>
      <c r="GO28" s="153"/>
      <c r="GP28" s="153"/>
      <c r="GQ28" s="156"/>
      <c r="GR28" s="153"/>
      <c r="GS28" s="153"/>
      <c r="GT28" s="153"/>
      <c r="GU28" s="153"/>
      <c r="GV28" s="153"/>
      <c r="GW28" s="153"/>
      <c r="GX28" s="154"/>
      <c r="GY28" s="153"/>
      <c r="GZ28" s="153"/>
      <c r="HA28" s="156"/>
    </row>
    <row r="29" spans="1:209" s="58" customFormat="1" ht="18" customHeight="1">
      <c r="A29" s="153">
        <v>16057</v>
      </c>
      <c r="B29" s="153" t="s">
        <v>3114</v>
      </c>
      <c r="C29" s="176" t="s">
        <v>3136</v>
      </c>
      <c r="D29" s="176" t="s">
        <v>84</v>
      </c>
      <c r="E29" s="153" t="s">
        <v>84</v>
      </c>
      <c r="F29" s="58" t="s">
        <v>3137</v>
      </c>
      <c r="G29" s="153"/>
      <c r="H29" s="153" t="s">
        <v>716</v>
      </c>
      <c r="I29" s="153" t="s">
        <v>3163</v>
      </c>
      <c r="J29" s="153"/>
      <c r="K29" s="153"/>
      <c r="L29" s="153"/>
      <c r="M29" s="153" t="s">
        <v>554</v>
      </c>
      <c r="N29" s="153" t="s">
        <v>625</v>
      </c>
      <c r="O29" s="153" t="s">
        <v>196</v>
      </c>
      <c r="P29" s="153"/>
      <c r="Q29" s="153"/>
      <c r="R29" s="153"/>
      <c r="S29" s="153"/>
      <c r="T29" s="153"/>
      <c r="U29" s="153" t="s">
        <v>554</v>
      </c>
      <c r="V29" s="153"/>
      <c r="W29" s="153"/>
      <c r="X29" s="153"/>
      <c r="Y29" s="153"/>
      <c r="Z29" s="153"/>
      <c r="AA29" s="153"/>
      <c r="AB29" s="153"/>
      <c r="AC29" s="153"/>
      <c r="AD29" s="153"/>
      <c r="AE29" s="153"/>
      <c r="AF29" s="153"/>
      <c r="AG29" s="153"/>
      <c r="AH29" s="153"/>
      <c r="AI29" s="153"/>
      <c r="AJ29" s="153"/>
      <c r="AK29" s="153"/>
      <c r="AL29" s="153"/>
      <c r="AM29" s="153"/>
      <c r="AN29" s="153"/>
      <c r="AO29" s="153"/>
      <c r="AP29" s="153"/>
      <c r="AQ29" s="153"/>
      <c r="AR29" s="153"/>
      <c r="AS29" s="153"/>
      <c r="AT29" s="154"/>
      <c r="AU29" s="154"/>
      <c r="AV29" s="154"/>
      <c r="AW29" s="153"/>
      <c r="AX29" s="153"/>
      <c r="AY29" s="153"/>
      <c r="AZ29" s="153"/>
      <c r="BA29" s="153"/>
      <c r="BB29" s="153"/>
      <c r="BC29" s="153"/>
      <c r="BD29" s="153"/>
      <c r="BE29" s="153"/>
      <c r="BF29" s="153"/>
      <c r="BG29" s="153"/>
      <c r="BH29" s="155"/>
      <c r="BI29" s="153"/>
      <c r="BJ29" s="155"/>
      <c r="BK29" s="153"/>
      <c r="BL29" s="155"/>
      <c r="BM29" s="153"/>
      <c r="BN29" s="153"/>
      <c r="BO29" s="153"/>
      <c r="BP29" s="153"/>
      <c r="BQ29" s="153"/>
      <c r="BR29" s="153"/>
      <c r="BS29" s="153"/>
      <c r="BT29" s="153"/>
      <c r="BU29" s="153"/>
      <c r="BV29" s="153"/>
      <c r="BW29" s="153"/>
      <c r="BX29" s="153"/>
      <c r="BY29" s="153"/>
      <c r="BZ29" s="153"/>
      <c r="CA29" s="153"/>
      <c r="CB29" s="153"/>
      <c r="CC29" s="153"/>
      <c r="CD29" s="153"/>
      <c r="CE29" s="153"/>
      <c r="CF29" s="153"/>
      <c r="CG29" s="153"/>
      <c r="CH29" s="153"/>
      <c r="CI29" s="153"/>
      <c r="CJ29" s="153"/>
      <c r="CK29" s="153"/>
      <c r="CL29" s="156"/>
      <c r="CM29" s="153"/>
      <c r="CN29" s="154"/>
      <c r="CO29" s="153"/>
      <c r="CP29" s="153"/>
      <c r="CQ29" s="153"/>
      <c r="CR29" s="153"/>
      <c r="CS29" s="153"/>
      <c r="CT29" s="153"/>
      <c r="CU29" s="153"/>
      <c r="CV29" s="153"/>
      <c r="CW29" s="153"/>
      <c r="CX29" s="153"/>
      <c r="CY29" s="153"/>
      <c r="CZ29" s="153"/>
      <c r="DA29" s="154"/>
      <c r="DB29" s="156"/>
      <c r="DC29" s="153"/>
      <c r="DD29" s="153"/>
      <c r="DE29" s="153"/>
      <c r="DF29" s="153"/>
      <c r="DG29" s="153"/>
      <c r="DH29" s="153"/>
      <c r="DI29" s="153"/>
      <c r="DJ29" s="153"/>
      <c r="DK29" s="153"/>
      <c r="DL29" s="153"/>
      <c r="DM29" s="153"/>
      <c r="DN29" s="153"/>
      <c r="DO29" s="153"/>
      <c r="DP29" s="153"/>
      <c r="DQ29" s="154"/>
      <c r="DR29" s="153"/>
      <c r="DS29" s="153"/>
      <c r="DT29" s="153"/>
      <c r="DU29" s="153"/>
      <c r="DV29" s="153"/>
      <c r="DW29" s="153"/>
      <c r="DX29" s="153"/>
      <c r="DY29" s="153"/>
      <c r="DZ29" s="153"/>
      <c r="EA29" s="153"/>
      <c r="EB29" s="153"/>
      <c r="EC29" s="153"/>
      <c r="ED29" s="153"/>
      <c r="EE29" s="153"/>
      <c r="EF29" s="153"/>
      <c r="EG29" s="153"/>
      <c r="EH29" s="153"/>
      <c r="EI29" s="153"/>
      <c r="EJ29" s="153"/>
      <c r="EK29" s="153"/>
      <c r="EL29" s="153"/>
      <c r="EM29" s="153"/>
      <c r="EN29" s="153"/>
      <c r="EO29" s="153"/>
      <c r="EP29" s="153"/>
      <c r="EQ29" s="153"/>
      <c r="ER29" s="153"/>
      <c r="ES29" s="153"/>
      <c r="ET29" s="153"/>
      <c r="EU29" s="153"/>
      <c r="EV29" s="153"/>
      <c r="EW29" s="153"/>
      <c r="EX29" s="154"/>
      <c r="EY29" s="154"/>
      <c r="EZ29" s="154"/>
      <c r="FA29" s="154"/>
      <c r="FB29" s="154"/>
      <c r="FC29" s="154"/>
      <c r="FD29" s="154"/>
      <c r="FE29" s="154"/>
      <c r="FF29" s="154"/>
      <c r="FG29" s="154"/>
      <c r="FH29" s="153"/>
      <c r="FI29" s="153"/>
      <c r="FJ29" s="153"/>
      <c r="FK29" s="156"/>
      <c r="FL29" s="153"/>
      <c r="FM29" s="153"/>
      <c r="FN29" s="153"/>
      <c r="FO29" s="153"/>
      <c r="FP29" s="153"/>
      <c r="FQ29" s="153"/>
      <c r="FR29" s="153"/>
      <c r="FS29" s="153"/>
      <c r="FT29" s="153"/>
      <c r="FU29" s="153"/>
      <c r="FV29" s="153"/>
      <c r="FW29" s="153"/>
      <c r="FX29" s="153"/>
      <c r="FY29" s="153"/>
      <c r="FZ29" s="153"/>
      <c r="GA29" s="153"/>
      <c r="GB29" s="153"/>
      <c r="GC29" s="156"/>
      <c r="GD29" s="153"/>
      <c r="GE29" s="153"/>
      <c r="GF29" s="153"/>
      <c r="GG29" s="156"/>
      <c r="GH29" s="153"/>
      <c r="GI29" s="153"/>
      <c r="GJ29" s="153"/>
      <c r="GK29" s="156"/>
      <c r="GL29" s="153"/>
      <c r="GM29" s="153"/>
      <c r="GN29" s="153"/>
      <c r="GO29" s="153"/>
      <c r="GP29" s="153"/>
      <c r="GQ29" s="156"/>
      <c r="GR29" s="153"/>
      <c r="GS29" s="153"/>
      <c r="GT29" s="153"/>
      <c r="GU29" s="153"/>
      <c r="GV29" s="153"/>
      <c r="GW29" s="153"/>
      <c r="GX29" s="154"/>
      <c r="GY29" s="153"/>
      <c r="GZ29" s="153"/>
      <c r="HA29" s="156"/>
    </row>
    <row r="30" spans="1:209" s="58" customFormat="1" ht="18" customHeight="1">
      <c r="A30" s="153">
        <v>27500</v>
      </c>
      <c r="B30" s="153" t="s">
        <v>3094</v>
      </c>
      <c r="C30" s="176" t="s">
        <v>3138</v>
      </c>
      <c r="D30" s="176" t="s">
        <v>84</v>
      </c>
      <c r="E30" s="153" t="s">
        <v>485</v>
      </c>
      <c r="F30" s="58" t="s">
        <v>3139</v>
      </c>
      <c r="G30" s="153"/>
      <c r="H30" s="153" t="s">
        <v>716</v>
      </c>
      <c r="I30" s="153" t="s">
        <v>744</v>
      </c>
      <c r="J30" s="153"/>
      <c r="K30" s="153"/>
      <c r="L30" s="153"/>
      <c r="M30" s="153" t="s">
        <v>554</v>
      </c>
      <c r="N30" s="153" t="s">
        <v>625</v>
      </c>
      <c r="O30" s="153" t="s">
        <v>196</v>
      </c>
      <c r="P30" s="153"/>
      <c r="Q30" s="153"/>
      <c r="R30" s="153"/>
      <c r="S30" s="153"/>
      <c r="T30" s="153"/>
      <c r="U30" s="153" t="s">
        <v>554</v>
      </c>
      <c r="V30" s="153"/>
      <c r="W30" s="153"/>
      <c r="X30" s="153"/>
      <c r="Y30" s="153"/>
      <c r="Z30" s="153"/>
      <c r="AA30" s="153"/>
      <c r="AB30" s="153"/>
      <c r="AC30" s="153"/>
      <c r="AD30" s="153"/>
      <c r="AE30" s="153"/>
      <c r="AF30" s="153"/>
      <c r="AG30" s="153"/>
      <c r="AH30" s="153"/>
      <c r="AI30" s="153"/>
      <c r="AJ30" s="153"/>
      <c r="AK30" s="153"/>
      <c r="AL30" s="153"/>
      <c r="AM30" s="153"/>
      <c r="AN30" s="153"/>
      <c r="AO30" s="153"/>
      <c r="AP30" s="153"/>
      <c r="AQ30" s="153"/>
      <c r="AR30" s="153"/>
      <c r="AS30" s="153"/>
      <c r="AT30" s="154"/>
      <c r="AU30" s="154"/>
      <c r="AV30" s="154"/>
      <c r="AW30" s="153"/>
      <c r="AX30" s="153"/>
      <c r="AY30" s="153"/>
      <c r="AZ30" s="153"/>
      <c r="BA30" s="153"/>
      <c r="BB30" s="153"/>
      <c r="BC30" s="153"/>
      <c r="BD30" s="153"/>
      <c r="BE30" s="153"/>
      <c r="BF30" s="153"/>
      <c r="BG30" s="153"/>
      <c r="BH30" s="155"/>
      <c r="BI30" s="153"/>
      <c r="BJ30" s="155"/>
      <c r="BK30" s="153"/>
      <c r="BL30" s="155"/>
      <c r="BM30" s="153"/>
      <c r="BN30" s="153"/>
      <c r="BO30" s="153"/>
      <c r="BP30" s="153"/>
      <c r="BQ30" s="153"/>
      <c r="BR30" s="153"/>
      <c r="BS30" s="153"/>
      <c r="BT30" s="153"/>
      <c r="BU30" s="153"/>
      <c r="BV30" s="153"/>
      <c r="BW30" s="153"/>
      <c r="BX30" s="153"/>
      <c r="BY30" s="153"/>
      <c r="BZ30" s="153"/>
      <c r="CA30" s="153"/>
      <c r="CB30" s="153"/>
      <c r="CC30" s="153"/>
      <c r="CD30" s="153"/>
      <c r="CE30" s="153"/>
      <c r="CF30" s="153"/>
      <c r="CG30" s="153"/>
      <c r="CH30" s="153"/>
      <c r="CI30" s="153"/>
      <c r="CJ30" s="153"/>
      <c r="CK30" s="153"/>
      <c r="CL30" s="156"/>
      <c r="CM30" s="153"/>
      <c r="CN30" s="154"/>
      <c r="CO30" s="153"/>
      <c r="CP30" s="153"/>
      <c r="CQ30" s="153"/>
      <c r="CR30" s="153"/>
      <c r="CS30" s="153"/>
      <c r="CT30" s="153"/>
      <c r="CU30" s="153"/>
      <c r="CV30" s="153"/>
      <c r="CW30" s="153"/>
      <c r="CX30" s="153"/>
      <c r="CY30" s="153"/>
      <c r="CZ30" s="153"/>
      <c r="DA30" s="154"/>
      <c r="DB30" s="156"/>
      <c r="DC30" s="153"/>
      <c r="DD30" s="153"/>
      <c r="DE30" s="153"/>
      <c r="DF30" s="153"/>
      <c r="DG30" s="153"/>
      <c r="DH30" s="153"/>
      <c r="DI30" s="153"/>
      <c r="DJ30" s="153"/>
      <c r="DK30" s="153"/>
      <c r="DL30" s="153"/>
      <c r="DM30" s="153"/>
      <c r="DN30" s="153"/>
      <c r="DO30" s="153"/>
      <c r="DP30" s="153"/>
      <c r="DQ30" s="154"/>
      <c r="DR30" s="153"/>
      <c r="DS30" s="153"/>
      <c r="DT30" s="153"/>
      <c r="DU30" s="153"/>
      <c r="DV30" s="153"/>
      <c r="DW30" s="153"/>
      <c r="DX30" s="153"/>
      <c r="DY30" s="153"/>
      <c r="DZ30" s="153"/>
      <c r="EA30" s="153"/>
      <c r="EB30" s="153"/>
      <c r="EC30" s="153"/>
      <c r="ED30" s="153"/>
      <c r="EE30" s="153"/>
      <c r="EF30" s="153"/>
      <c r="EG30" s="153"/>
      <c r="EH30" s="153"/>
      <c r="EI30" s="153"/>
      <c r="EJ30" s="153"/>
      <c r="EK30" s="153"/>
      <c r="EL30" s="153"/>
      <c r="EM30" s="153"/>
      <c r="EN30" s="153"/>
      <c r="EO30" s="153"/>
      <c r="EP30" s="153"/>
      <c r="EQ30" s="153"/>
      <c r="ER30" s="153"/>
      <c r="ES30" s="153"/>
      <c r="ET30" s="153"/>
      <c r="EU30" s="153"/>
      <c r="EV30" s="153"/>
      <c r="EW30" s="153"/>
      <c r="EX30" s="154"/>
      <c r="EY30" s="154"/>
      <c r="EZ30" s="154"/>
      <c r="FA30" s="154"/>
      <c r="FB30" s="154"/>
      <c r="FC30" s="154"/>
      <c r="FD30" s="154"/>
      <c r="FE30" s="154"/>
      <c r="FF30" s="154"/>
      <c r="FG30" s="154"/>
      <c r="FH30" s="153"/>
      <c r="FI30" s="153"/>
      <c r="FJ30" s="153"/>
      <c r="FK30" s="156"/>
      <c r="FL30" s="153"/>
      <c r="FM30" s="153"/>
      <c r="FN30" s="153"/>
      <c r="FO30" s="153"/>
      <c r="FP30" s="153"/>
      <c r="FQ30" s="153"/>
      <c r="FR30" s="153"/>
      <c r="FS30" s="153"/>
      <c r="FT30" s="153"/>
      <c r="FU30" s="153"/>
      <c r="FV30" s="153"/>
      <c r="FW30" s="153"/>
      <c r="FX30" s="153"/>
      <c r="FY30" s="153"/>
      <c r="FZ30" s="153"/>
      <c r="GA30" s="153"/>
      <c r="GB30" s="153"/>
      <c r="GC30" s="156"/>
      <c r="GD30" s="153"/>
      <c r="GE30" s="153"/>
      <c r="GF30" s="153"/>
      <c r="GG30" s="156"/>
      <c r="GH30" s="153"/>
      <c r="GI30" s="153"/>
      <c r="GJ30" s="153"/>
      <c r="GK30" s="156"/>
      <c r="GL30" s="153"/>
      <c r="GM30" s="153"/>
      <c r="GN30" s="153"/>
      <c r="GO30" s="153"/>
      <c r="GP30" s="153"/>
      <c r="GQ30" s="156"/>
      <c r="GR30" s="153"/>
      <c r="GS30" s="153"/>
      <c r="GT30" s="153"/>
      <c r="GU30" s="153"/>
      <c r="GV30" s="153"/>
      <c r="GW30" s="153"/>
      <c r="GX30" s="154"/>
      <c r="GY30" s="153"/>
      <c r="GZ30" s="153"/>
      <c r="HA30" s="156"/>
    </row>
    <row r="31" spans="1:209" s="58" customFormat="1" ht="18" customHeight="1">
      <c r="A31" s="153">
        <v>2752066</v>
      </c>
      <c r="B31" s="153" t="s">
        <v>3093</v>
      </c>
      <c r="C31" s="176" t="s">
        <v>3140</v>
      </c>
      <c r="D31" s="176" t="s">
        <v>84</v>
      </c>
      <c r="E31" s="153" t="s">
        <v>1206</v>
      </c>
      <c r="F31" s="58" t="s">
        <v>1060</v>
      </c>
      <c r="G31" s="153"/>
      <c r="H31" s="153" t="s">
        <v>716</v>
      </c>
      <c r="I31" s="153" t="s">
        <v>2409</v>
      </c>
      <c r="J31" s="153"/>
      <c r="K31" s="153"/>
      <c r="L31" s="153"/>
      <c r="M31" s="153" t="s">
        <v>554</v>
      </c>
      <c r="N31" s="153" t="s">
        <v>625</v>
      </c>
      <c r="O31" s="153" t="s">
        <v>196</v>
      </c>
      <c r="P31" s="153"/>
      <c r="Q31" s="153"/>
      <c r="R31" s="153"/>
      <c r="S31" s="153"/>
      <c r="T31" s="153"/>
      <c r="U31" s="153" t="s">
        <v>554</v>
      </c>
      <c r="V31" s="153"/>
      <c r="W31" s="153"/>
      <c r="X31" s="153"/>
      <c r="Y31" s="153"/>
      <c r="Z31" s="153"/>
      <c r="AA31" s="153"/>
      <c r="AB31" s="153"/>
      <c r="AC31" s="153"/>
      <c r="AD31" s="153"/>
      <c r="AE31" s="153"/>
      <c r="AF31" s="153"/>
      <c r="AG31" s="153"/>
      <c r="AH31" s="153"/>
      <c r="AI31" s="153"/>
      <c r="AJ31" s="153"/>
      <c r="AK31" s="153"/>
      <c r="AL31" s="153"/>
      <c r="AM31" s="153"/>
      <c r="AN31" s="153"/>
      <c r="AO31" s="153"/>
      <c r="AP31" s="153"/>
      <c r="AQ31" s="153"/>
      <c r="AR31" s="153"/>
      <c r="AS31" s="153"/>
      <c r="AT31" s="154"/>
      <c r="AU31" s="154"/>
      <c r="AV31" s="154"/>
      <c r="AW31" s="153"/>
      <c r="AX31" s="153"/>
      <c r="AY31" s="153"/>
      <c r="AZ31" s="153"/>
      <c r="BA31" s="153"/>
      <c r="BB31" s="153"/>
      <c r="BC31" s="153"/>
      <c r="BD31" s="153"/>
      <c r="BE31" s="153"/>
      <c r="BF31" s="153"/>
      <c r="BG31" s="153"/>
      <c r="BH31" s="155"/>
      <c r="BI31" s="153"/>
      <c r="BJ31" s="155"/>
      <c r="BK31" s="153"/>
      <c r="BL31" s="155"/>
      <c r="BM31" s="153"/>
      <c r="BN31" s="153"/>
      <c r="BO31" s="153"/>
      <c r="BP31" s="153"/>
      <c r="BQ31" s="153"/>
      <c r="BR31" s="153"/>
      <c r="BS31" s="153"/>
      <c r="BT31" s="153"/>
      <c r="BU31" s="153"/>
      <c r="BV31" s="153"/>
      <c r="BW31" s="153"/>
      <c r="BX31" s="153"/>
      <c r="BY31" s="153"/>
      <c r="BZ31" s="153"/>
      <c r="CA31" s="153"/>
      <c r="CB31" s="153"/>
      <c r="CC31" s="153"/>
      <c r="CD31" s="153"/>
      <c r="CE31" s="153"/>
      <c r="CF31" s="153"/>
      <c r="CG31" s="153"/>
      <c r="CH31" s="153"/>
      <c r="CI31" s="153"/>
      <c r="CJ31" s="153"/>
      <c r="CK31" s="153"/>
      <c r="CL31" s="156"/>
      <c r="CM31" s="153"/>
      <c r="CN31" s="154"/>
      <c r="CO31" s="153"/>
      <c r="CP31" s="153"/>
      <c r="CQ31" s="153"/>
      <c r="CR31" s="153"/>
      <c r="CS31" s="153"/>
      <c r="CT31" s="153"/>
      <c r="CU31" s="153"/>
      <c r="CV31" s="153"/>
      <c r="CW31" s="153"/>
      <c r="CX31" s="153"/>
      <c r="CY31" s="153"/>
      <c r="CZ31" s="153"/>
      <c r="DA31" s="154"/>
      <c r="DB31" s="156"/>
      <c r="DC31" s="153"/>
      <c r="DD31" s="153"/>
      <c r="DE31" s="153"/>
      <c r="DF31" s="153"/>
      <c r="DG31" s="153"/>
      <c r="DH31" s="153"/>
      <c r="DI31" s="153"/>
      <c r="DJ31" s="153"/>
      <c r="DK31" s="153"/>
      <c r="DL31" s="153"/>
      <c r="DM31" s="153"/>
      <c r="DN31" s="153"/>
      <c r="DO31" s="153"/>
      <c r="DP31" s="153"/>
      <c r="DQ31" s="154"/>
      <c r="DR31" s="153"/>
      <c r="DS31" s="153"/>
      <c r="DT31" s="153"/>
      <c r="DU31" s="153"/>
      <c r="DV31" s="153"/>
      <c r="DW31" s="153"/>
      <c r="DX31" s="153"/>
      <c r="DY31" s="153"/>
      <c r="DZ31" s="153"/>
      <c r="EA31" s="153"/>
      <c r="EB31" s="153"/>
      <c r="EC31" s="153"/>
      <c r="ED31" s="153"/>
      <c r="EE31" s="153"/>
      <c r="EF31" s="153"/>
      <c r="EG31" s="153"/>
      <c r="EH31" s="153"/>
      <c r="EI31" s="153"/>
      <c r="EJ31" s="153"/>
      <c r="EK31" s="153"/>
      <c r="EL31" s="153"/>
      <c r="EM31" s="153"/>
      <c r="EN31" s="153"/>
      <c r="EO31" s="153"/>
      <c r="EP31" s="153"/>
      <c r="EQ31" s="153"/>
      <c r="ER31" s="153"/>
      <c r="ES31" s="153"/>
      <c r="ET31" s="153"/>
      <c r="EU31" s="153"/>
      <c r="EV31" s="153"/>
      <c r="EW31" s="153"/>
      <c r="EX31" s="154"/>
      <c r="EY31" s="154"/>
      <c r="EZ31" s="154"/>
      <c r="FA31" s="154"/>
      <c r="FB31" s="154"/>
      <c r="FC31" s="154"/>
      <c r="FD31" s="154"/>
      <c r="FE31" s="154"/>
      <c r="FF31" s="154"/>
      <c r="FG31" s="154"/>
      <c r="FH31" s="153"/>
      <c r="FI31" s="153"/>
      <c r="FJ31" s="153"/>
      <c r="FK31" s="156"/>
      <c r="FL31" s="153"/>
      <c r="FM31" s="153"/>
      <c r="FN31" s="153"/>
      <c r="FO31" s="153"/>
      <c r="FP31" s="153"/>
      <c r="FQ31" s="153"/>
      <c r="FR31" s="153"/>
      <c r="FS31" s="153"/>
      <c r="FT31" s="153"/>
      <c r="FU31" s="153"/>
      <c r="FV31" s="153"/>
      <c r="FW31" s="153"/>
      <c r="FX31" s="153"/>
      <c r="FY31" s="153"/>
      <c r="FZ31" s="153"/>
      <c r="GA31" s="153"/>
      <c r="GB31" s="153"/>
      <c r="GC31" s="156"/>
      <c r="GD31" s="153"/>
      <c r="GE31" s="153"/>
      <c r="GF31" s="153"/>
      <c r="GG31" s="156"/>
      <c r="GH31" s="153"/>
      <c r="GI31" s="153"/>
      <c r="GJ31" s="153"/>
      <c r="GK31" s="156"/>
      <c r="GL31" s="153"/>
      <c r="GM31" s="153"/>
      <c r="GN31" s="153"/>
      <c r="GO31" s="153"/>
      <c r="GP31" s="153"/>
      <c r="GQ31" s="156"/>
      <c r="GR31" s="153"/>
      <c r="GS31" s="153"/>
      <c r="GT31" s="153"/>
      <c r="GU31" s="153"/>
      <c r="GV31" s="153"/>
      <c r="GW31" s="153"/>
      <c r="GX31" s="154"/>
      <c r="GY31" s="153"/>
      <c r="GZ31" s="153"/>
      <c r="HA31" s="156"/>
    </row>
    <row r="32" spans="1:209" s="58" customFormat="1" ht="18" customHeight="1">
      <c r="A32" s="153">
        <v>91</v>
      </c>
      <c r="B32" s="153">
        <v>3773</v>
      </c>
      <c r="C32" s="176" t="s">
        <v>2440</v>
      </c>
      <c r="D32" s="176" t="s">
        <v>85</v>
      </c>
      <c r="E32" s="153"/>
      <c r="F32" s="58" t="s">
        <v>1131</v>
      </c>
      <c r="G32" s="153"/>
      <c r="H32" s="153"/>
      <c r="I32" s="153" t="s">
        <v>745</v>
      </c>
      <c r="J32" s="153"/>
      <c r="K32" s="153">
        <v>0</v>
      </c>
      <c r="L32" s="153">
        <v>0</v>
      </c>
      <c r="M32" s="153"/>
      <c r="N32" s="153"/>
      <c r="O32" s="153"/>
      <c r="P32" s="153"/>
      <c r="Q32" s="153"/>
      <c r="R32" s="153"/>
      <c r="S32" s="153"/>
      <c r="T32" s="153"/>
      <c r="U32" s="153"/>
      <c r="V32" s="153"/>
      <c r="W32" s="153"/>
      <c r="X32" s="153"/>
      <c r="Y32" s="153"/>
      <c r="Z32" s="153"/>
      <c r="AA32" s="153" t="s">
        <v>358</v>
      </c>
      <c r="AB32" s="153"/>
      <c r="AC32" s="153"/>
      <c r="AD32" s="153"/>
      <c r="AE32" s="153"/>
      <c r="AF32" s="153"/>
      <c r="AG32" s="153"/>
      <c r="AH32" s="153"/>
      <c r="AI32" s="153"/>
      <c r="AJ32" s="153"/>
      <c r="AK32" s="153"/>
      <c r="AL32" s="153"/>
      <c r="AM32" s="153"/>
      <c r="AN32" s="153"/>
      <c r="AO32" s="153"/>
      <c r="AP32" s="153"/>
      <c r="AQ32" s="153"/>
      <c r="AR32" s="153"/>
      <c r="AS32" s="153"/>
      <c r="AT32" s="154"/>
      <c r="AU32" s="154">
        <v>0</v>
      </c>
      <c r="AV32" s="154"/>
      <c r="AW32" s="153"/>
      <c r="AX32" s="153"/>
      <c r="AY32" s="153"/>
      <c r="AZ32" s="153"/>
      <c r="BA32" s="153" t="s">
        <v>2236</v>
      </c>
      <c r="BB32" s="153"/>
      <c r="BC32" s="153"/>
      <c r="BD32" s="153"/>
      <c r="BE32" s="153" t="s">
        <v>2236</v>
      </c>
      <c r="BF32" s="153"/>
      <c r="BG32" s="153"/>
      <c r="BH32" s="155"/>
      <c r="BI32" s="153"/>
      <c r="BJ32" s="155"/>
      <c r="BK32" s="153"/>
      <c r="BL32" s="155"/>
      <c r="BM32" s="153"/>
      <c r="BN32" s="153"/>
      <c r="BO32" s="153"/>
      <c r="BP32" s="153"/>
      <c r="BQ32" s="153"/>
      <c r="BR32" s="153"/>
      <c r="BS32" s="153"/>
      <c r="BT32" s="153"/>
      <c r="BU32" s="153"/>
      <c r="BV32" s="153"/>
      <c r="BW32" s="153"/>
      <c r="BX32" s="153"/>
      <c r="BY32" s="153"/>
      <c r="BZ32" s="153"/>
      <c r="CA32" s="153"/>
      <c r="CB32" s="153"/>
      <c r="CC32" s="153"/>
      <c r="CD32" s="153"/>
      <c r="CE32" s="153"/>
      <c r="CF32" s="153"/>
      <c r="CG32" s="153"/>
      <c r="CH32" s="153"/>
      <c r="CI32" s="153"/>
      <c r="CJ32" s="153"/>
      <c r="CK32" s="153"/>
      <c r="CL32" s="156"/>
      <c r="CM32" s="153"/>
      <c r="CN32" s="154"/>
      <c r="CO32" s="153" t="s">
        <v>587</v>
      </c>
      <c r="CP32" s="153"/>
      <c r="CQ32" s="153" t="s">
        <v>2198</v>
      </c>
      <c r="CR32" s="153" t="s">
        <v>2170</v>
      </c>
      <c r="CS32" s="153"/>
      <c r="CT32" s="153"/>
      <c r="CU32" s="153"/>
      <c r="CV32" s="153"/>
      <c r="CW32" s="153"/>
      <c r="CX32" s="153"/>
      <c r="CY32" s="153"/>
      <c r="CZ32" s="153"/>
      <c r="DA32" s="154"/>
      <c r="DB32" s="156"/>
      <c r="DC32" s="153">
        <v>44</v>
      </c>
      <c r="DD32" s="153"/>
      <c r="DE32" s="153" t="s">
        <v>2440</v>
      </c>
      <c r="DF32" s="153"/>
      <c r="DG32" s="153"/>
      <c r="DH32" s="153"/>
      <c r="DI32" s="153"/>
      <c r="DJ32" s="153"/>
      <c r="DK32" s="153"/>
      <c r="DL32" s="153"/>
      <c r="DM32" s="153"/>
      <c r="DN32" s="153"/>
      <c r="DO32" s="153"/>
      <c r="DP32" s="153"/>
      <c r="DQ32" s="154"/>
      <c r="DR32" s="153"/>
      <c r="DS32" s="153"/>
      <c r="DT32" s="153"/>
      <c r="DU32" s="153"/>
      <c r="DV32" s="153"/>
      <c r="DW32" s="153"/>
      <c r="DX32" s="153"/>
      <c r="DY32" s="153"/>
      <c r="DZ32" s="153"/>
      <c r="EA32" s="153"/>
      <c r="EB32" s="153"/>
      <c r="EC32" s="153"/>
      <c r="ED32" s="153"/>
      <c r="EE32" s="153"/>
      <c r="EF32" s="153"/>
      <c r="EG32" s="153"/>
      <c r="EH32" s="153"/>
      <c r="EI32" s="153"/>
      <c r="EJ32" s="153"/>
      <c r="EK32" s="153"/>
      <c r="EL32" s="153"/>
      <c r="EM32" s="153"/>
      <c r="EN32" s="153"/>
      <c r="EO32" s="153"/>
      <c r="EP32" s="153"/>
      <c r="EQ32" s="153"/>
      <c r="ER32" s="153"/>
      <c r="ES32" s="153"/>
      <c r="ET32" s="153"/>
      <c r="EU32" s="153"/>
      <c r="EV32" s="153"/>
      <c r="EW32" s="153"/>
      <c r="EX32" s="154"/>
      <c r="EY32" s="154"/>
      <c r="EZ32" s="154"/>
      <c r="FA32" s="154"/>
      <c r="FB32" s="154"/>
      <c r="FC32" s="154"/>
      <c r="FD32" s="154"/>
      <c r="FE32" s="154"/>
      <c r="FF32" s="154"/>
      <c r="FG32" s="154"/>
      <c r="FH32" s="153"/>
      <c r="FI32" s="153"/>
      <c r="FJ32" s="153"/>
      <c r="FK32" s="156"/>
      <c r="FL32" s="153"/>
      <c r="FM32" s="153"/>
      <c r="FN32" s="153"/>
      <c r="FO32" s="153"/>
      <c r="FP32" s="153"/>
      <c r="FQ32" s="153"/>
      <c r="FR32" s="153"/>
      <c r="FS32" s="153"/>
      <c r="FT32" s="153"/>
      <c r="FU32" s="153"/>
      <c r="FV32" s="153"/>
      <c r="FW32" s="153"/>
      <c r="FX32" s="153"/>
      <c r="FY32" s="153"/>
      <c r="FZ32" s="153"/>
      <c r="GA32" s="153"/>
      <c r="GB32" s="153"/>
      <c r="GC32" s="156"/>
      <c r="GD32" s="153"/>
      <c r="GE32" s="153"/>
      <c r="GF32" s="153"/>
      <c r="GG32" s="156"/>
      <c r="GH32" s="153"/>
      <c r="GI32" s="153"/>
      <c r="GJ32" s="153"/>
      <c r="GK32" s="156"/>
      <c r="GL32" s="153"/>
      <c r="GM32" s="153"/>
      <c r="GN32" s="153"/>
      <c r="GO32" s="153"/>
      <c r="GP32" s="153"/>
      <c r="GQ32" s="156"/>
      <c r="GR32" s="153"/>
      <c r="GS32" s="153"/>
      <c r="GT32" s="153"/>
      <c r="GU32" s="153"/>
      <c r="GV32" s="153"/>
      <c r="GW32" s="153"/>
      <c r="GX32" s="154"/>
      <c r="GY32" s="153"/>
      <c r="GZ32" s="153"/>
      <c r="HA32" s="156"/>
    </row>
    <row r="33" spans="1:209" s="58" customFormat="1" ht="18" customHeight="1">
      <c r="A33" s="153">
        <v>92</v>
      </c>
      <c r="B33" s="153">
        <v>16054</v>
      </c>
      <c r="C33" s="176" t="s">
        <v>2444</v>
      </c>
      <c r="D33" s="176" t="s">
        <v>85</v>
      </c>
      <c r="E33" s="153"/>
      <c r="F33" s="58" t="s">
        <v>1126</v>
      </c>
      <c r="G33" s="153"/>
      <c r="H33" s="153"/>
      <c r="I33" s="153" t="s">
        <v>1128</v>
      </c>
      <c r="J33" s="153"/>
      <c r="K33" s="153">
        <v>0</v>
      </c>
      <c r="L33" s="153">
        <v>0</v>
      </c>
      <c r="M33" s="153"/>
      <c r="N33" s="153"/>
      <c r="O33" s="153"/>
      <c r="P33" s="153"/>
      <c r="Q33" s="153"/>
      <c r="R33" s="153"/>
      <c r="S33" s="153"/>
      <c r="T33" s="153"/>
      <c r="U33" s="153"/>
      <c r="V33" s="153"/>
      <c r="W33" s="153"/>
      <c r="X33" s="153"/>
      <c r="Y33" s="153"/>
      <c r="Z33" s="153"/>
      <c r="AA33" s="153" t="s">
        <v>358</v>
      </c>
      <c r="AB33" s="153"/>
      <c r="AC33" s="153"/>
      <c r="AD33" s="153"/>
      <c r="AE33" s="153"/>
      <c r="AF33" s="153"/>
      <c r="AG33" s="153"/>
      <c r="AH33" s="153"/>
      <c r="AI33" s="153"/>
      <c r="AJ33" s="153"/>
      <c r="AK33" s="153"/>
      <c r="AL33" s="153"/>
      <c r="AM33" s="153"/>
      <c r="AN33" s="153"/>
      <c r="AO33" s="153"/>
      <c r="AP33" s="153"/>
      <c r="AQ33" s="153"/>
      <c r="AR33" s="153"/>
      <c r="AS33" s="153"/>
      <c r="AT33" s="154"/>
      <c r="AU33" s="154">
        <v>0</v>
      </c>
      <c r="AV33" s="154"/>
      <c r="AW33" s="153"/>
      <c r="AX33" s="153"/>
      <c r="AY33" s="153"/>
      <c r="AZ33" s="153"/>
      <c r="BA33" s="153" t="s">
        <v>2233</v>
      </c>
      <c r="BB33" s="153"/>
      <c r="BC33" s="153"/>
      <c r="BD33" s="153"/>
      <c r="BE33" s="153" t="s">
        <v>2233</v>
      </c>
      <c r="BF33" s="153"/>
      <c r="BG33" s="153"/>
      <c r="BH33" s="155"/>
      <c r="BI33" s="153"/>
      <c r="BJ33" s="155"/>
      <c r="BK33" s="153"/>
      <c r="BL33" s="155"/>
      <c r="BM33" s="153"/>
      <c r="BN33" s="153"/>
      <c r="BO33" s="153"/>
      <c r="BP33" s="153"/>
      <c r="BQ33" s="153"/>
      <c r="BR33" s="153"/>
      <c r="BS33" s="153"/>
      <c r="BT33" s="153"/>
      <c r="BU33" s="153"/>
      <c r="BV33" s="153"/>
      <c r="BW33" s="153"/>
      <c r="BX33" s="153"/>
      <c r="BY33" s="153"/>
      <c r="BZ33" s="153"/>
      <c r="CA33" s="153"/>
      <c r="CB33" s="153"/>
      <c r="CC33" s="153"/>
      <c r="CD33" s="153"/>
      <c r="CE33" s="153"/>
      <c r="CF33" s="153"/>
      <c r="CG33" s="153"/>
      <c r="CH33" s="153"/>
      <c r="CI33" s="153"/>
      <c r="CJ33" s="153"/>
      <c r="CK33" s="153"/>
      <c r="CL33" s="156"/>
      <c r="CM33" s="153"/>
      <c r="CN33" s="154"/>
      <c r="CO33" s="153" t="s">
        <v>586</v>
      </c>
      <c r="CP33" s="153"/>
      <c r="CQ33" s="153" t="s">
        <v>559</v>
      </c>
      <c r="CR33" s="153" t="s">
        <v>2171</v>
      </c>
      <c r="CS33" s="153"/>
      <c r="CT33" s="153"/>
      <c r="CU33" s="153"/>
      <c r="CV33" s="153"/>
      <c r="CW33" s="153"/>
      <c r="CX33" s="153"/>
      <c r="CY33" s="153"/>
      <c r="CZ33" s="153"/>
      <c r="DA33" s="154"/>
      <c r="DB33" s="156"/>
      <c r="DC33" s="153">
        <v>44</v>
      </c>
      <c r="DD33" s="153"/>
      <c r="DE33" s="153" t="s">
        <v>2444</v>
      </c>
      <c r="DF33" s="153"/>
      <c r="DG33" s="153"/>
      <c r="DH33" s="153"/>
      <c r="DI33" s="153"/>
      <c r="DJ33" s="153"/>
      <c r="DK33" s="153"/>
      <c r="DL33" s="153"/>
      <c r="DM33" s="153"/>
      <c r="DN33" s="153"/>
      <c r="DO33" s="153"/>
      <c r="DP33" s="153"/>
      <c r="DQ33" s="154"/>
      <c r="DR33" s="153"/>
      <c r="DS33" s="153"/>
      <c r="DT33" s="153"/>
      <c r="DU33" s="153"/>
      <c r="DV33" s="153"/>
      <c r="DW33" s="153"/>
      <c r="DX33" s="153"/>
      <c r="DY33" s="153"/>
      <c r="DZ33" s="153"/>
      <c r="EA33" s="153"/>
      <c r="EB33" s="153"/>
      <c r="EC33" s="153"/>
      <c r="ED33" s="153"/>
      <c r="EE33" s="153"/>
      <c r="EF33" s="153"/>
      <c r="EG33" s="153"/>
      <c r="EH33" s="153"/>
      <c r="EI33" s="153"/>
      <c r="EJ33" s="153"/>
      <c r="EK33" s="153"/>
      <c r="EL33" s="153"/>
      <c r="EM33" s="153"/>
      <c r="EN33" s="153"/>
      <c r="EO33" s="153"/>
      <c r="EP33" s="153"/>
      <c r="EQ33" s="153"/>
      <c r="ER33" s="153"/>
      <c r="ES33" s="153"/>
      <c r="ET33" s="153"/>
      <c r="EU33" s="153"/>
      <c r="EV33" s="153"/>
      <c r="EW33" s="153"/>
      <c r="EX33" s="154"/>
      <c r="EY33" s="154"/>
      <c r="EZ33" s="154"/>
      <c r="FA33" s="154"/>
      <c r="FB33" s="154"/>
      <c r="FC33" s="154"/>
      <c r="FD33" s="154"/>
      <c r="FE33" s="154"/>
      <c r="FF33" s="154"/>
      <c r="FG33" s="154"/>
      <c r="FH33" s="153"/>
      <c r="FI33" s="153"/>
      <c r="FJ33" s="153"/>
      <c r="FK33" s="156"/>
      <c r="FL33" s="153"/>
      <c r="FM33" s="153"/>
      <c r="FN33" s="153"/>
      <c r="FO33" s="153"/>
      <c r="FP33" s="153"/>
      <c r="FQ33" s="153"/>
      <c r="FR33" s="153"/>
      <c r="FS33" s="153"/>
      <c r="FT33" s="153"/>
      <c r="FU33" s="153"/>
      <c r="FV33" s="153"/>
      <c r="FW33" s="153"/>
      <c r="FX33" s="153"/>
      <c r="FY33" s="153"/>
      <c r="FZ33" s="153"/>
      <c r="GA33" s="153"/>
      <c r="GB33" s="153"/>
      <c r="GC33" s="156"/>
      <c r="GD33" s="153"/>
      <c r="GE33" s="153"/>
      <c r="GF33" s="153"/>
      <c r="GG33" s="156"/>
      <c r="GH33" s="153"/>
      <c r="GI33" s="153"/>
      <c r="GJ33" s="153"/>
      <c r="GK33" s="156"/>
      <c r="GL33" s="153"/>
      <c r="GM33" s="153"/>
      <c r="GN33" s="153"/>
      <c r="GO33" s="153"/>
      <c r="GP33" s="153"/>
      <c r="GQ33" s="156"/>
      <c r="GR33" s="153"/>
      <c r="GS33" s="153"/>
      <c r="GT33" s="153"/>
      <c r="GU33" s="153"/>
      <c r="GV33" s="153"/>
      <c r="GW33" s="153"/>
      <c r="GX33" s="154"/>
      <c r="GY33" s="153"/>
      <c r="GZ33" s="153"/>
      <c r="HA33" s="156"/>
    </row>
    <row r="34" spans="1:209" s="58" customFormat="1" ht="18" customHeight="1">
      <c r="A34" s="153">
        <v>93</v>
      </c>
      <c r="B34" s="153">
        <v>16055</v>
      </c>
      <c r="C34" s="176" t="s">
        <v>1577</v>
      </c>
      <c r="D34" s="176" t="s">
        <v>85</v>
      </c>
      <c r="E34" s="153"/>
      <c r="F34" s="58" t="s">
        <v>1120</v>
      </c>
      <c r="G34" s="153"/>
      <c r="H34" s="153"/>
      <c r="I34" s="153" t="s">
        <v>1123</v>
      </c>
      <c r="J34" s="153"/>
      <c r="K34" s="153">
        <v>0</v>
      </c>
      <c r="L34" s="153">
        <v>0</v>
      </c>
      <c r="M34" s="153"/>
      <c r="N34" s="153"/>
      <c r="O34" s="153"/>
      <c r="P34" s="153"/>
      <c r="Q34" s="153"/>
      <c r="R34" s="153"/>
      <c r="S34" s="153"/>
      <c r="T34" s="153"/>
      <c r="U34" s="153"/>
      <c r="V34" s="153"/>
      <c r="W34" s="153"/>
      <c r="X34" s="153"/>
      <c r="Y34" s="153"/>
      <c r="Z34" s="153"/>
      <c r="AA34" s="153" t="s">
        <v>358</v>
      </c>
      <c r="AB34" s="153"/>
      <c r="AC34" s="153"/>
      <c r="AD34" s="153"/>
      <c r="AE34" s="153"/>
      <c r="AF34" s="153"/>
      <c r="AG34" s="153"/>
      <c r="AH34" s="153"/>
      <c r="AI34" s="153"/>
      <c r="AJ34" s="153"/>
      <c r="AK34" s="153"/>
      <c r="AL34" s="153"/>
      <c r="AM34" s="153"/>
      <c r="AN34" s="153"/>
      <c r="AO34" s="153"/>
      <c r="AP34" s="153"/>
      <c r="AQ34" s="153"/>
      <c r="AR34" s="153"/>
      <c r="AS34" s="153"/>
      <c r="AT34" s="154"/>
      <c r="AU34" s="154">
        <v>0</v>
      </c>
      <c r="AV34" s="154"/>
      <c r="AW34" s="153"/>
      <c r="AX34" s="153"/>
      <c r="AY34" s="153"/>
      <c r="AZ34" s="153"/>
      <c r="BA34" s="153" t="s">
        <v>2233</v>
      </c>
      <c r="BB34" s="153"/>
      <c r="BC34" s="153"/>
      <c r="BD34" s="153"/>
      <c r="BE34" s="153" t="s">
        <v>2233</v>
      </c>
      <c r="BF34" s="153"/>
      <c r="BG34" s="153"/>
      <c r="BH34" s="155"/>
      <c r="BI34" s="153"/>
      <c r="BJ34" s="155"/>
      <c r="BK34" s="153"/>
      <c r="BL34" s="155"/>
      <c r="BM34" s="153"/>
      <c r="BN34" s="153"/>
      <c r="BO34" s="153"/>
      <c r="BP34" s="153"/>
      <c r="BQ34" s="153"/>
      <c r="BR34" s="153"/>
      <c r="BS34" s="153"/>
      <c r="BT34" s="153"/>
      <c r="BU34" s="153"/>
      <c r="BV34" s="153"/>
      <c r="BW34" s="153"/>
      <c r="BX34" s="153"/>
      <c r="BY34" s="153"/>
      <c r="BZ34" s="153"/>
      <c r="CA34" s="153"/>
      <c r="CB34" s="153"/>
      <c r="CC34" s="153"/>
      <c r="CD34" s="153"/>
      <c r="CE34" s="153"/>
      <c r="CF34" s="153"/>
      <c r="CG34" s="153"/>
      <c r="CH34" s="153"/>
      <c r="CI34" s="153"/>
      <c r="CJ34" s="153"/>
      <c r="CK34" s="153"/>
      <c r="CL34" s="156"/>
      <c r="CM34" s="153"/>
      <c r="CN34" s="154"/>
      <c r="CO34" s="153" t="s">
        <v>584</v>
      </c>
      <c r="CP34" s="153"/>
      <c r="CQ34" s="153" t="s">
        <v>2224</v>
      </c>
      <c r="CR34" s="153" t="s">
        <v>483</v>
      </c>
      <c r="CS34" s="153"/>
      <c r="CT34" s="153"/>
      <c r="CU34" s="153"/>
      <c r="CV34" s="153"/>
      <c r="CW34" s="153"/>
      <c r="CX34" s="153"/>
      <c r="CY34" s="153"/>
      <c r="CZ34" s="153"/>
      <c r="DA34" s="154"/>
      <c r="DB34" s="156"/>
      <c r="DC34" s="153">
        <v>44</v>
      </c>
      <c r="DD34" s="153"/>
      <c r="DE34" s="153" t="s">
        <v>1577</v>
      </c>
      <c r="DF34" s="153"/>
      <c r="DG34" s="153"/>
      <c r="DH34" s="153"/>
      <c r="DI34" s="153"/>
      <c r="DJ34" s="153"/>
      <c r="DK34" s="153"/>
      <c r="DL34" s="153"/>
      <c r="DM34" s="153"/>
      <c r="DN34" s="153"/>
      <c r="DO34" s="153"/>
      <c r="DP34" s="153"/>
      <c r="DQ34" s="154"/>
      <c r="DR34" s="153"/>
      <c r="DS34" s="153"/>
      <c r="DT34" s="153"/>
      <c r="DU34" s="153"/>
      <c r="DV34" s="153"/>
      <c r="DW34" s="153"/>
      <c r="DX34" s="153"/>
      <c r="DY34" s="153"/>
      <c r="DZ34" s="153"/>
      <c r="EA34" s="153"/>
      <c r="EB34" s="153"/>
      <c r="EC34" s="153"/>
      <c r="ED34" s="153"/>
      <c r="EE34" s="153"/>
      <c r="EF34" s="153"/>
      <c r="EG34" s="153"/>
      <c r="EH34" s="153"/>
      <c r="EI34" s="153"/>
      <c r="EJ34" s="153"/>
      <c r="EK34" s="153"/>
      <c r="EL34" s="153"/>
      <c r="EM34" s="153"/>
      <c r="EN34" s="153"/>
      <c r="EO34" s="153"/>
      <c r="EP34" s="153"/>
      <c r="EQ34" s="153"/>
      <c r="ER34" s="153"/>
      <c r="ES34" s="153"/>
      <c r="ET34" s="153"/>
      <c r="EU34" s="153"/>
      <c r="EV34" s="153"/>
      <c r="EW34" s="153"/>
      <c r="EX34" s="154"/>
      <c r="EY34" s="154"/>
      <c r="EZ34" s="154"/>
      <c r="FA34" s="154"/>
      <c r="FB34" s="154"/>
      <c r="FC34" s="154"/>
      <c r="FD34" s="154"/>
      <c r="FE34" s="154"/>
      <c r="FF34" s="154"/>
      <c r="FG34" s="154"/>
      <c r="FH34" s="153"/>
      <c r="FI34" s="153"/>
      <c r="FJ34" s="153"/>
      <c r="FK34" s="156"/>
      <c r="FL34" s="153"/>
      <c r="FM34" s="153"/>
      <c r="FN34" s="153"/>
      <c r="FO34" s="153"/>
      <c r="FP34" s="153"/>
      <c r="FQ34" s="153"/>
      <c r="FR34" s="153"/>
      <c r="FS34" s="153"/>
      <c r="FT34" s="153"/>
      <c r="FU34" s="153"/>
      <c r="FV34" s="153"/>
      <c r="FW34" s="153"/>
      <c r="FX34" s="153"/>
      <c r="FY34" s="153"/>
      <c r="FZ34" s="153"/>
      <c r="GA34" s="153"/>
      <c r="GB34" s="153"/>
      <c r="GC34" s="156"/>
      <c r="GD34" s="153"/>
      <c r="GE34" s="153"/>
      <c r="GF34" s="153"/>
      <c r="GG34" s="156"/>
      <c r="GH34" s="153"/>
      <c r="GI34" s="153"/>
      <c r="GJ34" s="153"/>
      <c r="GK34" s="156"/>
      <c r="GL34" s="153"/>
      <c r="GM34" s="153"/>
      <c r="GN34" s="153"/>
      <c r="GO34" s="153"/>
      <c r="GP34" s="153"/>
      <c r="GQ34" s="156"/>
      <c r="GR34" s="153"/>
      <c r="GS34" s="153"/>
      <c r="GT34" s="153"/>
      <c r="GU34" s="153"/>
      <c r="GV34" s="153"/>
      <c r="GW34" s="153"/>
      <c r="GX34" s="154"/>
      <c r="GY34" s="153"/>
      <c r="GZ34" s="153"/>
      <c r="HA34" s="156"/>
    </row>
    <row r="35" spans="1:209" s="58" customFormat="1" ht="18" customHeight="1">
      <c r="A35" s="127"/>
      <c r="B35" s="127"/>
      <c r="C35" s="127"/>
      <c r="D35" s="127"/>
      <c r="E35" s="127"/>
      <c r="G35" s="127"/>
      <c r="H35" s="127"/>
      <c r="I35" s="127"/>
      <c r="J35" s="127"/>
      <c r="K35" s="127"/>
      <c r="L35" s="127"/>
      <c r="M35" s="127"/>
      <c r="N35" s="127"/>
      <c r="O35" s="127"/>
      <c r="P35" s="127"/>
      <c r="Q35" s="127"/>
      <c r="R35" s="127"/>
      <c r="S35" s="127"/>
      <c r="T35" s="127"/>
      <c r="U35" s="127"/>
      <c r="V35" s="127"/>
      <c r="W35" s="127"/>
      <c r="X35" s="127"/>
      <c r="Y35" s="127"/>
      <c r="Z35" s="127"/>
      <c r="AA35" s="127"/>
      <c r="AB35" s="127"/>
      <c r="AC35" s="127"/>
      <c r="AD35" s="127"/>
      <c r="AE35" s="127"/>
      <c r="AF35" s="127"/>
      <c r="AG35" s="127"/>
      <c r="AH35" s="127"/>
      <c r="AI35" s="127"/>
      <c r="AJ35" s="127"/>
      <c r="AK35" s="127"/>
      <c r="AL35" s="127"/>
      <c r="AM35" s="127"/>
      <c r="AN35" s="127"/>
      <c r="AO35" s="127"/>
      <c r="AP35" s="127"/>
      <c r="AQ35" s="127"/>
      <c r="AR35" s="127"/>
      <c r="AS35" s="127"/>
      <c r="AT35" s="173"/>
      <c r="AU35" s="173"/>
      <c r="AV35" s="173"/>
      <c r="AW35" s="127"/>
      <c r="AX35" s="127"/>
      <c r="AY35" s="127"/>
      <c r="AZ35" s="127"/>
      <c r="BA35" s="127"/>
      <c r="BB35" s="127"/>
      <c r="BC35" s="127"/>
      <c r="BD35" s="127"/>
      <c r="BE35" s="127"/>
      <c r="BF35" s="127"/>
      <c r="BG35" s="127"/>
      <c r="BH35" s="175"/>
      <c r="BI35" s="127"/>
      <c r="BJ35" s="175"/>
      <c r="BK35" s="127"/>
      <c r="BL35" s="175"/>
      <c r="BM35" s="127"/>
      <c r="BN35" s="127"/>
      <c r="BO35" s="127"/>
      <c r="BP35" s="127"/>
      <c r="BQ35" s="127"/>
      <c r="BR35" s="127"/>
      <c r="BS35" s="127"/>
      <c r="BT35" s="127"/>
      <c r="BU35" s="127"/>
      <c r="BV35" s="127"/>
      <c r="BW35" s="127"/>
      <c r="BX35" s="127"/>
      <c r="BY35" s="127"/>
      <c r="BZ35" s="127"/>
      <c r="CA35" s="127"/>
      <c r="CB35" s="127"/>
      <c r="CC35" s="127"/>
      <c r="CD35" s="127"/>
      <c r="CE35" s="127"/>
      <c r="CF35" s="127"/>
      <c r="CG35" s="127"/>
      <c r="CH35" s="127"/>
      <c r="CI35" s="127"/>
      <c r="CJ35" s="127"/>
      <c r="CK35" s="127"/>
      <c r="CL35" s="174"/>
      <c r="CM35" s="127"/>
      <c r="CN35" s="173"/>
      <c r="CO35" s="127"/>
      <c r="CP35" s="127"/>
      <c r="CQ35" s="127"/>
      <c r="CR35" s="127"/>
      <c r="CS35" s="127"/>
      <c r="CT35" s="127"/>
      <c r="CU35" s="127"/>
      <c r="CV35" s="127"/>
      <c r="CW35" s="127"/>
      <c r="CX35" s="127"/>
      <c r="CY35" s="127"/>
      <c r="CZ35" s="127"/>
      <c r="DA35" s="173"/>
      <c r="DB35" s="174"/>
      <c r="DC35" s="127"/>
      <c r="DD35" s="127"/>
      <c r="DE35" s="127"/>
      <c r="DF35" s="127"/>
      <c r="DG35" s="127"/>
      <c r="DH35" s="127"/>
      <c r="DI35" s="127"/>
      <c r="DJ35" s="127"/>
      <c r="DK35" s="127"/>
      <c r="DL35" s="127"/>
      <c r="DM35" s="127"/>
      <c r="DN35" s="127"/>
      <c r="DO35" s="127"/>
      <c r="DP35" s="127"/>
      <c r="DQ35" s="173"/>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c r="EN35" s="127"/>
      <c r="EO35" s="127"/>
      <c r="EP35" s="127"/>
      <c r="EQ35" s="127"/>
      <c r="ER35" s="127"/>
      <c r="ES35" s="127"/>
      <c r="ET35" s="127"/>
      <c r="EU35" s="127"/>
      <c r="EV35" s="127"/>
      <c r="EW35" s="127"/>
      <c r="EX35" s="173"/>
      <c r="EY35" s="173"/>
      <c r="EZ35" s="173"/>
      <c r="FA35" s="173"/>
      <c r="FB35" s="173"/>
      <c r="FC35" s="173"/>
      <c r="FD35" s="173"/>
      <c r="FE35" s="173"/>
      <c r="FF35" s="173"/>
      <c r="FG35" s="173"/>
      <c r="FH35" s="127"/>
      <c r="FI35" s="127"/>
      <c r="FJ35" s="127"/>
      <c r="FK35" s="174"/>
      <c r="FL35" s="127"/>
      <c r="FM35" s="127"/>
      <c r="FN35" s="127"/>
      <c r="FO35" s="127"/>
      <c r="FP35" s="127"/>
      <c r="FQ35" s="127"/>
      <c r="FR35" s="127"/>
      <c r="FS35" s="127"/>
      <c r="FT35" s="127"/>
      <c r="FU35" s="127"/>
      <c r="FV35" s="127"/>
      <c r="FW35" s="127"/>
      <c r="FX35" s="127"/>
      <c r="FY35" s="127"/>
      <c r="FZ35" s="127"/>
      <c r="GA35" s="127"/>
      <c r="GB35" s="127"/>
      <c r="GC35" s="174"/>
      <c r="GD35" s="127"/>
      <c r="GE35" s="127"/>
      <c r="GF35" s="127"/>
      <c r="GG35" s="174"/>
      <c r="GH35" s="127"/>
      <c r="GI35" s="127"/>
      <c r="GJ35" s="127"/>
      <c r="GK35" s="174"/>
      <c r="GL35" s="127"/>
      <c r="GM35" s="127"/>
      <c r="GN35" s="127"/>
      <c r="GO35" s="127"/>
      <c r="GP35" s="127"/>
      <c r="GQ35" s="174"/>
      <c r="GR35" s="127"/>
      <c r="GS35" s="127"/>
      <c r="GT35" s="127"/>
      <c r="GU35" s="127"/>
      <c r="GV35" s="127"/>
      <c r="GW35" s="127"/>
      <c r="GX35" s="173"/>
      <c r="GY35" s="127"/>
      <c r="GZ35" s="127"/>
      <c r="HA35" s="174"/>
    </row>
    <row r="36" spans="1:209" s="58" customFormat="1" ht="18" customHeight="1">
      <c r="A36" s="127"/>
      <c r="B36" s="127"/>
      <c r="C36" s="127"/>
      <c r="D36" s="127"/>
      <c r="E36" s="127"/>
      <c r="G36" s="127"/>
      <c r="H36" s="127"/>
      <c r="I36" s="127"/>
      <c r="J36" s="127"/>
      <c r="K36" s="127"/>
      <c r="L36" s="127"/>
      <c r="M36" s="127"/>
      <c r="N36" s="127"/>
      <c r="O36" s="127"/>
      <c r="P36" s="127"/>
      <c r="Q36" s="127"/>
      <c r="R36" s="127"/>
      <c r="S36" s="127"/>
      <c r="T36" s="127"/>
      <c r="U36" s="127"/>
      <c r="V36" s="127"/>
      <c r="W36" s="127"/>
      <c r="X36" s="127"/>
      <c r="Y36" s="127"/>
      <c r="Z36" s="127"/>
      <c r="AA36" s="127"/>
      <c r="AB36" s="127"/>
      <c r="AC36" s="127"/>
      <c r="AD36" s="127"/>
      <c r="AE36" s="127"/>
      <c r="AF36" s="127"/>
      <c r="AG36" s="127"/>
      <c r="AH36" s="127"/>
      <c r="AI36" s="127"/>
      <c r="AJ36" s="127"/>
      <c r="AK36" s="127"/>
      <c r="AL36" s="127"/>
      <c r="AM36" s="127"/>
      <c r="AN36" s="127"/>
      <c r="AO36" s="127"/>
      <c r="AP36" s="127"/>
      <c r="AQ36" s="127"/>
      <c r="AR36" s="127"/>
      <c r="AS36" s="127"/>
      <c r="AT36" s="173"/>
      <c r="AU36" s="173"/>
      <c r="AV36" s="173"/>
      <c r="AW36" s="127"/>
      <c r="AX36" s="127"/>
      <c r="AY36" s="127"/>
      <c r="AZ36" s="127"/>
      <c r="BA36" s="127"/>
      <c r="BB36" s="127"/>
      <c r="BC36" s="127"/>
      <c r="BD36" s="127"/>
      <c r="BE36" s="127"/>
      <c r="BF36" s="127"/>
      <c r="BG36" s="127"/>
      <c r="BH36" s="175"/>
      <c r="BI36" s="127"/>
      <c r="BJ36" s="175"/>
      <c r="BK36" s="127"/>
      <c r="BL36" s="175"/>
      <c r="BM36" s="127"/>
      <c r="BN36" s="127"/>
      <c r="BO36" s="127"/>
      <c r="BP36" s="127"/>
      <c r="BQ36" s="127"/>
      <c r="BR36" s="127"/>
      <c r="BS36" s="127"/>
      <c r="BT36" s="127"/>
      <c r="BU36" s="127"/>
      <c r="BV36" s="127"/>
      <c r="BW36" s="127"/>
      <c r="BX36" s="127"/>
      <c r="BY36" s="127"/>
      <c r="BZ36" s="127"/>
      <c r="CA36" s="127"/>
      <c r="CB36" s="127"/>
      <c r="CC36" s="127"/>
      <c r="CD36" s="127"/>
      <c r="CE36" s="127"/>
      <c r="CF36" s="127"/>
      <c r="CG36" s="127"/>
      <c r="CH36" s="127"/>
      <c r="CI36" s="127"/>
      <c r="CJ36" s="127"/>
      <c r="CK36" s="127"/>
      <c r="CL36" s="174"/>
      <c r="CM36" s="127"/>
      <c r="CN36" s="173"/>
      <c r="CO36" s="127"/>
      <c r="CP36" s="127"/>
      <c r="CQ36" s="127"/>
      <c r="CR36" s="127"/>
      <c r="CS36" s="127"/>
      <c r="CT36" s="127"/>
      <c r="CU36" s="127"/>
      <c r="CV36" s="127"/>
      <c r="CW36" s="127"/>
      <c r="CX36" s="127"/>
      <c r="CY36" s="127"/>
      <c r="CZ36" s="127"/>
      <c r="DA36" s="173"/>
      <c r="DB36" s="174"/>
      <c r="DC36" s="127"/>
      <c r="DD36" s="127"/>
      <c r="DE36" s="127"/>
      <c r="DF36" s="127"/>
      <c r="DG36" s="127"/>
      <c r="DH36" s="127"/>
      <c r="DI36" s="127"/>
      <c r="DJ36" s="127"/>
      <c r="DK36" s="127"/>
      <c r="DL36" s="127"/>
      <c r="DM36" s="127"/>
      <c r="DN36" s="127"/>
      <c r="DO36" s="127"/>
      <c r="DP36" s="127"/>
      <c r="DQ36" s="173"/>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c r="EN36" s="127"/>
      <c r="EO36" s="127"/>
      <c r="EP36" s="127"/>
      <c r="EQ36" s="127"/>
      <c r="ER36" s="127"/>
      <c r="ES36" s="127"/>
      <c r="ET36" s="127"/>
      <c r="EU36" s="127"/>
      <c r="EV36" s="127"/>
      <c r="EW36" s="127"/>
      <c r="EX36" s="173"/>
      <c r="EY36" s="173"/>
      <c r="EZ36" s="173"/>
      <c r="FA36" s="173"/>
      <c r="FB36" s="173"/>
      <c r="FC36" s="173"/>
      <c r="FD36" s="173"/>
      <c r="FE36" s="173"/>
      <c r="FF36" s="173"/>
      <c r="FG36" s="173"/>
      <c r="FH36" s="127"/>
      <c r="FI36" s="127"/>
      <c r="FJ36" s="127"/>
      <c r="FK36" s="174"/>
      <c r="FL36" s="127"/>
      <c r="FM36" s="127"/>
      <c r="FN36" s="127"/>
      <c r="FO36" s="127"/>
      <c r="FP36" s="127"/>
      <c r="FQ36" s="127"/>
      <c r="FR36" s="127"/>
      <c r="FS36" s="127"/>
      <c r="FT36" s="127"/>
      <c r="FU36" s="127"/>
      <c r="FV36" s="127"/>
      <c r="FW36" s="127"/>
      <c r="FX36" s="127"/>
      <c r="FY36" s="127"/>
      <c r="FZ36" s="127"/>
      <c r="GA36" s="127"/>
      <c r="GB36" s="127"/>
      <c r="GC36" s="174"/>
      <c r="GD36" s="127"/>
      <c r="GE36" s="127"/>
      <c r="GF36" s="127"/>
      <c r="GG36" s="174"/>
      <c r="GH36" s="127"/>
      <c r="GI36" s="127"/>
      <c r="GJ36" s="127"/>
      <c r="GK36" s="174"/>
      <c r="GL36" s="127"/>
      <c r="GM36" s="127"/>
      <c r="GN36" s="127"/>
      <c r="GO36" s="127"/>
      <c r="GP36" s="127"/>
      <c r="GQ36" s="174"/>
      <c r="GR36" s="127"/>
      <c r="GS36" s="127"/>
      <c r="GT36" s="127"/>
      <c r="GU36" s="127"/>
      <c r="GV36" s="127"/>
      <c r="GW36" s="127"/>
      <c r="GX36" s="173"/>
      <c r="GY36" s="127"/>
      <c r="GZ36" s="127"/>
      <c r="HA36" s="174"/>
    </row>
    <row r="37" spans="1:209" s="58" customFormat="1" ht="18" customHeight="1">
      <c r="A37" s="127"/>
      <c r="B37" s="127"/>
      <c r="C37" s="127"/>
      <c r="D37" s="127"/>
      <c r="E37" s="127"/>
      <c r="G37" s="127"/>
      <c r="H37" s="127"/>
      <c r="I37" s="127"/>
      <c r="J37" s="127"/>
      <c r="K37" s="127"/>
      <c r="L37" s="127"/>
      <c r="M37" s="127"/>
      <c r="N37" s="127"/>
      <c r="O37" s="127"/>
      <c r="P37" s="127"/>
      <c r="Q37" s="127"/>
      <c r="R37" s="127"/>
      <c r="S37" s="127"/>
      <c r="T37" s="127"/>
      <c r="U37" s="127"/>
      <c r="V37" s="127"/>
      <c r="W37" s="127"/>
      <c r="X37" s="127"/>
      <c r="Y37" s="127"/>
      <c r="Z37" s="127"/>
      <c r="AA37" s="127"/>
      <c r="AB37" s="127"/>
      <c r="AC37" s="127"/>
      <c r="AD37" s="127"/>
      <c r="AE37" s="127"/>
      <c r="AF37" s="127"/>
      <c r="AG37" s="127"/>
      <c r="AH37" s="127"/>
      <c r="AI37" s="127"/>
      <c r="AJ37" s="127"/>
      <c r="AK37" s="127"/>
      <c r="AL37" s="127"/>
      <c r="AM37" s="127"/>
      <c r="AN37" s="127"/>
      <c r="AO37" s="127"/>
      <c r="AP37" s="127"/>
      <c r="AQ37" s="127"/>
      <c r="AR37" s="127"/>
      <c r="AS37" s="127"/>
      <c r="AT37" s="173"/>
      <c r="AU37" s="173"/>
      <c r="AV37" s="173"/>
      <c r="AW37" s="127"/>
      <c r="AX37" s="127"/>
      <c r="AY37" s="127"/>
      <c r="AZ37" s="127"/>
      <c r="BA37" s="127"/>
      <c r="BB37" s="127"/>
      <c r="BC37" s="127"/>
      <c r="BD37" s="127"/>
      <c r="BE37" s="127"/>
      <c r="BF37" s="127"/>
      <c r="BG37" s="127"/>
      <c r="BH37" s="175"/>
      <c r="BI37" s="127"/>
      <c r="BJ37" s="175"/>
      <c r="BK37" s="127"/>
      <c r="BL37" s="175"/>
      <c r="BM37" s="127"/>
      <c r="BN37" s="127"/>
      <c r="BO37" s="127"/>
      <c r="BP37" s="127"/>
      <c r="BQ37" s="127"/>
      <c r="BR37" s="127"/>
      <c r="BS37" s="127"/>
      <c r="BT37" s="127"/>
      <c r="BU37" s="127"/>
      <c r="BV37" s="127"/>
      <c r="BW37" s="127"/>
      <c r="BX37" s="127"/>
      <c r="BY37" s="127"/>
      <c r="BZ37" s="127"/>
      <c r="CA37" s="127"/>
      <c r="CB37" s="127"/>
      <c r="CC37" s="127"/>
      <c r="CD37" s="127"/>
      <c r="CE37" s="127"/>
      <c r="CF37" s="127"/>
      <c r="CG37" s="127"/>
      <c r="CH37" s="127"/>
      <c r="CI37" s="127"/>
      <c r="CJ37" s="127"/>
      <c r="CK37" s="127"/>
      <c r="CL37" s="174"/>
      <c r="CM37" s="127"/>
      <c r="CN37" s="173"/>
      <c r="CO37" s="127"/>
      <c r="CP37" s="127"/>
      <c r="CQ37" s="127"/>
      <c r="CR37" s="127"/>
      <c r="CS37" s="127"/>
      <c r="CT37" s="127"/>
      <c r="CU37" s="127"/>
      <c r="CV37" s="127"/>
      <c r="CW37" s="127"/>
      <c r="CX37" s="127"/>
      <c r="CY37" s="127"/>
      <c r="CZ37" s="127"/>
      <c r="DA37" s="173"/>
      <c r="DB37" s="174"/>
      <c r="DC37" s="127"/>
      <c r="DD37" s="127"/>
      <c r="DE37" s="127"/>
      <c r="DF37" s="127"/>
      <c r="DG37" s="127"/>
      <c r="DH37" s="127"/>
      <c r="DI37" s="127"/>
      <c r="DJ37" s="127"/>
      <c r="DK37" s="127"/>
      <c r="DL37" s="127"/>
      <c r="DM37" s="127"/>
      <c r="DN37" s="127"/>
      <c r="DO37" s="127"/>
      <c r="DP37" s="127"/>
      <c r="DQ37" s="173"/>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c r="EN37" s="127"/>
      <c r="EO37" s="127"/>
      <c r="EP37" s="127"/>
      <c r="EQ37" s="127"/>
      <c r="ER37" s="127"/>
      <c r="ES37" s="127"/>
      <c r="ET37" s="127"/>
      <c r="EU37" s="127"/>
      <c r="EV37" s="127"/>
      <c r="EW37" s="127"/>
      <c r="EX37" s="173"/>
      <c r="EY37" s="173"/>
      <c r="EZ37" s="173"/>
      <c r="FA37" s="173"/>
      <c r="FB37" s="173"/>
      <c r="FC37" s="173"/>
      <c r="FD37" s="173"/>
      <c r="FE37" s="173"/>
      <c r="FF37" s="173"/>
      <c r="FG37" s="173"/>
      <c r="FH37" s="127"/>
      <c r="FI37" s="127"/>
      <c r="FJ37" s="127"/>
      <c r="FK37" s="174"/>
      <c r="FL37" s="127"/>
      <c r="FM37" s="127"/>
      <c r="FN37" s="127"/>
      <c r="FO37" s="127"/>
      <c r="FP37" s="127"/>
      <c r="FQ37" s="127"/>
      <c r="FR37" s="127"/>
      <c r="FS37" s="127"/>
      <c r="FT37" s="127"/>
      <c r="FU37" s="127"/>
      <c r="FV37" s="127"/>
      <c r="FW37" s="127"/>
      <c r="FX37" s="127"/>
      <c r="FY37" s="127"/>
      <c r="FZ37" s="127"/>
      <c r="GA37" s="127"/>
      <c r="GB37" s="127"/>
      <c r="GC37" s="174"/>
      <c r="GD37" s="127"/>
      <c r="GE37" s="127"/>
      <c r="GF37" s="127"/>
      <c r="GG37" s="174"/>
      <c r="GH37" s="127"/>
      <c r="GI37" s="127"/>
      <c r="GJ37" s="127"/>
      <c r="GK37" s="174"/>
      <c r="GL37" s="127"/>
      <c r="GM37" s="127"/>
      <c r="GN37" s="127"/>
      <c r="GO37" s="127"/>
      <c r="GP37" s="127"/>
      <c r="GQ37" s="174"/>
      <c r="GR37" s="127"/>
      <c r="GS37" s="127"/>
      <c r="GT37" s="127"/>
      <c r="GU37" s="127"/>
      <c r="GV37" s="127"/>
      <c r="GW37" s="127"/>
      <c r="GX37" s="173"/>
      <c r="GY37" s="127"/>
      <c r="GZ37" s="127"/>
      <c r="HA37" s="174"/>
    </row>
    <row r="38" spans="1:209" s="58" customFormat="1" ht="18" customHeight="1">
      <c r="A38" s="127"/>
      <c r="B38" s="127"/>
      <c r="C38" s="127"/>
      <c r="D38" s="127"/>
      <c r="E38" s="127"/>
      <c r="G38" s="127"/>
      <c r="H38" s="127"/>
      <c r="I38" s="127"/>
      <c r="J38" s="127"/>
      <c r="K38" s="127"/>
      <c r="L38" s="127"/>
      <c r="M38" s="127"/>
      <c r="N38" s="127"/>
      <c r="O38" s="127"/>
      <c r="P38" s="127"/>
      <c r="Q38" s="127"/>
      <c r="R38" s="127"/>
      <c r="S38" s="127"/>
      <c r="T38" s="127"/>
      <c r="U38" s="127"/>
      <c r="V38" s="127"/>
      <c r="W38" s="127"/>
      <c r="X38" s="127"/>
      <c r="Y38" s="127"/>
      <c r="Z38" s="127"/>
      <c r="AA38" s="127"/>
      <c r="AB38" s="127"/>
      <c r="AC38" s="127"/>
      <c r="AD38" s="127"/>
      <c r="AE38" s="127"/>
      <c r="AF38" s="127"/>
      <c r="AG38" s="127"/>
      <c r="AH38" s="127"/>
      <c r="AI38" s="127"/>
      <c r="AJ38" s="127"/>
      <c r="AK38" s="127"/>
      <c r="AL38" s="127"/>
      <c r="AM38" s="127"/>
      <c r="AN38" s="127"/>
      <c r="AO38" s="127"/>
      <c r="AP38" s="127"/>
      <c r="AQ38" s="127"/>
      <c r="AR38" s="127"/>
      <c r="AS38" s="127"/>
      <c r="AT38" s="173"/>
      <c r="AU38" s="173"/>
      <c r="AV38" s="173"/>
      <c r="AW38" s="127"/>
      <c r="AX38" s="127"/>
      <c r="AY38" s="127"/>
      <c r="AZ38" s="127"/>
      <c r="BA38" s="127"/>
      <c r="BB38" s="127"/>
      <c r="BC38" s="127"/>
      <c r="BD38" s="127"/>
      <c r="BE38" s="127"/>
      <c r="BF38" s="127"/>
      <c r="BG38" s="127"/>
      <c r="BH38" s="175"/>
      <c r="BI38" s="127"/>
      <c r="BJ38" s="175"/>
      <c r="BK38" s="127"/>
      <c r="BL38" s="175"/>
      <c r="BM38" s="127"/>
      <c r="BN38" s="127"/>
      <c r="BO38" s="127"/>
      <c r="BP38" s="127"/>
      <c r="BQ38" s="127"/>
      <c r="BR38" s="127"/>
      <c r="BS38" s="127"/>
      <c r="BT38" s="127"/>
      <c r="BU38" s="127"/>
      <c r="BV38" s="127"/>
      <c r="BW38" s="127"/>
      <c r="BX38" s="127"/>
      <c r="BY38" s="127"/>
      <c r="BZ38" s="127"/>
      <c r="CA38" s="127"/>
      <c r="CB38" s="127"/>
      <c r="CC38" s="127"/>
      <c r="CD38" s="127"/>
      <c r="CE38" s="127"/>
      <c r="CF38" s="127"/>
      <c r="CG38" s="127"/>
      <c r="CH38" s="127"/>
      <c r="CI38" s="127"/>
      <c r="CJ38" s="127"/>
      <c r="CK38" s="127"/>
      <c r="CL38" s="174"/>
      <c r="CM38" s="127"/>
      <c r="CN38" s="173"/>
      <c r="CO38" s="127"/>
      <c r="CP38" s="127"/>
      <c r="CQ38" s="127"/>
      <c r="CR38" s="127"/>
      <c r="CS38" s="127"/>
      <c r="CT38" s="127"/>
      <c r="CU38" s="127"/>
      <c r="CV38" s="127"/>
      <c r="CW38" s="127"/>
      <c r="CX38" s="127"/>
      <c r="CY38" s="127"/>
      <c r="CZ38" s="127"/>
      <c r="DA38" s="173"/>
      <c r="DB38" s="174"/>
      <c r="DC38" s="127"/>
      <c r="DD38" s="127"/>
      <c r="DE38" s="127"/>
      <c r="DF38" s="127"/>
      <c r="DG38" s="127"/>
      <c r="DH38" s="127"/>
      <c r="DI38" s="127"/>
      <c r="DJ38" s="127"/>
      <c r="DK38" s="127"/>
      <c r="DL38" s="127"/>
      <c r="DM38" s="127"/>
      <c r="DN38" s="127"/>
      <c r="DO38" s="127"/>
      <c r="DP38" s="127"/>
      <c r="DQ38" s="173"/>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c r="EN38" s="127"/>
      <c r="EO38" s="127"/>
      <c r="EP38" s="127"/>
      <c r="EQ38" s="127"/>
      <c r="ER38" s="127"/>
      <c r="ES38" s="127"/>
      <c r="ET38" s="127"/>
      <c r="EU38" s="127"/>
      <c r="EV38" s="127"/>
      <c r="EW38" s="127"/>
      <c r="EX38" s="173"/>
      <c r="EY38" s="173"/>
      <c r="EZ38" s="173"/>
      <c r="FA38" s="173"/>
      <c r="FB38" s="173"/>
      <c r="FC38" s="173"/>
      <c r="FD38" s="173"/>
      <c r="FE38" s="173"/>
      <c r="FF38" s="173"/>
      <c r="FG38" s="173"/>
      <c r="FH38" s="127"/>
      <c r="FI38" s="127"/>
      <c r="FJ38" s="127"/>
      <c r="FK38" s="174"/>
      <c r="FL38" s="127"/>
      <c r="FM38" s="127"/>
      <c r="FN38" s="127"/>
      <c r="FO38" s="127"/>
      <c r="FP38" s="127"/>
      <c r="FQ38" s="127"/>
      <c r="FR38" s="127"/>
      <c r="FS38" s="127"/>
      <c r="FT38" s="127"/>
      <c r="FU38" s="127"/>
      <c r="FV38" s="127"/>
      <c r="FW38" s="127"/>
      <c r="FX38" s="127"/>
      <c r="FY38" s="127"/>
      <c r="FZ38" s="127"/>
      <c r="GA38" s="127"/>
      <c r="GB38" s="127"/>
      <c r="GC38" s="174"/>
      <c r="GD38" s="127"/>
      <c r="GE38" s="127"/>
      <c r="GF38" s="127"/>
      <c r="GG38" s="174"/>
      <c r="GH38" s="127"/>
      <c r="GI38" s="127"/>
      <c r="GJ38" s="127"/>
      <c r="GK38" s="174"/>
      <c r="GL38" s="127"/>
      <c r="GM38" s="127"/>
      <c r="GN38" s="127"/>
      <c r="GO38" s="127"/>
      <c r="GP38" s="127"/>
      <c r="GQ38" s="174"/>
      <c r="GR38" s="127"/>
      <c r="GS38" s="127"/>
      <c r="GT38" s="127"/>
      <c r="GU38" s="127"/>
      <c r="GV38" s="127"/>
      <c r="GW38" s="127"/>
      <c r="GX38" s="173"/>
      <c r="GY38" s="127"/>
      <c r="GZ38" s="127"/>
      <c r="HA38" s="174"/>
    </row>
    <row r="39" spans="1:209" s="58" customFormat="1" ht="18" customHeight="1">
      <c r="A39" s="127"/>
      <c r="B39" s="127"/>
      <c r="C39" s="127"/>
      <c r="D39" s="127"/>
      <c r="E39" s="127"/>
      <c r="G39" s="127"/>
      <c r="H39" s="127"/>
      <c r="I39" s="127"/>
      <c r="J39" s="127"/>
      <c r="K39" s="127"/>
      <c r="L39" s="127"/>
      <c r="M39" s="127"/>
      <c r="N39" s="127"/>
      <c r="O39" s="127"/>
      <c r="P39" s="127"/>
      <c r="Q39" s="127"/>
      <c r="R39" s="127"/>
      <c r="S39" s="127"/>
      <c r="T39" s="127"/>
      <c r="U39" s="127"/>
      <c r="V39" s="127"/>
      <c r="W39" s="127"/>
      <c r="X39" s="127"/>
      <c r="Y39" s="127"/>
      <c r="Z39" s="127"/>
      <c r="AA39" s="127"/>
      <c r="AB39" s="127"/>
      <c r="AC39" s="127"/>
      <c r="AD39" s="127"/>
      <c r="AE39" s="127"/>
      <c r="AF39" s="127"/>
      <c r="AG39" s="127"/>
      <c r="AH39" s="127"/>
      <c r="AI39" s="127"/>
      <c r="AJ39" s="127"/>
      <c r="AK39" s="127"/>
      <c r="AL39" s="127"/>
      <c r="AM39" s="127"/>
      <c r="AN39" s="127"/>
      <c r="AO39" s="127"/>
      <c r="AP39" s="127"/>
      <c r="AQ39" s="127"/>
      <c r="AR39" s="127"/>
      <c r="AS39" s="127"/>
      <c r="AT39" s="173"/>
      <c r="AU39" s="173"/>
      <c r="AV39" s="173"/>
      <c r="AW39" s="127"/>
      <c r="AX39" s="127"/>
      <c r="AY39" s="127"/>
      <c r="AZ39" s="127"/>
      <c r="BA39" s="127"/>
      <c r="BB39" s="127"/>
      <c r="BC39" s="127"/>
      <c r="BD39" s="127"/>
      <c r="BE39" s="127"/>
      <c r="BF39" s="127"/>
      <c r="BG39" s="127"/>
      <c r="BH39" s="175"/>
      <c r="BI39" s="127"/>
      <c r="BJ39" s="175"/>
      <c r="BK39" s="127"/>
      <c r="BL39" s="175"/>
      <c r="BM39" s="127"/>
      <c r="BN39" s="127"/>
      <c r="BO39" s="127"/>
      <c r="BP39" s="127"/>
      <c r="BQ39" s="127"/>
      <c r="BR39" s="127"/>
      <c r="BS39" s="127"/>
      <c r="BT39" s="127"/>
      <c r="BU39" s="127"/>
      <c r="BV39" s="127"/>
      <c r="BW39" s="127"/>
      <c r="BX39" s="127"/>
      <c r="BY39" s="127"/>
      <c r="BZ39" s="127"/>
      <c r="CA39" s="127"/>
      <c r="CB39" s="127"/>
      <c r="CC39" s="127"/>
      <c r="CD39" s="127"/>
      <c r="CE39" s="127"/>
      <c r="CF39" s="127"/>
      <c r="CG39" s="127"/>
      <c r="CH39" s="127"/>
      <c r="CI39" s="127"/>
      <c r="CJ39" s="127"/>
      <c r="CK39" s="127"/>
      <c r="CL39" s="174"/>
      <c r="CM39" s="127"/>
      <c r="CN39" s="173"/>
      <c r="CO39" s="127"/>
      <c r="CP39" s="127"/>
      <c r="CQ39" s="127"/>
      <c r="CR39" s="127"/>
      <c r="CS39" s="127"/>
      <c r="CT39" s="127"/>
      <c r="CU39" s="127"/>
      <c r="CV39" s="127"/>
      <c r="CW39" s="127"/>
      <c r="CX39" s="127"/>
      <c r="CY39" s="127"/>
      <c r="CZ39" s="127"/>
      <c r="DA39" s="173"/>
      <c r="DB39" s="174"/>
      <c r="DC39" s="127"/>
      <c r="DD39" s="127"/>
      <c r="DE39" s="127"/>
      <c r="DF39" s="127"/>
      <c r="DG39" s="127"/>
      <c r="DH39" s="127"/>
      <c r="DI39" s="127"/>
      <c r="DJ39" s="127"/>
      <c r="DK39" s="127"/>
      <c r="DL39" s="127"/>
      <c r="DM39" s="127"/>
      <c r="DN39" s="127"/>
      <c r="DO39" s="127"/>
      <c r="DP39" s="127"/>
      <c r="DQ39" s="173"/>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c r="EN39" s="127"/>
      <c r="EO39" s="127"/>
      <c r="EP39" s="127"/>
      <c r="EQ39" s="127"/>
      <c r="ER39" s="127"/>
      <c r="ES39" s="127"/>
      <c r="ET39" s="127"/>
      <c r="EU39" s="127"/>
      <c r="EV39" s="127"/>
      <c r="EW39" s="127"/>
      <c r="EX39" s="173"/>
      <c r="EY39" s="173"/>
      <c r="EZ39" s="173"/>
      <c r="FA39" s="173"/>
      <c r="FB39" s="173"/>
      <c r="FC39" s="173"/>
      <c r="FD39" s="173"/>
      <c r="FE39" s="173"/>
      <c r="FF39" s="173"/>
      <c r="FG39" s="173"/>
      <c r="FH39" s="127"/>
      <c r="FI39" s="127"/>
      <c r="FJ39" s="127"/>
      <c r="FK39" s="174"/>
      <c r="FL39" s="127"/>
      <c r="FM39" s="127"/>
      <c r="FN39" s="127"/>
      <c r="FO39" s="127"/>
      <c r="FP39" s="127"/>
      <c r="FQ39" s="127"/>
      <c r="FR39" s="127"/>
      <c r="FS39" s="127"/>
      <c r="FT39" s="127"/>
      <c r="FU39" s="127"/>
      <c r="FV39" s="127"/>
      <c r="FW39" s="127"/>
      <c r="FX39" s="127"/>
      <c r="FY39" s="127"/>
      <c r="FZ39" s="127"/>
      <c r="GA39" s="127"/>
      <c r="GB39" s="127"/>
      <c r="GC39" s="174"/>
      <c r="GD39" s="127"/>
      <c r="GE39" s="127"/>
      <c r="GF39" s="127"/>
      <c r="GG39" s="174"/>
      <c r="GH39" s="127"/>
      <c r="GI39" s="127"/>
      <c r="GJ39" s="127"/>
      <c r="GK39" s="174"/>
      <c r="GL39" s="127"/>
      <c r="GM39" s="127"/>
      <c r="GN39" s="127"/>
      <c r="GO39" s="127"/>
      <c r="GP39" s="127"/>
      <c r="GQ39" s="174"/>
      <c r="GR39" s="127"/>
      <c r="GS39" s="127"/>
      <c r="GT39" s="127"/>
      <c r="GU39" s="127"/>
      <c r="GV39" s="127"/>
      <c r="GW39" s="127"/>
      <c r="GX39" s="173"/>
      <c r="GY39" s="127"/>
      <c r="GZ39" s="127"/>
      <c r="HA39" s="174"/>
    </row>
    <row r="40" spans="1:209" s="58" customFormat="1" ht="18" customHeight="1">
      <c r="A40" s="127"/>
      <c r="B40" s="127"/>
      <c r="C40" s="127"/>
      <c r="D40" s="127"/>
      <c r="E40" s="127"/>
      <c r="G40" s="127"/>
      <c r="H40" s="127"/>
      <c r="I40" s="127"/>
      <c r="J40" s="127"/>
      <c r="K40" s="127"/>
      <c r="L40" s="127"/>
      <c r="M40" s="127"/>
      <c r="N40" s="127"/>
      <c r="O40" s="127"/>
      <c r="P40" s="127"/>
      <c r="Q40" s="127"/>
      <c r="R40" s="127"/>
      <c r="S40" s="127"/>
      <c r="T40" s="127"/>
      <c r="U40" s="127"/>
      <c r="V40" s="127"/>
      <c r="W40" s="127"/>
      <c r="X40" s="127"/>
      <c r="Y40" s="127"/>
      <c r="Z40" s="127"/>
      <c r="AA40" s="127"/>
      <c r="AB40" s="127"/>
      <c r="AC40" s="127"/>
      <c r="AD40" s="127"/>
      <c r="AE40" s="127"/>
      <c r="AF40" s="127"/>
      <c r="AG40" s="127"/>
      <c r="AH40" s="127"/>
      <c r="AI40" s="127"/>
      <c r="AJ40" s="127"/>
      <c r="AK40" s="127"/>
      <c r="AL40" s="127"/>
      <c r="AM40" s="127"/>
      <c r="AN40" s="127"/>
      <c r="AO40" s="127"/>
      <c r="AP40" s="127"/>
      <c r="AQ40" s="127"/>
      <c r="AR40" s="127"/>
      <c r="AS40" s="127"/>
      <c r="AT40" s="173"/>
      <c r="AU40" s="173"/>
      <c r="AV40" s="173"/>
      <c r="AW40" s="127"/>
      <c r="AX40" s="127"/>
      <c r="AY40" s="127"/>
      <c r="AZ40" s="127"/>
      <c r="BA40" s="127"/>
      <c r="BB40" s="127"/>
      <c r="BC40" s="127"/>
      <c r="BD40" s="127"/>
      <c r="BE40" s="127"/>
      <c r="BF40" s="127"/>
      <c r="BG40" s="127"/>
      <c r="BH40" s="175"/>
      <c r="BI40" s="127"/>
      <c r="BJ40" s="175"/>
      <c r="BK40" s="127"/>
      <c r="BL40" s="175"/>
      <c r="BM40" s="127"/>
      <c r="BN40" s="127"/>
      <c r="BO40" s="127"/>
      <c r="BP40" s="127"/>
      <c r="BQ40" s="127"/>
      <c r="BR40" s="127"/>
      <c r="BS40" s="127"/>
      <c r="BT40" s="127"/>
      <c r="BU40" s="127"/>
      <c r="BV40" s="127"/>
      <c r="BW40" s="127"/>
      <c r="BX40" s="127"/>
      <c r="BY40" s="127"/>
      <c r="BZ40" s="127"/>
      <c r="CA40" s="127"/>
      <c r="CB40" s="127"/>
      <c r="CC40" s="127"/>
      <c r="CD40" s="127"/>
      <c r="CE40" s="127"/>
      <c r="CF40" s="127"/>
      <c r="CG40" s="127"/>
      <c r="CH40" s="127"/>
      <c r="CI40" s="127"/>
      <c r="CJ40" s="127"/>
      <c r="CK40" s="127"/>
      <c r="CL40" s="174"/>
      <c r="CM40" s="127"/>
      <c r="CN40" s="173"/>
      <c r="CO40" s="127"/>
      <c r="CP40" s="127"/>
      <c r="CQ40" s="127"/>
      <c r="CR40" s="127"/>
      <c r="CS40" s="127"/>
      <c r="CT40" s="127"/>
      <c r="CU40" s="127"/>
      <c r="CV40" s="127"/>
      <c r="CW40" s="127"/>
      <c r="CX40" s="127"/>
      <c r="CY40" s="127"/>
      <c r="CZ40" s="127"/>
      <c r="DA40" s="173"/>
      <c r="DB40" s="174"/>
      <c r="DC40" s="127"/>
      <c r="DD40" s="127"/>
      <c r="DE40" s="127"/>
      <c r="DF40" s="127"/>
      <c r="DG40" s="127"/>
      <c r="DH40" s="127"/>
      <c r="DI40" s="127"/>
      <c r="DJ40" s="127"/>
      <c r="DK40" s="127"/>
      <c r="DL40" s="127"/>
      <c r="DM40" s="127"/>
      <c r="DN40" s="127"/>
      <c r="DO40" s="127"/>
      <c r="DP40" s="127"/>
      <c r="DQ40" s="173"/>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c r="EN40" s="127"/>
      <c r="EO40" s="127"/>
      <c r="EP40" s="127"/>
      <c r="EQ40" s="127"/>
      <c r="ER40" s="127"/>
      <c r="ES40" s="127"/>
      <c r="ET40" s="127"/>
      <c r="EU40" s="127"/>
      <c r="EV40" s="127"/>
      <c r="EW40" s="127"/>
      <c r="EX40" s="173"/>
      <c r="EY40" s="173"/>
      <c r="EZ40" s="173"/>
      <c r="FA40" s="173"/>
      <c r="FB40" s="173"/>
      <c r="FC40" s="173"/>
      <c r="FD40" s="173"/>
      <c r="FE40" s="173"/>
      <c r="FF40" s="173"/>
      <c r="FG40" s="173"/>
      <c r="FH40" s="127"/>
      <c r="FI40" s="127"/>
      <c r="FJ40" s="127"/>
      <c r="FK40" s="174"/>
      <c r="FL40" s="127"/>
      <c r="FM40" s="127"/>
      <c r="FN40" s="127"/>
      <c r="FO40" s="127"/>
      <c r="FP40" s="127"/>
      <c r="FQ40" s="127"/>
      <c r="FR40" s="127"/>
      <c r="FS40" s="127"/>
      <c r="FT40" s="127"/>
      <c r="FU40" s="127"/>
      <c r="FV40" s="127"/>
      <c r="FW40" s="127"/>
      <c r="FX40" s="127"/>
      <c r="FY40" s="127"/>
      <c r="FZ40" s="127"/>
      <c r="GA40" s="127"/>
      <c r="GB40" s="127"/>
      <c r="GC40" s="174"/>
      <c r="GD40" s="127"/>
      <c r="GE40" s="127"/>
      <c r="GF40" s="127"/>
      <c r="GG40" s="174"/>
      <c r="GH40" s="127"/>
      <c r="GI40" s="127"/>
      <c r="GJ40" s="127"/>
      <c r="GK40" s="174"/>
      <c r="GL40" s="127"/>
      <c r="GM40" s="127"/>
      <c r="GN40" s="127"/>
      <c r="GO40" s="127"/>
      <c r="GP40" s="127"/>
      <c r="GQ40" s="174"/>
      <c r="GR40" s="127"/>
      <c r="GS40" s="127"/>
      <c r="GT40" s="127"/>
      <c r="GU40" s="127"/>
      <c r="GV40" s="127"/>
      <c r="GW40" s="127"/>
      <c r="GX40" s="173"/>
      <c r="GY40" s="127"/>
      <c r="GZ40" s="127"/>
      <c r="HA40" s="174"/>
    </row>
    <row r="41" spans="1:209" s="58" customFormat="1" ht="18" customHeight="1">
      <c r="A41" s="127"/>
      <c r="B41" s="127"/>
      <c r="C41" s="127"/>
      <c r="D41" s="127"/>
      <c r="E41" s="127"/>
      <c r="G41" s="127"/>
      <c r="H41" s="127"/>
      <c r="I41" s="127"/>
      <c r="J41" s="127"/>
      <c r="K41" s="127"/>
      <c r="L41" s="127"/>
      <c r="M41" s="127"/>
      <c r="N41" s="127"/>
      <c r="O41" s="127"/>
      <c r="P41" s="127"/>
      <c r="Q41" s="127"/>
      <c r="R41" s="127"/>
      <c r="S41" s="127"/>
      <c r="T41" s="127"/>
      <c r="U41" s="127"/>
      <c r="V41" s="127"/>
      <c r="W41" s="127"/>
      <c r="X41" s="127"/>
      <c r="Y41" s="127"/>
      <c r="Z41" s="127"/>
      <c r="AA41" s="127"/>
      <c r="AB41" s="127"/>
      <c r="AC41" s="127"/>
      <c r="AD41" s="127"/>
      <c r="AE41" s="127"/>
      <c r="AF41" s="127"/>
      <c r="AG41" s="127"/>
      <c r="AH41" s="127"/>
      <c r="AI41" s="127"/>
      <c r="AJ41" s="127"/>
      <c r="AK41" s="127"/>
      <c r="AL41" s="127"/>
      <c r="AM41" s="127"/>
      <c r="AN41" s="127"/>
      <c r="AO41" s="127"/>
      <c r="AP41" s="127"/>
      <c r="AQ41" s="127"/>
      <c r="AR41" s="127"/>
      <c r="AS41" s="127"/>
      <c r="AT41" s="173"/>
      <c r="AU41" s="173"/>
      <c r="AV41" s="173"/>
      <c r="AW41" s="127"/>
      <c r="AX41" s="127"/>
      <c r="AY41" s="127"/>
      <c r="AZ41" s="127"/>
      <c r="BA41" s="127"/>
      <c r="BB41" s="127"/>
      <c r="BC41" s="127"/>
      <c r="BD41" s="127"/>
      <c r="BE41" s="127"/>
      <c r="BF41" s="127"/>
      <c r="BG41" s="127"/>
      <c r="BH41" s="175"/>
      <c r="BI41" s="127"/>
      <c r="BJ41" s="175"/>
      <c r="BK41" s="127"/>
      <c r="BL41" s="175"/>
      <c r="BM41" s="127"/>
      <c r="BN41" s="127"/>
      <c r="BO41" s="127"/>
      <c r="BP41" s="127"/>
      <c r="BQ41" s="127"/>
      <c r="BR41" s="127"/>
      <c r="BS41" s="127"/>
      <c r="BT41" s="127"/>
      <c r="BU41" s="127"/>
      <c r="BV41" s="127"/>
      <c r="BW41" s="127"/>
      <c r="BX41" s="127"/>
      <c r="BY41" s="127"/>
      <c r="BZ41" s="127"/>
      <c r="CA41" s="127"/>
      <c r="CB41" s="127"/>
      <c r="CC41" s="127"/>
      <c r="CD41" s="127"/>
      <c r="CE41" s="127"/>
      <c r="CF41" s="127"/>
      <c r="CG41" s="127"/>
      <c r="CH41" s="127"/>
      <c r="CI41" s="127"/>
      <c r="CJ41" s="127"/>
      <c r="CK41" s="127"/>
      <c r="CL41" s="174"/>
      <c r="CM41" s="127"/>
      <c r="CN41" s="173"/>
      <c r="CO41" s="127"/>
      <c r="CP41" s="127"/>
      <c r="CQ41" s="127"/>
      <c r="CR41" s="127"/>
      <c r="CS41" s="127"/>
      <c r="CT41" s="127"/>
      <c r="CU41" s="127"/>
      <c r="CV41" s="127"/>
      <c r="CW41" s="127"/>
      <c r="CX41" s="127"/>
      <c r="CY41" s="127"/>
      <c r="CZ41" s="127"/>
      <c r="DA41" s="173"/>
      <c r="DB41" s="174"/>
      <c r="DC41" s="127"/>
      <c r="DD41" s="127"/>
      <c r="DE41" s="127"/>
      <c r="DF41" s="127"/>
      <c r="DG41" s="127"/>
      <c r="DH41" s="127"/>
      <c r="DI41" s="127"/>
      <c r="DJ41" s="127"/>
      <c r="DK41" s="127"/>
      <c r="DL41" s="127"/>
      <c r="DM41" s="127"/>
      <c r="DN41" s="127"/>
      <c r="DO41" s="127"/>
      <c r="DP41" s="127"/>
      <c r="DQ41" s="173"/>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c r="EN41" s="127"/>
      <c r="EO41" s="127"/>
      <c r="EP41" s="127"/>
      <c r="EQ41" s="127"/>
      <c r="ER41" s="127"/>
      <c r="ES41" s="127"/>
      <c r="ET41" s="127"/>
      <c r="EU41" s="127"/>
      <c r="EV41" s="127"/>
      <c r="EW41" s="127"/>
      <c r="EX41" s="173"/>
      <c r="EY41" s="173"/>
      <c r="EZ41" s="173"/>
      <c r="FA41" s="173"/>
      <c r="FB41" s="173"/>
      <c r="FC41" s="173"/>
      <c r="FD41" s="173"/>
      <c r="FE41" s="173"/>
      <c r="FF41" s="173"/>
      <c r="FG41" s="173"/>
      <c r="FH41" s="127"/>
      <c r="FI41" s="127"/>
      <c r="FJ41" s="127"/>
      <c r="FK41" s="174"/>
      <c r="FL41" s="127"/>
      <c r="FM41" s="127"/>
      <c r="FN41" s="127"/>
      <c r="FO41" s="127"/>
      <c r="FP41" s="127"/>
      <c r="FQ41" s="127"/>
      <c r="FR41" s="127"/>
      <c r="FS41" s="127"/>
      <c r="FT41" s="127"/>
      <c r="FU41" s="127"/>
      <c r="FV41" s="127"/>
      <c r="FW41" s="127"/>
      <c r="FX41" s="127"/>
      <c r="FY41" s="127"/>
      <c r="FZ41" s="127"/>
      <c r="GA41" s="127"/>
      <c r="GB41" s="127"/>
      <c r="GC41" s="174"/>
      <c r="GD41" s="127"/>
      <c r="GE41" s="127"/>
      <c r="GF41" s="127"/>
      <c r="GG41" s="174"/>
      <c r="GH41" s="127"/>
      <c r="GI41" s="127"/>
      <c r="GJ41" s="127"/>
      <c r="GK41" s="174"/>
      <c r="GL41" s="127"/>
      <c r="GM41" s="127"/>
      <c r="GN41" s="127"/>
      <c r="GO41" s="127"/>
      <c r="GP41" s="127"/>
      <c r="GQ41" s="174"/>
      <c r="GR41" s="127"/>
      <c r="GS41" s="127"/>
      <c r="GT41" s="127"/>
      <c r="GU41" s="127"/>
      <c r="GV41" s="127"/>
      <c r="GW41" s="127"/>
      <c r="GX41" s="173"/>
      <c r="GY41" s="127"/>
      <c r="GZ41" s="127"/>
      <c r="HA41" s="174"/>
    </row>
    <row r="42" spans="1:209" s="58" customFormat="1" ht="18" customHeight="1">
      <c r="A42" s="127"/>
      <c r="B42" s="127"/>
      <c r="C42" s="127"/>
      <c r="D42" s="127"/>
      <c r="E42" s="127"/>
      <c r="G42" s="127"/>
      <c r="H42" s="127"/>
      <c r="I42" s="127"/>
      <c r="J42" s="127"/>
      <c r="K42" s="127"/>
      <c r="L42" s="127"/>
      <c r="M42" s="127"/>
      <c r="N42" s="127"/>
      <c r="O42" s="127"/>
      <c r="P42" s="127"/>
      <c r="Q42" s="127"/>
      <c r="R42" s="127"/>
      <c r="S42" s="127"/>
      <c r="T42" s="127"/>
      <c r="U42" s="127"/>
      <c r="V42" s="127"/>
      <c r="W42" s="127"/>
      <c r="X42" s="127"/>
      <c r="Y42" s="127"/>
      <c r="Z42" s="127"/>
      <c r="AA42" s="127"/>
      <c r="AB42" s="127"/>
      <c r="AC42" s="127"/>
      <c r="AD42" s="127"/>
      <c r="AE42" s="127"/>
      <c r="AF42" s="127"/>
      <c r="AG42" s="127"/>
      <c r="AH42" s="127"/>
      <c r="AI42" s="127"/>
      <c r="AJ42" s="127"/>
      <c r="AK42" s="127"/>
      <c r="AL42" s="127"/>
      <c r="AM42" s="127"/>
      <c r="AN42" s="127"/>
      <c r="AO42" s="127"/>
      <c r="AP42" s="127"/>
      <c r="AQ42" s="127"/>
      <c r="AR42" s="127"/>
      <c r="AS42" s="127"/>
      <c r="AT42" s="173"/>
      <c r="AU42" s="173"/>
      <c r="AV42" s="173"/>
      <c r="AW42" s="127"/>
      <c r="AX42" s="127"/>
      <c r="AY42" s="127"/>
      <c r="AZ42" s="127"/>
      <c r="BA42" s="127"/>
      <c r="BB42" s="127"/>
      <c r="BC42" s="127"/>
      <c r="BD42" s="127"/>
      <c r="BE42" s="127"/>
      <c r="BF42" s="127"/>
      <c r="BG42" s="127"/>
      <c r="BH42" s="175"/>
      <c r="BI42" s="127"/>
      <c r="BJ42" s="175"/>
      <c r="BK42" s="127"/>
      <c r="BL42" s="175"/>
      <c r="BM42" s="127"/>
      <c r="BN42" s="127"/>
      <c r="BO42" s="127"/>
      <c r="BP42" s="127"/>
      <c r="BQ42" s="127"/>
      <c r="BR42" s="127"/>
      <c r="BS42" s="127"/>
      <c r="BT42" s="127"/>
      <c r="BU42" s="127"/>
      <c r="BV42" s="127"/>
      <c r="BW42" s="127"/>
      <c r="BX42" s="127"/>
      <c r="BY42" s="127"/>
      <c r="BZ42" s="127"/>
      <c r="CA42" s="127"/>
      <c r="CB42" s="127"/>
      <c r="CC42" s="127"/>
      <c r="CD42" s="127"/>
      <c r="CE42" s="127"/>
      <c r="CF42" s="127"/>
      <c r="CG42" s="127"/>
      <c r="CH42" s="127"/>
      <c r="CI42" s="127"/>
      <c r="CJ42" s="127"/>
      <c r="CK42" s="127"/>
      <c r="CL42" s="174"/>
      <c r="CM42" s="127"/>
      <c r="CN42" s="173"/>
      <c r="CO42" s="127"/>
      <c r="CP42" s="127"/>
      <c r="CQ42" s="127"/>
      <c r="CR42" s="127"/>
      <c r="CS42" s="127"/>
      <c r="CT42" s="127"/>
      <c r="CU42" s="127"/>
      <c r="CV42" s="127"/>
      <c r="CW42" s="127"/>
      <c r="CX42" s="127"/>
      <c r="CY42" s="127"/>
      <c r="CZ42" s="127"/>
      <c r="DA42" s="173"/>
      <c r="DB42" s="174"/>
      <c r="DC42" s="127"/>
      <c r="DD42" s="127"/>
      <c r="DE42" s="127"/>
      <c r="DF42" s="127"/>
      <c r="DG42" s="127"/>
      <c r="DH42" s="127"/>
      <c r="DI42" s="127"/>
      <c r="DJ42" s="127"/>
      <c r="DK42" s="127"/>
      <c r="DL42" s="127"/>
      <c r="DM42" s="127"/>
      <c r="DN42" s="127"/>
      <c r="DO42" s="127"/>
      <c r="DP42" s="127"/>
      <c r="DQ42" s="173"/>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c r="EN42" s="127"/>
      <c r="EO42" s="127"/>
      <c r="EP42" s="127"/>
      <c r="EQ42" s="127"/>
      <c r="ER42" s="127"/>
      <c r="ES42" s="127"/>
      <c r="ET42" s="127"/>
      <c r="EU42" s="127"/>
      <c r="EV42" s="127"/>
      <c r="EW42" s="127"/>
      <c r="EX42" s="173"/>
      <c r="EY42" s="173"/>
      <c r="EZ42" s="173"/>
      <c r="FA42" s="173"/>
      <c r="FB42" s="173"/>
      <c r="FC42" s="173"/>
      <c r="FD42" s="173"/>
      <c r="FE42" s="173"/>
      <c r="FF42" s="173"/>
      <c r="FG42" s="173"/>
      <c r="FH42" s="127"/>
      <c r="FI42" s="127"/>
      <c r="FJ42" s="127"/>
      <c r="FK42" s="174"/>
      <c r="FL42" s="127"/>
      <c r="FM42" s="127"/>
      <c r="FN42" s="127"/>
      <c r="FO42" s="127"/>
      <c r="FP42" s="127"/>
      <c r="FQ42" s="127"/>
      <c r="FR42" s="127"/>
      <c r="FS42" s="127"/>
      <c r="FT42" s="127"/>
      <c r="FU42" s="127"/>
      <c r="FV42" s="127"/>
      <c r="FW42" s="127"/>
      <c r="FX42" s="127"/>
      <c r="FY42" s="127"/>
      <c r="FZ42" s="127"/>
      <c r="GA42" s="127"/>
      <c r="GB42" s="127"/>
      <c r="GC42" s="174"/>
      <c r="GD42" s="127"/>
      <c r="GE42" s="127"/>
      <c r="GF42" s="127"/>
      <c r="GG42" s="174"/>
      <c r="GH42" s="127"/>
      <c r="GI42" s="127"/>
      <c r="GJ42" s="127"/>
      <c r="GK42" s="174"/>
      <c r="GL42" s="127"/>
      <c r="GM42" s="127"/>
      <c r="GN42" s="127"/>
      <c r="GO42" s="127"/>
      <c r="GP42" s="127"/>
      <c r="GQ42" s="174"/>
      <c r="GR42" s="127"/>
      <c r="GS42" s="127"/>
      <c r="GT42" s="127"/>
      <c r="GU42" s="127"/>
      <c r="GV42" s="127"/>
      <c r="GW42" s="127"/>
      <c r="GX42" s="173"/>
      <c r="GY42" s="127"/>
      <c r="GZ42" s="127"/>
      <c r="HA42" s="174"/>
    </row>
    <row r="43" spans="1:209" s="58" customFormat="1" ht="18" customHeight="1">
      <c r="A43" s="127"/>
      <c r="B43" s="127"/>
      <c r="C43" s="127"/>
      <c r="D43" s="127"/>
      <c r="E43" s="127"/>
      <c r="G43" s="127"/>
      <c r="H43" s="127"/>
      <c r="I43" s="127"/>
      <c r="J43" s="127"/>
      <c r="K43" s="127"/>
      <c r="L43" s="127"/>
      <c r="M43" s="127"/>
      <c r="N43" s="127"/>
      <c r="O43" s="127"/>
      <c r="P43" s="127"/>
      <c r="Q43" s="127"/>
      <c r="R43" s="127"/>
      <c r="S43" s="127"/>
      <c r="T43" s="127"/>
      <c r="U43" s="127"/>
      <c r="V43" s="127"/>
      <c r="W43" s="127"/>
      <c r="X43" s="127"/>
      <c r="Y43" s="127"/>
      <c r="Z43" s="127"/>
      <c r="AA43" s="127"/>
      <c r="AB43" s="127"/>
      <c r="AC43" s="127"/>
      <c r="AD43" s="127"/>
      <c r="AE43" s="127"/>
      <c r="AF43" s="127"/>
      <c r="AG43" s="127"/>
      <c r="AH43" s="127"/>
      <c r="AI43" s="127"/>
      <c r="AJ43" s="127"/>
      <c r="AK43" s="127"/>
      <c r="AL43" s="127"/>
      <c r="AM43" s="127"/>
      <c r="AN43" s="127"/>
      <c r="AO43" s="127"/>
      <c r="AP43" s="127"/>
      <c r="AQ43" s="127"/>
      <c r="AR43" s="127"/>
      <c r="AS43" s="127"/>
      <c r="AT43" s="173"/>
      <c r="AU43" s="173"/>
      <c r="AV43" s="173"/>
      <c r="AW43" s="127"/>
      <c r="AX43" s="127"/>
      <c r="AY43" s="127"/>
      <c r="AZ43" s="127"/>
      <c r="BA43" s="127"/>
      <c r="BB43" s="127"/>
      <c r="BC43" s="127"/>
      <c r="BD43" s="127"/>
      <c r="BE43" s="127"/>
      <c r="BF43" s="127"/>
      <c r="BG43" s="127"/>
      <c r="BH43" s="175"/>
      <c r="BI43" s="127"/>
      <c r="BJ43" s="175"/>
      <c r="BK43" s="127"/>
      <c r="BL43" s="175"/>
      <c r="BM43" s="127"/>
      <c r="BN43" s="127"/>
      <c r="BO43" s="127"/>
      <c r="BP43" s="127"/>
      <c r="BQ43" s="127"/>
      <c r="BR43" s="127"/>
      <c r="BS43" s="127"/>
      <c r="BT43" s="127"/>
      <c r="BU43" s="127"/>
      <c r="BV43" s="127"/>
      <c r="BW43" s="127"/>
      <c r="BX43" s="127"/>
      <c r="BY43" s="127"/>
      <c r="BZ43" s="127"/>
      <c r="CA43" s="127"/>
      <c r="CB43" s="127"/>
      <c r="CC43" s="127"/>
      <c r="CD43" s="127"/>
      <c r="CE43" s="127"/>
      <c r="CF43" s="127"/>
      <c r="CG43" s="127"/>
      <c r="CH43" s="127"/>
      <c r="CI43" s="127"/>
      <c r="CJ43" s="127"/>
      <c r="CK43" s="127"/>
      <c r="CL43" s="174"/>
      <c r="CM43" s="127"/>
      <c r="CN43" s="173"/>
      <c r="CO43" s="127"/>
      <c r="CP43" s="127"/>
      <c r="CQ43" s="127"/>
      <c r="CR43" s="127"/>
      <c r="CS43" s="127"/>
      <c r="CT43" s="127"/>
      <c r="CU43" s="127"/>
      <c r="CV43" s="127"/>
      <c r="CW43" s="127"/>
      <c r="CX43" s="127"/>
      <c r="CY43" s="127"/>
      <c r="CZ43" s="127"/>
      <c r="DA43" s="173"/>
      <c r="DB43" s="174"/>
      <c r="DC43" s="127"/>
      <c r="DD43" s="127"/>
      <c r="DE43" s="127"/>
      <c r="DF43" s="127"/>
      <c r="DG43" s="127"/>
      <c r="DH43" s="127"/>
      <c r="DI43" s="127"/>
      <c r="DJ43" s="127"/>
      <c r="DK43" s="127"/>
      <c r="DL43" s="127"/>
      <c r="DM43" s="127"/>
      <c r="DN43" s="127"/>
      <c r="DO43" s="127"/>
      <c r="DP43" s="127"/>
      <c r="DQ43" s="173"/>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c r="EN43" s="127"/>
      <c r="EO43" s="127"/>
      <c r="EP43" s="127"/>
      <c r="EQ43" s="127"/>
      <c r="ER43" s="127"/>
      <c r="ES43" s="127"/>
      <c r="ET43" s="127"/>
      <c r="EU43" s="127"/>
      <c r="EV43" s="127"/>
      <c r="EW43" s="127"/>
      <c r="EX43" s="173"/>
      <c r="EY43" s="173"/>
      <c r="EZ43" s="173"/>
      <c r="FA43" s="173"/>
      <c r="FB43" s="173"/>
      <c r="FC43" s="173"/>
      <c r="FD43" s="173"/>
      <c r="FE43" s="173"/>
      <c r="FF43" s="173"/>
      <c r="FG43" s="173"/>
      <c r="FH43" s="127"/>
      <c r="FI43" s="127"/>
      <c r="FJ43" s="127"/>
      <c r="FK43" s="174"/>
      <c r="FL43" s="127"/>
      <c r="FM43" s="127"/>
      <c r="FN43" s="127"/>
      <c r="FO43" s="127"/>
      <c r="FP43" s="127"/>
      <c r="FQ43" s="127"/>
      <c r="FR43" s="127"/>
      <c r="FS43" s="127"/>
      <c r="FT43" s="127"/>
      <c r="FU43" s="127"/>
      <c r="FV43" s="127"/>
      <c r="FW43" s="127"/>
      <c r="FX43" s="127"/>
      <c r="FY43" s="127"/>
      <c r="FZ43" s="127"/>
      <c r="GA43" s="127"/>
      <c r="GB43" s="127"/>
      <c r="GC43" s="174"/>
      <c r="GD43" s="127"/>
      <c r="GE43" s="127"/>
      <c r="GF43" s="127"/>
      <c r="GG43" s="174"/>
      <c r="GH43" s="127"/>
      <c r="GI43" s="127"/>
      <c r="GJ43" s="127"/>
      <c r="GK43" s="174"/>
      <c r="GL43" s="127"/>
      <c r="GM43" s="127"/>
      <c r="GN43" s="127"/>
      <c r="GO43" s="127"/>
      <c r="GP43" s="127"/>
      <c r="GQ43" s="174"/>
      <c r="GR43" s="127"/>
      <c r="GS43" s="127"/>
      <c r="GT43" s="127"/>
      <c r="GU43" s="127"/>
      <c r="GV43" s="127"/>
      <c r="GW43" s="127"/>
      <c r="GX43" s="173"/>
      <c r="GY43" s="127"/>
      <c r="GZ43" s="127"/>
      <c r="HA43" s="174"/>
    </row>
    <row r="44" spans="1:209" s="58" customFormat="1" ht="18" customHeight="1">
      <c r="A44" s="127"/>
      <c r="B44" s="127"/>
      <c r="C44" s="127"/>
      <c r="D44" s="127"/>
      <c r="E44" s="127"/>
      <c r="G44" s="127"/>
      <c r="H44" s="127"/>
      <c r="I44" s="127"/>
      <c r="J44" s="127"/>
      <c r="K44" s="127"/>
      <c r="L44" s="127"/>
      <c r="M44" s="127"/>
      <c r="N44" s="127"/>
      <c r="O44" s="127"/>
      <c r="P44" s="127"/>
      <c r="Q44" s="127"/>
      <c r="R44" s="127"/>
      <c r="S44" s="127"/>
      <c r="T44" s="127"/>
      <c r="U44" s="127"/>
      <c r="V44" s="127"/>
      <c r="W44" s="127"/>
      <c r="X44" s="127"/>
      <c r="Y44" s="127"/>
      <c r="Z44" s="127"/>
      <c r="AA44" s="127"/>
      <c r="AB44" s="127"/>
      <c r="AC44" s="127"/>
      <c r="AD44" s="127"/>
      <c r="AE44" s="127"/>
      <c r="AF44" s="127"/>
      <c r="AG44" s="127"/>
      <c r="AH44" s="127"/>
      <c r="AI44" s="127"/>
      <c r="AJ44" s="127"/>
      <c r="AK44" s="127"/>
      <c r="AL44" s="127"/>
      <c r="AM44" s="127"/>
      <c r="AN44" s="127"/>
      <c r="AO44" s="127"/>
      <c r="AP44" s="127"/>
      <c r="AQ44" s="127"/>
      <c r="AR44" s="127"/>
      <c r="AS44" s="127"/>
      <c r="AT44" s="173"/>
      <c r="AU44" s="173"/>
      <c r="AV44" s="173"/>
      <c r="AW44" s="127"/>
      <c r="AX44" s="127"/>
      <c r="AY44" s="127"/>
      <c r="AZ44" s="127"/>
      <c r="BA44" s="127"/>
      <c r="BB44" s="127"/>
      <c r="BC44" s="127"/>
      <c r="BD44" s="127"/>
      <c r="BE44" s="127"/>
      <c r="BF44" s="127"/>
      <c r="BG44" s="127"/>
      <c r="BH44" s="175"/>
      <c r="BI44" s="127"/>
      <c r="BJ44" s="175"/>
      <c r="BK44" s="127"/>
      <c r="BL44" s="175"/>
      <c r="BM44" s="127"/>
      <c r="BN44" s="127"/>
      <c r="BO44" s="127"/>
      <c r="BP44" s="127"/>
      <c r="BQ44" s="127"/>
      <c r="BR44" s="127"/>
      <c r="BS44" s="127"/>
      <c r="BT44" s="127"/>
      <c r="BU44" s="127"/>
      <c r="BV44" s="127"/>
      <c r="BW44" s="127"/>
      <c r="BX44" s="127"/>
      <c r="BY44" s="127"/>
      <c r="BZ44" s="127"/>
      <c r="CA44" s="127"/>
      <c r="CB44" s="127"/>
      <c r="CC44" s="127"/>
      <c r="CD44" s="127"/>
      <c r="CE44" s="127"/>
      <c r="CF44" s="127"/>
      <c r="CG44" s="127"/>
      <c r="CH44" s="127"/>
      <c r="CI44" s="127"/>
      <c r="CJ44" s="127"/>
      <c r="CK44" s="127"/>
      <c r="CL44" s="174"/>
      <c r="CM44" s="127"/>
      <c r="CN44" s="173"/>
      <c r="CO44" s="127"/>
      <c r="CP44" s="127"/>
      <c r="CQ44" s="127"/>
      <c r="CR44" s="127"/>
      <c r="CS44" s="127"/>
      <c r="CT44" s="127"/>
      <c r="CU44" s="127"/>
      <c r="CV44" s="127"/>
      <c r="CW44" s="127"/>
      <c r="CX44" s="127"/>
      <c r="CY44" s="127"/>
      <c r="CZ44" s="127"/>
      <c r="DA44" s="173"/>
      <c r="DB44" s="174"/>
      <c r="DC44" s="127"/>
      <c r="DD44" s="127"/>
      <c r="DE44" s="127"/>
      <c r="DF44" s="127"/>
      <c r="DG44" s="127"/>
      <c r="DH44" s="127"/>
      <c r="DI44" s="127"/>
      <c r="DJ44" s="127"/>
      <c r="DK44" s="127"/>
      <c r="DL44" s="127"/>
      <c r="DM44" s="127"/>
      <c r="DN44" s="127"/>
      <c r="DO44" s="127"/>
      <c r="DP44" s="127"/>
      <c r="DQ44" s="173"/>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c r="EN44" s="127"/>
      <c r="EO44" s="127"/>
      <c r="EP44" s="127"/>
      <c r="EQ44" s="127"/>
      <c r="ER44" s="127"/>
      <c r="ES44" s="127"/>
      <c r="ET44" s="127"/>
      <c r="EU44" s="127"/>
      <c r="EV44" s="127"/>
      <c r="EW44" s="127"/>
      <c r="EX44" s="173"/>
      <c r="EY44" s="173"/>
      <c r="EZ44" s="173"/>
      <c r="FA44" s="173"/>
      <c r="FB44" s="173"/>
      <c r="FC44" s="173"/>
      <c r="FD44" s="173"/>
      <c r="FE44" s="173"/>
      <c r="FF44" s="173"/>
      <c r="FG44" s="173"/>
      <c r="FH44" s="127"/>
      <c r="FI44" s="127"/>
      <c r="FJ44" s="127"/>
      <c r="FK44" s="174"/>
      <c r="FL44" s="127"/>
      <c r="FM44" s="127"/>
      <c r="FN44" s="127"/>
      <c r="FO44" s="127"/>
      <c r="FP44" s="127"/>
      <c r="FQ44" s="127"/>
      <c r="FR44" s="127"/>
      <c r="FS44" s="127"/>
      <c r="FT44" s="127"/>
      <c r="FU44" s="127"/>
      <c r="FV44" s="127"/>
      <c r="FW44" s="127"/>
      <c r="FX44" s="127"/>
      <c r="FY44" s="127"/>
      <c r="FZ44" s="127"/>
      <c r="GA44" s="127"/>
      <c r="GB44" s="127"/>
      <c r="GC44" s="174"/>
      <c r="GD44" s="127"/>
      <c r="GE44" s="127"/>
      <c r="GF44" s="127"/>
      <c r="GG44" s="174"/>
      <c r="GH44" s="127"/>
      <c r="GI44" s="127"/>
      <c r="GJ44" s="127"/>
      <c r="GK44" s="174"/>
      <c r="GL44" s="127"/>
      <c r="GM44" s="127"/>
      <c r="GN44" s="127"/>
      <c r="GO44" s="127"/>
      <c r="GP44" s="127"/>
      <c r="GQ44" s="174"/>
      <c r="GR44" s="127"/>
      <c r="GS44" s="127"/>
      <c r="GT44" s="127"/>
      <c r="GU44" s="127"/>
      <c r="GV44" s="127"/>
      <c r="GW44" s="127"/>
      <c r="GX44" s="173"/>
      <c r="GY44" s="127"/>
      <c r="GZ44" s="127"/>
      <c r="HA44" s="174"/>
    </row>
    <row r="45" spans="1:209" s="58" customFormat="1" ht="18" customHeight="1">
      <c r="A45" s="127"/>
      <c r="B45" s="127"/>
      <c r="C45" s="127"/>
      <c r="D45" s="127"/>
      <c r="E45" s="127"/>
      <c r="G45" s="127"/>
      <c r="H45" s="127"/>
      <c r="I45" s="127"/>
      <c r="J45" s="127"/>
      <c r="K45" s="127"/>
      <c r="L45" s="127"/>
      <c r="M45" s="127"/>
      <c r="N45" s="127"/>
      <c r="O45" s="127"/>
      <c r="P45" s="127"/>
      <c r="Q45" s="127"/>
      <c r="R45" s="127"/>
      <c r="S45" s="127"/>
      <c r="T45" s="127"/>
      <c r="U45" s="127"/>
      <c r="V45" s="127"/>
      <c r="W45" s="127"/>
      <c r="X45" s="127"/>
      <c r="Y45" s="127"/>
      <c r="Z45" s="127"/>
      <c r="AA45" s="127"/>
      <c r="AB45" s="127"/>
      <c r="AC45" s="127"/>
      <c r="AD45" s="127"/>
      <c r="AE45" s="127"/>
      <c r="AF45" s="127"/>
      <c r="AG45" s="127"/>
      <c r="AH45" s="127"/>
      <c r="AI45" s="127"/>
      <c r="AJ45" s="127"/>
      <c r="AK45" s="127"/>
      <c r="AL45" s="127"/>
      <c r="AM45" s="127"/>
      <c r="AN45" s="127"/>
      <c r="AO45" s="127"/>
      <c r="AP45" s="127"/>
      <c r="AQ45" s="127"/>
      <c r="AR45" s="127"/>
      <c r="AS45" s="127"/>
      <c r="AT45" s="173"/>
      <c r="AU45" s="173"/>
      <c r="AV45" s="173"/>
      <c r="AW45" s="127"/>
      <c r="AX45" s="127"/>
      <c r="AY45" s="127"/>
      <c r="AZ45" s="127"/>
      <c r="BA45" s="127"/>
      <c r="BB45" s="127"/>
      <c r="BC45" s="127"/>
      <c r="BD45" s="127"/>
      <c r="BE45" s="127"/>
      <c r="BF45" s="127"/>
      <c r="BG45" s="127"/>
      <c r="BH45" s="175"/>
      <c r="BI45" s="127"/>
      <c r="BJ45" s="175"/>
      <c r="BK45" s="127"/>
      <c r="BL45" s="175"/>
      <c r="BM45" s="127"/>
      <c r="BN45" s="127"/>
      <c r="BO45" s="127"/>
      <c r="BP45" s="127"/>
      <c r="BQ45" s="127"/>
      <c r="BR45" s="127"/>
      <c r="BS45" s="127"/>
      <c r="BT45" s="127"/>
      <c r="BU45" s="127"/>
      <c r="BV45" s="127"/>
      <c r="BW45" s="127"/>
      <c r="BX45" s="127"/>
      <c r="BY45" s="127"/>
      <c r="BZ45" s="127"/>
      <c r="CA45" s="127"/>
      <c r="CB45" s="127"/>
      <c r="CC45" s="127"/>
      <c r="CD45" s="127"/>
      <c r="CE45" s="127"/>
      <c r="CF45" s="127"/>
      <c r="CG45" s="127"/>
      <c r="CH45" s="127"/>
      <c r="CI45" s="127"/>
      <c r="CJ45" s="127"/>
      <c r="CK45" s="127"/>
      <c r="CL45" s="174"/>
      <c r="CM45" s="127"/>
      <c r="CN45" s="173"/>
      <c r="CO45" s="127"/>
      <c r="CP45" s="127"/>
      <c r="CQ45" s="127"/>
      <c r="CR45" s="127"/>
      <c r="CS45" s="127"/>
      <c r="CT45" s="127"/>
      <c r="CU45" s="127"/>
      <c r="CV45" s="127"/>
      <c r="CW45" s="127"/>
      <c r="CX45" s="127"/>
      <c r="CY45" s="127"/>
      <c r="CZ45" s="127"/>
      <c r="DA45" s="173"/>
      <c r="DB45" s="174"/>
      <c r="DC45" s="127"/>
      <c r="DD45" s="127"/>
      <c r="DE45" s="127"/>
      <c r="DF45" s="127"/>
      <c r="DG45" s="127"/>
      <c r="DH45" s="127"/>
      <c r="DI45" s="127"/>
      <c r="DJ45" s="127"/>
      <c r="DK45" s="127"/>
      <c r="DL45" s="127"/>
      <c r="DM45" s="127"/>
      <c r="DN45" s="127"/>
      <c r="DO45" s="127"/>
      <c r="DP45" s="127"/>
      <c r="DQ45" s="173"/>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c r="EN45" s="127"/>
      <c r="EO45" s="127"/>
      <c r="EP45" s="127"/>
      <c r="EQ45" s="127"/>
      <c r="ER45" s="127"/>
      <c r="ES45" s="127"/>
      <c r="ET45" s="127"/>
      <c r="EU45" s="127"/>
      <c r="EV45" s="127"/>
      <c r="EW45" s="127"/>
      <c r="EX45" s="173"/>
      <c r="EY45" s="173"/>
      <c r="EZ45" s="173"/>
      <c r="FA45" s="173"/>
      <c r="FB45" s="173"/>
      <c r="FC45" s="173"/>
      <c r="FD45" s="173"/>
      <c r="FE45" s="173"/>
      <c r="FF45" s="173"/>
      <c r="FG45" s="173"/>
      <c r="FH45" s="127"/>
      <c r="FI45" s="127"/>
      <c r="FJ45" s="127"/>
      <c r="FK45" s="174"/>
      <c r="FL45" s="127"/>
      <c r="FM45" s="127"/>
      <c r="FN45" s="127"/>
      <c r="FO45" s="127"/>
      <c r="FP45" s="127"/>
      <c r="FQ45" s="127"/>
      <c r="FR45" s="127"/>
      <c r="FS45" s="127"/>
      <c r="FT45" s="127"/>
      <c r="FU45" s="127"/>
      <c r="FV45" s="127"/>
      <c r="FW45" s="127"/>
      <c r="FX45" s="127"/>
      <c r="FY45" s="127"/>
      <c r="FZ45" s="127"/>
      <c r="GA45" s="127"/>
      <c r="GB45" s="127"/>
      <c r="GC45" s="174"/>
      <c r="GD45" s="127"/>
      <c r="GE45" s="127"/>
      <c r="GF45" s="127"/>
      <c r="GG45" s="174"/>
      <c r="GH45" s="127"/>
      <c r="GI45" s="127"/>
      <c r="GJ45" s="127"/>
      <c r="GK45" s="174"/>
      <c r="GL45" s="127"/>
      <c r="GM45" s="127"/>
      <c r="GN45" s="127"/>
      <c r="GO45" s="127"/>
      <c r="GP45" s="127"/>
      <c r="GQ45" s="174"/>
      <c r="GR45" s="127"/>
      <c r="GS45" s="127"/>
      <c r="GT45" s="127"/>
      <c r="GU45" s="127"/>
      <c r="GV45" s="127"/>
      <c r="GW45" s="127"/>
      <c r="GX45" s="173"/>
      <c r="GY45" s="127"/>
      <c r="GZ45" s="127"/>
      <c r="HA45" s="174"/>
    </row>
    <row r="46" spans="1:209" s="58" customFormat="1" ht="18" customHeight="1">
      <c r="A46" s="127"/>
      <c r="B46" s="127"/>
      <c r="C46" s="127"/>
      <c r="D46" s="127"/>
      <c r="E46" s="127"/>
      <c r="G46" s="127"/>
      <c r="H46" s="127"/>
      <c r="I46" s="127"/>
      <c r="J46" s="127"/>
      <c r="K46" s="127"/>
      <c r="L46" s="127"/>
      <c r="M46" s="127"/>
      <c r="N46" s="127"/>
      <c r="O46" s="127"/>
      <c r="P46" s="127"/>
      <c r="Q46" s="127"/>
      <c r="R46" s="127"/>
      <c r="S46" s="127"/>
      <c r="T46" s="127"/>
      <c r="U46" s="127"/>
      <c r="V46" s="127"/>
      <c r="W46" s="127"/>
      <c r="X46" s="127"/>
      <c r="Y46" s="127"/>
      <c r="Z46" s="127"/>
      <c r="AA46" s="127"/>
      <c r="AB46" s="127"/>
      <c r="AC46" s="127"/>
      <c r="AD46" s="127"/>
      <c r="AE46" s="127"/>
      <c r="AF46" s="127"/>
      <c r="AG46" s="127"/>
      <c r="AH46" s="127"/>
      <c r="AI46" s="127"/>
      <c r="AJ46" s="127"/>
      <c r="AK46" s="127"/>
      <c r="AL46" s="127"/>
      <c r="AM46" s="127"/>
      <c r="AN46" s="127"/>
      <c r="AO46" s="127"/>
      <c r="AP46" s="127"/>
      <c r="AQ46" s="127"/>
      <c r="AR46" s="127"/>
      <c r="AS46" s="127"/>
      <c r="AT46" s="173"/>
      <c r="AU46" s="173"/>
      <c r="AV46" s="173"/>
      <c r="AW46" s="127"/>
      <c r="AX46" s="127"/>
      <c r="AY46" s="127"/>
      <c r="AZ46" s="127"/>
      <c r="BA46" s="127"/>
      <c r="BB46" s="127"/>
      <c r="BC46" s="127"/>
      <c r="BD46" s="127"/>
      <c r="BE46" s="127"/>
      <c r="BF46" s="127"/>
      <c r="BG46" s="127"/>
      <c r="BH46" s="175"/>
      <c r="BI46" s="127"/>
      <c r="BJ46" s="175"/>
      <c r="BK46" s="127"/>
      <c r="BL46" s="175"/>
      <c r="BM46" s="127"/>
      <c r="BN46" s="127"/>
      <c r="BO46" s="127"/>
      <c r="BP46" s="127"/>
      <c r="BQ46" s="127"/>
      <c r="BR46" s="127"/>
      <c r="BS46" s="127"/>
      <c r="BT46" s="127"/>
      <c r="BU46" s="127"/>
      <c r="BV46" s="127"/>
      <c r="BW46" s="127"/>
      <c r="BX46" s="127"/>
      <c r="BY46" s="127"/>
      <c r="BZ46" s="127"/>
      <c r="CA46" s="127"/>
      <c r="CB46" s="127"/>
      <c r="CC46" s="127"/>
      <c r="CD46" s="127"/>
      <c r="CE46" s="127"/>
      <c r="CF46" s="127"/>
      <c r="CG46" s="127"/>
      <c r="CH46" s="127"/>
      <c r="CI46" s="127"/>
      <c r="CJ46" s="127"/>
      <c r="CK46" s="127"/>
      <c r="CL46" s="174"/>
      <c r="CM46" s="127"/>
      <c r="CN46" s="173"/>
      <c r="CO46" s="127"/>
      <c r="CP46" s="127"/>
      <c r="CQ46" s="127"/>
      <c r="CR46" s="127"/>
      <c r="CS46" s="127"/>
      <c r="CT46" s="127"/>
      <c r="CU46" s="127"/>
      <c r="CV46" s="127"/>
      <c r="CW46" s="127"/>
      <c r="CX46" s="127"/>
      <c r="CY46" s="127"/>
      <c r="CZ46" s="127"/>
      <c r="DA46" s="173"/>
      <c r="DB46" s="174"/>
      <c r="DC46" s="127"/>
      <c r="DD46" s="127"/>
      <c r="DE46" s="127"/>
      <c r="DF46" s="127"/>
      <c r="DG46" s="127"/>
      <c r="DH46" s="127"/>
      <c r="DI46" s="127"/>
      <c r="DJ46" s="127"/>
      <c r="DK46" s="127"/>
      <c r="DL46" s="127"/>
      <c r="DM46" s="127"/>
      <c r="DN46" s="127"/>
      <c r="DO46" s="127"/>
      <c r="DP46" s="127"/>
      <c r="DQ46" s="173"/>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c r="EN46" s="127"/>
      <c r="EO46" s="127"/>
      <c r="EP46" s="127"/>
      <c r="EQ46" s="127"/>
      <c r="ER46" s="127"/>
      <c r="ES46" s="127"/>
      <c r="ET46" s="127"/>
      <c r="EU46" s="127"/>
      <c r="EV46" s="127"/>
      <c r="EW46" s="127"/>
      <c r="EX46" s="173"/>
      <c r="EY46" s="173"/>
      <c r="EZ46" s="173"/>
      <c r="FA46" s="173"/>
      <c r="FB46" s="173"/>
      <c r="FC46" s="173"/>
      <c r="FD46" s="173"/>
      <c r="FE46" s="173"/>
      <c r="FF46" s="173"/>
      <c r="FG46" s="173"/>
      <c r="FH46" s="127"/>
      <c r="FI46" s="127"/>
      <c r="FJ46" s="127"/>
      <c r="FK46" s="174"/>
      <c r="FL46" s="127"/>
      <c r="FM46" s="127"/>
      <c r="FN46" s="127"/>
      <c r="FO46" s="127"/>
      <c r="FP46" s="127"/>
      <c r="FQ46" s="127"/>
      <c r="FR46" s="127"/>
      <c r="FS46" s="127"/>
      <c r="FT46" s="127"/>
      <c r="FU46" s="127"/>
      <c r="FV46" s="127"/>
      <c r="FW46" s="127"/>
      <c r="FX46" s="127"/>
      <c r="FY46" s="127"/>
      <c r="FZ46" s="127"/>
      <c r="GA46" s="127"/>
      <c r="GB46" s="127"/>
      <c r="GC46" s="174"/>
      <c r="GD46" s="127"/>
      <c r="GE46" s="127"/>
      <c r="GF46" s="127"/>
      <c r="GG46" s="174"/>
      <c r="GH46" s="127"/>
      <c r="GI46" s="127"/>
      <c r="GJ46" s="127"/>
      <c r="GK46" s="174"/>
      <c r="GL46" s="127"/>
      <c r="GM46" s="127"/>
      <c r="GN46" s="127"/>
      <c r="GO46" s="127"/>
      <c r="GP46" s="127"/>
      <c r="GQ46" s="174"/>
      <c r="GR46" s="127"/>
      <c r="GS46" s="127"/>
      <c r="GT46" s="127"/>
      <c r="GU46" s="127"/>
      <c r="GV46" s="127"/>
      <c r="GW46" s="127"/>
      <c r="GX46" s="173"/>
      <c r="GY46" s="127"/>
      <c r="GZ46" s="127"/>
      <c r="HA46" s="174"/>
    </row>
    <row r="47" spans="1:209" s="58" customFormat="1" ht="18" customHeight="1">
      <c r="A47" s="127"/>
      <c r="B47" s="127"/>
      <c r="C47" s="127"/>
      <c r="D47" s="127"/>
      <c r="E47" s="127"/>
      <c r="G47" s="127"/>
      <c r="H47" s="127"/>
      <c r="I47" s="127"/>
      <c r="J47" s="127"/>
      <c r="K47" s="127"/>
      <c r="L47" s="127"/>
      <c r="M47" s="127"/>
      <c r="N47" s="127"/>
      <c r="O47" s="127"/>
      <c r="P47" s="127"/>
      <c r="Q47" s="127"/>
      <c r="R47" s="127"/>
      <c r="S47" s="127"/>
      <c r="T47" s="127"/>
      <c r="U47" s="127"/>
      <c r="V47" s="127"/>
      <c r="W47" s="127"/>
      <c r="X47" s="127"/>
      <c r="Y47" s="127"/>
      <c r="Z47" s="127"/>
      <c r="AA47" s="127"/>
      <c r="AB47" s="127"/>
      <c r="AC47" s="127"/>
      <c r="AD47" s="127"/>
      <c r="AE47" s="127"/>
      <c r="AF47" s="127"/>
      <c r="AG47" s="127"/>
      <c r="AH47" s="127"/>
      <c r="AI47" s="127"/>
      <c r="AJ47" s="127"/>
      <c r="AK47" s="127"/>
      <c r="AL47" s="127"/>
      <c r="AM47" s="127"/>
      <c r="AN47" s="127"/>
      <c r="AO47" s="127"/>
      <c r="AP47" s="127"/>
      <c r="AQ47" s="127"/>
      <c r="AR47" s="127"/>
      <c r="AS47" s="127"/>
      <c r="AT47" s="173"/>
      <c r="AU47" s="173"/>
      <c r="AV47" s="173"/>
      <c r="AW47" s="127"/>
      <c r="AX47" s="127"/>
      <c r="AY47" s="127"/>
      <c r="AZ47" s="127"/>
      <c r="BA47" s="127"/>
      <c r="BB47" s="127"/>
      <c r="BC47" s="127"/>
      <c r="BD47" s="127"/>
      <c r="BE47" s="127"/>
      <c r="BF47" s="127"/>
      <c r="BG47" s="127"/>
      <c r="BH47" s="175"/>
      <c r="BI47" s="127"/>
      <c r="BJ47" s="175"/>
      <c r="BK47" s="127"/>
      <c r="BL47" s="175"/>
      <c r="BM47" s="127"/>
      <c r="BN47" s="127"/>
      <c r="BO47" s="127"/>
      <c r="BP47" s="127"/>
      <c r="BQ47" s="127"/>
      <c r="BR47" s="127"/>
      <c r="BS47" s="127"/>
      <c r="BT47" s="127"/>
      <c r="BU47" s="127"/>
      <c r="BV47" s="127"/>
      <c r="BW47" s="127"/>
      <c r="BX47" s="127"/>
      <c r="BY47" s="127"/>
      <c r="BZ47" s="127"/>
      <c r="CA47" s="127"/>
      <c r="CB47" s="127"/>
      <c r="CC47" s="127"/>
      <c r="CD47" s="127"/>
      <c r="CE47" s="127"/>
      <c r="CF47" s="127"/>
      <c r="CG47" s="127"/>
      <c r="CH47" s="127"/>
      <c r="CI47" s="127"/>
      <c r="CJ47" s="127"/>
      <c r="CK47" s="127"/>
      <c r="CL47" s="174"/>
      <c r="CM47" s="127"/>
      <c r="CN47" s="173"/>
      <c r="CO47" s="127"/>
      <c r="CP47" s="127"/>
      <c r="CQ47" s="127"/>
      <c r="CR47" s="127"/>
      <c r="CS47" s="127"/>
      <c r="CT47" s="127"/>
      <c r="CU47" s="127"/>
      <c r="CV47" s="127"/>
      <c r="CW47" s="127"/>
      <c r="CX47" s="127"/>
      <c r="CY47" s="127"/>
      <c r="CZ47" s="127"/>
      <c r="DA47" s="173"/>
      <c r="DB47" s="174"/>
      <c r="DC47" s="127"/>
      <c r="DD47" s="127"/>
      <c r="DE47" s="127"/>
      <c r="DF47" s="127"/>
      <c r="DG47" s="127"/>
      <c r="DH47" s="127"/>
      <c r="DI47" s="127"/>
      <c r="DJ47" s="127"/>
      <c r="DK47" s="127"/>
      <c r="DL47" s="127"/>
      <c r="DM47" s="127"/>
      <c r="DN47" s="127"/>
      <c r="DO47" s="127"/>
      <c r="DP47" s="127"/>
      <c r="DQ47" s="173"/>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c r="EN47" s="127"/>
      <c r="EO47" s="127"/>
      <c r="EP47" s="127"/>
      <c r="EQ47" s="127"/>
      <c r="ER47" s="127"/>
      <c r="ES47" s="127"/>
      <c r="ET47" s="127"/>
      <c r="EU47" s="127"/>
      <c r="EV47" s="127"/>
      <c r="EW47" s="127"/>
      <c r="EX47" s="173"/>
      <c r="EY47" s="173"/>
      <c r="EZ47" s="173"/>
      <c r="FA47" s="173"/>
      <c r="FB47" s="173"/>
      <c r="FC47" s="173"/>
      <c r="FD47" s="173"/>
      <c r="FE47" s="173"/>
      <c r="FF47" s="173"/>
      <c r="FG47" s="173"/>
      <c r="FH47" s="127"/>
      <c r="FI47" s="127"/>
      <c r="FJ47" s="127"/>
      <c r="FK47" s="174"/>
      <c r="FL47" s="127"/>
      <c r="FM47" s="127"/>
      <c r="FN47" s="127"/>
      <c r="FO47" s="127"/>
      <c r="FP47" s="127"/>
      <c r="FQ47" s="127"/>
      <c r="FR47" s="127"/>
      <c r="FS47" s="127"/>
      <c r="FT47" s="127"/>
      <c r="FU47" s="127"/>
      <c r="FV47" s="127"/>
      <c r="FW47" s="127"/>
      <c r="FX47" s="127"/>
      <c r="FY47" s="127"/>
      <c r="FZ47" s="127"/>
      <c r="GA47" s="127"/>
      <c r="GB47" s="127"/>
      <c r="GC47" s="174"/>
      <c r="GD47" s="127"/>
      <c r="GE47" s="127"/>
      <c r="GF47" s="127"/>
      <c r="GG47" s="174"/>
      <c r="GH47" s="127"/>
      <c r="GI47" s="127"/>
      <c r="GJ47" s="127"/>
      <c r="GK47" s="174"/>
      <c r="GL47" s="127"/>
      <c r="GM47" s="127"/>
      <c r="GN47" s="127"/>
      <c r="GO47" s="127"/>
      <c r="GP47" s="127"/>
      <c r="GQ47" s="174"/>
      <c r="GR47" s="127"/>
      <c r="GS47" s="127"/>
      <c r="GT47" s="127"/>
      <c r="GU47" s="127"/>
      <c r="GV47" s="127"/>
      <c r="GW47" s="127"/>
      <c r="GX47" s="173"/>
      <c r="GY47" s="127"/>
      <c r="GZ47" s="127"/>
      <c r="HA47" s="174"/>
    </row>
    <row r="48" spans="1:209" s="58" customFormat="1" ht="18" customHeight="1">
      <c r="A48" s="127"/>
      <c r="B48" s="127"/>
      <c r="C48" s="127"/>
      <c r="D48" s="127"/>
      <c r="E48" s="127"/>
      <c r="G48" s="127"/>
      <c r="H48" s="127"/>
      <c r="I48" s="127"/>
      <c r="J48" s="127"/>
      <c r="K48" s="127"/>
      <c r="L48" s="127"/>
      <c r="M48" s="127"/>
      <c r="N48" s="127"/>
      <c r="O48" s="127"/>
      <c r="P48" s="127"/>
      <c r="Q48" s="127"/>
      <c r="R48" s="127"/>
      <c r="S48" s="127"/>
      <c r="T48" s="127"/>
      <c r="U48" s="127"/>
      <c r="V48" s="127"/>
      <c r="W48" s="127"/>
      <c r="X48" s="127"/>
      <c r="Y48" s="127"/>
      <c r="Z48" s="127"/>
      <c r="AA48" s="127"/>
      <c r="AB48" s="127"/>
      <c r="AC48" s="127"/>
      <c r="AD48" s="127"/>
      <c r="AE48" s="127"/>
      <c r="AF48" s="127"/>
      <c r="AG48" s="127"/>
      <c r="AH48" s="127"/>
      <c r="AI48" s="127"/>
      <c r="AJ48" s="127"/>
      <c r="AK48" s="127"/>
      <c r="AL48" s="127"/>
      <c r="AM48" s="127"/>
      <c r="AN48" s="127"/>
      <c r="AO48" s="127"/>
      <c r="AP48" s="127"/>
      <c r="AQ48" s="127"/>
      <c r="AR48" s="127"/>
      <c r="AS48" s="127"/>
      <c r="AT48" s="173"/>
      <c r="AU48" s="173"/>
      <c r="AV48" s="173"/>
      <c r="AW48" s="127"/>
      <c r="AX48" s="127"/>
      <c r="AY48" s="127"/>
      <c r="AZ48" s="127"/>
      <c r="BA48" s="127"/>
      <c r="BB48" s="127"/>
      <c r="BC48" s="127"/>
      <c r="BD48" s="127"/>
      <c r="BE48" s="127"/>
      <c r="BF48" s="127"/>
      <c r="BG48" s="127"/>
      <c r="BH48" s="175"/>
      <c r="BI48" s="127"/>
      <c r="BJ48" s="175"/>
      <c r="BK48" s="127"/>
      <c r="BL48" s="175"/>
      <c r="BM48" s="127"/>
      <c r="BN48" s="127"/>
      <c r="BO48" s="127"/>
      <c r="BP48" s="127"/>
      <c r="BQ48" s="127"/>
      <c r="BR48" s="127"/>
      <c r="BS48" s="127"/>
      <c r="BT48" s="127"/>
      <c r="BU48" s="127"/>
      <c r="BV48" s="127"/>
      <c r="BW48" s="127"/>
      <c r="BX48" s="127"/>
      <c r="BY48" s="127"/>
      <c r="BZ48" s="127"/>
      <c r="CA48" s="127"/>
      <c r="CB48" s="127"/>
      <c r="CC48" s="127"/>
      <c r="CD48" s="127"/>
      <c r="CE48" s="127"/>
      <c r="CF48" s="127"/>
      <c r="CG48" s="127"/>
      <c r="CH48" s="127"/>
      <c r="CI48" s="127"/>
      <c r="CJ48" s="127"/>
      <c r="CK48" s="127"/>
      <c r="CL48" s="174"/>
      <c r="CM48" s="127"/>
      <c r="CN48" s="173"/>
      <c r="CO48" s="127"/>
      <c r="CP48" s="127"/>
      <c r="CQ48" s="127"/>
      <c r="CR48" s="127"/>
      <c r="CS48" s="127"/>
      <c r="CT48" s="127"/>
      <c r="CU48" s="127"/>
      <c r="CV48" s="127"/>
      <c r="CW48" s="127"/>
      <c r="CX48" s="127"/>
      <c r="CY48" s="127"/>
      <c r="CZ48" s="127"/>
      <c r="DA48" s="173"/>
      <c r="DB48" s="174"/>
      <c r="DC48" s="127"/>
      <c r="DD48" s="127"/>
      <c r="DE48" s="127"/>
      <c r="DF48" s="127"/>
      <c r="DG48" s="127"/>
      <c r="DH48" s="127"/>
      <c r="DI48" s="127"/>
      <c r="DJ48" s="127"/>
      <c r="DK48" s="127"/>
      <c r="DL48" s="127"/>
      <c r="DM48" s="127"/>
      <c r="DN48" s="127"/>
      <c r="DO48" s="127"/>
      <c r="DP48" s="127"/>
      <c r="DQ48" s="173"/>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c r="EN48" s="127"/>
      <c r="EO48" s="127"/>
      <c r="EP48" s="127"/>
      <c r="EQ48" s="127"/>
      <c r="ER48" s="127"/>
      <c r="ES48" s="127"/>
      <c r="ET48" s="127"/>
      <c r="EU48" s="127"/>
      <c r="EV48" s="127"/>
      <c r="EW48" s="127"/>
      <c r="EX48" s="173"/>
      <c r="EY48" s="173"/>
      <c r="EZ48" s="173"/>
      <c r="FA48" s="173"/>
      <c r="FB48" s="173"/>
      <c r="FC48" s="173"/>
      <c r="FD48" s="173"/>
      <c r="FE48" s="173"/>
      <c r="FF48" s="173"/>
      <c r="FG48" s="173"/>
      <c r="FH48" s="127"/>
      <c r="FI48" s="127"/>
      <c r="FJ48" s="127"/>
      <c r="FK48" s="174"/>
      <c r="FL48" s="127"/>
      <c r="FM48" s="127"/>
      <c r="FN48" s="127"/>
      <c r="FO48" s="127"/>
      <c r="FP48" s="127"/>
      <c r="FQ48" s="127"/>
      <c r="FR48" s="127"/>
      <c r="FS48" s="127"/>
      <c r="FT48" s="127"/>
      <c r="FU48" s="127"/>
      <c r="FV48" s="127"/>
      <c r="FW48" s="127"/>
      <c r="FX48" s="127"/>
      <c r="FY48" s="127"/>
      <c r="FZ48" s="127"/>
      <c r="GA48" s="127"/>
      <c r="GB48" s="127"/>
      <c r="GC48" s="174"/>
      <c r="GD48" s="127"/>
      <c r="GE48" s="127"/>
      <c r="GF48" s="127"/>
      <c r="GG48" s="174"/>
      <c r="GH48" s="127"/>
      <c r="GI48" s="127"/>
      <c r="GJ48" s="127"/>
      <c r="GK48" s="174"/>
      <c r="GL48" s="127"/>
      <c r="GM48" s="127"/>
      <c r="GN48" s="127"/>
      <c r="GO48" s="127"/>
      <c r="GP48" s="127"/>
      <c r="GQ48" s="174"/>
      <c r="GR48" s="127"/>
      <c r="GS48" s="127"/>
      <c r="GT48" s="127"/>
      <c r="GU48" s="127"/>
      <c r="GV48" s="127"/>
      <c r="GW48" s="127"/>
      <c r="GX48" s="173"/>
      <c r="GY48" s="127"/>
      <c r="GZ48" s="127"/>
      <c r="HA48" s="174"/>
    </row>
    <row r="49" spans="1:209" s="58" customFormat="1" ht="18" customHeight="1">
      <c r="A49" s="127"/>
      <c r="B49" s="127"/>
      <c r="C49" s="127"/>
      <c r="D49" s="127"/>
      <c r="E49" s="127"/>
      <c r="G49" s="127"/>
      <c r="H49" s="127"/>
      <c r="I49" s="127"/>
      <c r="J49" s="127"/>
      <c r="K49" s="127"/>
      <c r="L49" s="127"/>
      <c r="M49" s="127"/>
      <c r="N49" s="127"/>
      <c r="O49" s="127"/>
      <c r="P49" s="127"/>
      <c r="Q49" s="127"/>
      <c r="R49" s="127"/>
      <c r="S49" s="127"/>
      <c r="T49" s="127"/>
      <c r="U49" s="127"/>
      <c r="V49" s="127"/>
      <c r="W49" s="127"/>
      <c r="X49" s="127"/>
      <c r="Y49" s="127"/>
      <c r="Z49" s="127"/>
      <c r="AA49" s="127"/>
      <c r="AB49" s="127"/>
      <c r="AC49" s="127"/>
      <c r="AD49" s="127"/>
      <c r="AE49" s="127"/>
      <c r="AF49" s="127"/>
      <c r="AG49" s="127"/>
      <c r="AH49" s="127"/>
      <c r="AI49" s="127"/>
      <c r="AJ49" s="127"/>
      <c r="AK49" s="127"/>
      <c r="AL49" s="127"/>
      <c r="AM49" s="127"/>
      <c r="AN49" s="127"/>
      <c r="AO49" s="127"/>
      <c r="AP49" s="127"/>
      <c r="AQ49" s="127"/>
      <c r="AR49" s="127"/>
      <c r="AS49" s="127"/>
      <c r="AT49" s="173"/>
      <c r="AU49" s="173"/>
      <c r="AV49" s="173"/>
      <c r="AW49" s="127"/>
      <c r="AX49" s="127"/>
      <c r="AY49" s="127"/>
      <c r="AZ49" s="127"/>
      <c r="BA49" s="127"/>
      <c r="BB49" s="127"/>
      <c r="BC49" s="127"/>
      <c r="BD49" s="127"/>
      <c r="BE49" s="127"/>
      <c r="BF49" s="127"/>
      <c r="BG49" s="127"/>
      <c r="BH49" s="175"/>
      <c r="BI49" s="127"/>
      <c r="BJ49" s="175"/>
      <c r="BK49" s="127"/>
      <c r="BL49" s="175"/>
      <c r="BM49" s="127"/>
      <c r="BN49" s="127"/>
      <c r="BO49" s="127"/>
      <c r="BP49" s="127"/>
      <c r="BQ49" s="127"/>
      <c r="BR49" s="127"/>
      <c r="BS49" s="127"/>
      <c r="BT49" s="127"/>
      <c r="BU49" s="127"/>
      <c r="BV49" s="127"/>
      <c r="BW49" s="127"/>
      <c r="BX49" s="127"/>
      <c r="BY49" s="127"/>
      <c r="BZ49" s="127"/>
      <c r="CA49" s="127"/>
      <c r="CB49" s="127"/>
      <c r="CC49" s="127"/>
      <c r="CD49" s="127"/>
      <c r="CE49" s="127"/>
      <c r="CF49" s="127"/>
      <c r="CG49" s="127"/>
      <c r="CH49" s="127"/>
      <c r="CI49" s="127"/>
      <c r="CJ49" s="127"/>
      <c r="CK49" s="127"/>
      <c r="CL49" s="174"/>
      <c r="CM49" s="127"/>
      <c r="CN49" s="173"/>
      <c r="CO49" s="127"/>
      <c r="CP49" s="127"/>
      <c r="CQ49" s="127"/>
      <c r="CR49" s="127"/>
      <c r="CS49" s="127"/>
      <c r="CT49" s="127"/>
      <c r="CU49" s="127"/>
      <c r="CV49" s="127"/>
      <c r="CW49" s="127"/>
      <c r="CX49" s="127"/>
      <c r="CY49" s="127"/>
      <c r="CZ49" s="127"/>
      <c r="DA49" s="173"/>
      <c r="DB49" s="174"/>
      <c r="DC49" s="127"/>
      <c r="DD49" s="127"/>
      <c r="DE49" s="127"/>
      <c r="DF49" s="127"/>
      <c r="DG49" s="127"/>
      <c r="DH49" s="127"/>
      <c r="DI49" s="127"/>
      <c r="DJ49" s="127"/>
      <c r="DK49" s="127"/>
      <c r="DL49" s="127"/>
      <c r="DM49" s="127"/>
      <c r="DN49" s="127"/>
      <c r="DO49" s="127"/>
      <c r="DP49" s="127"/>
      <c r="DQ49" s="173"/>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c r="EN49" s="127"/>
      <c r="EO49" s="127"/>
      <c r="EP49" s="127"/>
      <c r="EQ49" s="127"/>
      <c r="ER49" s="127"/>
      <c r="ES49" s="127"/>
      <c r="ET49" s="127"/>
      <c r="EU49" s="127"/>
      <c r="EV49" s="127"/>
      <c r="EW49" s="127"/>
      <c r="EX49" s="173"/>
      <c r="EY49" s="173"/>
      <c r="EZ49" s="173"/>
      <c r="FA49" s="173"/>
      <c r="FB49" s="173"/>
      <c r="FC49" s="173"/>
      <c r="FD49" s="173"/>
      <c r="FE49" s="173"/>
      <c r="FF49" s="173"/>
      <c r="FG49" s="173"/>
      <c r="FH49" s="127"/>
      <c r="FI49" s="127"/>
      <c r="FJ49" s="127"/>
      <c r="FK49" s="174"/>
      <c r="FL49" s="127"/>
      <c r="FM49" s="127"/>
      <c r="FN49" s="127"/>
      <c r="FO49" s="127"/>
      <c r="FP49" s="127"/>
      <c r="FQ49" s="127"/>
      <c r="FR49" s="127"/>
      <c r="FS49" s="127"/>
      <c r="FT49" s="127"/>
      <c r="FU49" s="127"/>
      <c r="FV49" s="127"/>
      <c r="FW49" s="127"/>
      <c r="FX49" s="127"/>
      <c r="FY49" s="127"/>
      <c r="FZ49" s="127"/>
      <c r="GA49" s="127"/>
      <c r="GB49" s="127"/>
      <c r="GC49" s="174"/>
      <c r="GD49" s="127"/>
      <c r="GE49" s="127"/>
      <c r="GF49" s="127"/>
      <c r="GG49" s="174"/>
      <c r="GH49" s="127"/>
      <c r="GI49" s="127"/>
      <c r="GJ49" s="127"/>
      <c r="GK49" s="174"/>
      <c r="GL49" s="127"/>
      <c r="GM49" s="127"/>
      <c r="GN49" s="127"/>
      <c r="GO49" s="127"/>
      <c r="GP49" s="127"/>
      <c r="GQ49" s="174"/>
      <c r="GR49" s="127"/>
      <c r="GS49" s="127"/>
      <c r="GT49" s="127"/>
      <c r="GU49" s="127"/>
      <c r="GV49" s="127"/>
      <c r="GW49" s="127"/>
      <c r="GX49" s="173"/>
      <c r="GY49" s="127"/>
      <c r="GZ49" s="127"/>
      <c r="HA49" s="174"/>
    </row>
    <row r="50" spans="1:209" s="58" customFormat="1" ht="18" customHeight="1">
      <c r="A50" s="127"/>
      <c r="B50" s="127"/>
      <c r="C50" s="127"/>
      <c r="D50" s="127"/>
      <c r="E50" s="127"/>
      <c r="G50" s="127"/>
      <c r="H50" s="127"/>
      <c r="I50" s="127"/>
      <c r="J50" s="127"/>
      <c r="K50" s="127"/>
      <c r="L50" s="127"/>
      <c r="M50" s="127"/>
      <c r="N50" s="127"/>
      <c r="O50" s="127"/>
      <c r="P50" s="127"/>
      <c r="Q50" s="127"/>
      <c r="R50" s="127"/>
      <c r="S50" s="127"/>
      <c r="T50" s="127"/>
      <c r="U50" s="127"/>
      <c r="V50" s="127"/>
      <c r="W50" s="127"/>
      <c r="X50" s="127"/>
      <c r="Y50" s="127"/>
      <c r="Z50" s="127"/>
      <c r="AA50" s="127"/>
      <c r="AB50" s="127"/>
      <c r="AC50" s="127"/>
      <c r="AD50" s="127"/>
      <c r="AE50" s="127"/>
      <c r="AF50" s="127"/>
      <c r="AG50" s="127"/>
      <c r="AH50" s="127"/>
      <c r="AI50" s="127"/>
      <c r="AJ50" s="127"/>
      <c r="AK50" s="127"/>
      <c r="AL50" s="127"/>
      <c r="AM50" s="127"/>
      <c r="AN50" s="127"/>
      <c r="AO50" s="127"/>
      <c r="AP50" s="127"/>
      <c r="AQ50" s="127"/>
      <c r="AR50" s="127"/>
      <c r="AS50" s="127"/>
      <c r="AT50" s="173"/>
      <c r="AU50" s="173"/>
      <c r="AV50" s="173"/>
      <c r="AW50" s="127"/>
      <c r="AX50" s="127"/>
      <c r="AY50" s="127"/>
      <c r="AZ50" s="127"/>
      <c r="BA50" s="127"/>
      <c r="BB50" s="127"/>
      <c r="BC50" s="127"/>
      <c r="BD50" s="127"/>
      <c r="BE50" s="127"/>
      <c r="BF50" s="127"/>
      <c r="BG50" s="127"/>
      <c r="BH50" s="175"/>
      <c r="BI50" s="127"/>
      <c r="BJ50" s="175"/>
      <c r="BK50" s="127"/>
      <c r="BL50" s="175"/>
      <c r="BM50" s="127"/>
      <c r="BN50" s="127"/>
      <c r="BO50" s="127"/>
      <c r="BP50" s="127"/>
      <c r="BQ50" s="127"/>
      <c r="BR50" s="127"/>
      <c r="BS50" s="127"/>
      <c r="BT50" s="127"/>
      <c r="BU50" s="127"/>
      <c r="BV50" s="127"/>
      <c r="BW50" s="127"/>
      <c r="BX50" s="127"/>
      <c r="BY50" s="127"/>
      <c r="BZ50" s="127"/>
      <c r="CA50" s="127"/>
      <c r="CB50" s="127"/>
      <c r="CC50" s="127"/>
      <c r="CD50" s="127"/>
      <c r="CE50" s="127"/>
      <c r="CF50" s="127"/>
      <c r="CG50" s="127"/>
      <c r="CH50" s="127"/>
      <c r="CI50" s="127"/>
      <c r="CJ50" s="127"/>
      <c r="CK50" s="127"/>
      <c r="CL50" s="174"/>
      <c r="CM50" s="127"/>
      <c r="CN50" s="173"/>
      <c r="CO50" s="127"/>
      <c r="CP50" s="127"/>
      <c r="CQ50" s="127"/>
      <c r="CR50" s="127"/>
      <c r="CS50" s="127"/>
      <c r="CT50" s="127"/>
      <c r="CU50" s="127"/>
      <c r="CV50" s="127"/>
      <c r="CW50" s="127"/>
      <c r="CX50" s="127"/>
      <c r="CY50" s="127"/>
      <c r="CZ50" s="127"/>
      <c r="DA50" s="173"/>
      <c r="DB50" s="174"/>
      <c r="DC50" s="127"/>
      <c r="DD50" s="127"/>
      <c r="DE50" s="127"/>
      <c r="DF50" s="127"/>
      <c r="DG50" s="127"/>
      <c r="DH50" s="127"/>
      <c r="DI50" s="127"/>
      <c r="DJ50" s="127"/>
      <c r="DK50" s="127"/>
      <c r="DL50" s="127"/>
      <c r="DM50" s="127"/>
      <c r="DN50" s="127"/>
      <c r="DO50" s="127"/>
      <c r="DP50" s="127"/>
      <c r="DQ50" s="173"/>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c r="EN50" s="127"/>
      <c r="EO50" s="127"/>
      <c r="EP50" s="127"/>
      <c r="EQ50" s="127"/>
      <c r="ER50" s="127"/>
      <c r="ES50" s="127"/>
      <c r="ET50" s="127"/>
      <c r="EU50" s="127"/>
      <c r="EV50" s="127"/>
      <c r="EW50" s="127"/>
      <c r="EX50" s="173"/>
      <c r="EY50" s="173"/>
      <c r="EZ50" s="173"/>
      <c r="FA50" s="173"/>
      <c r="FB50" s="173"/>
      <c r="FC50" s="173"/>
      <c r="FD50" s="173"/>
      <c r="FE50" s="173"/>
      <c r="FF50" s="173"/>
      <c r="FG50" s="173"/>
      <c r="FH50" s="127"/>
      <c r="FI50" s="127"/>
      <c r="FJ50" s="127"/>
      <c r="FK50" s="174"/>
      <c r="FL50" s="127"/>
      <c r="FM50" s="127"/>
      <c r="FN50" s="127"/>
      <c r="FO50" s="127"/>
      <c r="FP50" s="127"/>
      <c r="FQ50" s="127"/>
      <c r="FR50" s="127"/>
      <c r="FS50" s="127"/>
      <c r="FT50" s="127"/>
      <c r="FU50" s="127"/>
      <c r="FV50" s="127"/>
      <c r="FW50" s="127"/>
      <c r="FX50" s="127"/>
      <c r="FY50" s="127"/>
      <c r="FZ50" s="127"/>
      <c r="GA50" s="127"/>
      <c r="GB50" s="127"/>
      <c r="GC50" s="174"/>
      <c r="GD50" s="127"/>
      <c r="GE50" s="127"/>
      <c r="GF50" s="127"/>
      <c r="GG50" s="174"/>
      <c r="GH50" s="127"/>
      <c r="GI50" s="127"/>
      <c r="GJ50" s="127"/>
      <c r="GK50" s="174"/>
      <c r="GL50" s="127"/>
      <c r="GM50" s="127"/>
      <c r="GN50" s="127"/>
      <c r="GO50" s="127"/>
      <c r="GP50" s="127"/>
      <c r="GQ50" s="174"/>
      <c r="GR50" s="127"/>
      <c r="GS50" s="127"/>
      <c r="GT50" s="127"/>
      <c r="GU50" s="127"/>
      <c r="GV50" s="127"/>
      <c r="GW50" s="127"/>
      <c r="GX50" s="173"/>
      <c r="GY50" s="127"/>
      <c r="GZ50" s="127"/>
      <c r="HA50" s="174"/>
    </row>
    <row r="51" spans="1:209" s="58" customFormat="1" ht="18" customHeight="1">
      <c r="A51" s="127"/>
      <c r="B51" s="127"/>
      <c r="C51" s="127"/>
      <c r="D51" s="127"/>
      <c r="E51" s="127"/>
      <c r="G51" s="127"/>
      <c r="H51" s="127"/>
      <c r="I51" s="127"/>
      <c r="J51" s="127"/>
      <c r="K51" s="127"/>
      <c r="L51" s="127"/>
      <c r="M51" s="127"/>
      <c r="N51" s="127"/>
      <c r="O51" s="127"/>
      <c r="P51" s="127"/>
      <c r="Q51" s="127"/>
      <c r="R51" s="127"/>
      <c r="S51" s="127"/>
      <c r="T51" s="127"/>
      <c r="U51" s="127"/>
      <c r="V51" s="127"/>
      <c r="W51" s="127"/>
      <c r="X51" s="127"/>
      <c r="Y51" s="127"/>
      <c r="Z51" s="127"/>
      <c r="AA51" s="127"/>
      <c r="AB51" s="127"/>
      <c r="AC51" s="127"/>
      <c r="AD51" s="127"/>
      <c r="AE51" s="127"/>
      <c r="AF51" s="127"/>
      <c r="AG51" s="127"/>
      <c r="AH51" s="127"/>
      <c r="AI51" s="127"/>
      <c r="AJ51" s="127"/>
      <c r="AK51" s="127"/>
      <c r="AL51" s="127"/>
      <c r="AM51" s="127"/>
      <c r="AN51" s="127"/>
      <c r="AO51" s="127"/>
      <c r="AP51" s="127"/>
      <c r="AQ51" s="127"/>
      <c r="AR51" s="127"/>
      <c r="AS51" s="127"/>
      <c r="AT51" s="173"/>
      <c r="AU51" s="173"/>
      <c r="AV51" s="173"/>
      <c r="AW51" s="127"/>
      <c r="AX51" s="127"/>
      <c r="AY51" s="127"/>
      <c r="AZ51" s="127"/>
      <c r="BA51" s="127"/>
      <c r="BB51" s="127"/>
      <c r="BC51" s="127"/>
      <c r="BD51" s="127"/>
      <c r="BE51" s="127"/>
      <c r="BF51" s="127"/>
      <c r="BG51" s="127"/>
      <c r="BH51" s="175"/>
      <c r="BI51" s="127"/>
      <c r="BJ51" s="175"/>
      <c r="BK51" s="127"/>
      <c r="BL51" s="175"/>
      <c r="BM51" s="127"/>
      <c r="BN51" s="127"/>
      <c r="BO51" s="127"/>
      <c r="BP51" s="127"/>
      <c r="BQ51" s="127"/>
      <c r="BR51" s="127"/>
      <c r="BS51" s="127"/>
      <c r="BT51" s="127"/>
      <c r="BU51" s="127"/>
      <c r="BV51" s="127"/>
      <c r="BW51" s="127"/>
      <c r="BX51" s="127"/>
      <c r="BY51" s="127"/>
      <c r="BZ51" s="127"/>
      <c r="CA51" s="127"/>
      <c r="CB51" s="127"/>
      <c r="CC51" s="127"/>
      <c r="CD51" s="127"/>
      <c r="CE51" s="127"/>
      <c r="CF51" s="127"/>
      <c r="CG51" s="127"/>
      <c r="CH51" s="127"/>
      <c r="CI51" s="127"/>
      <c r="CJ51" s="127"/>
      <c r="CK51" s="127"/>
      <c r="CL51" s="174"/>
      <c r="CM51" s="127"/>
      <c r="CN51" s="173"/>
      <c r="CO51" s="127"/>
      <c r="CP51" s="127"/>
      <c r="CQ51" s="127"/>
      <c r="CR51" s="127"/>
      <c r="CS51" s="127"/>
      <c r="CT51" s="127"/>
      <c r="CU51" s="127"/>
      <c r="CV51" s="127"/>
      <c r="CW51" s="127"/>
      <c r="CX51" s="127"/>
      <c r="CY51" s="127"/>
      <c r="CZ51" s="127"/>
      <c r="DA51" s="173"/>
      <c r="DB51" s="174"/>
      <c r="DC51" s="127"/>
      <c r="DD51" s="127"/>
      <c r="DE51" s="127"/>
      <c r="DF51" s="127"/>
      <c r="DG51" s="127"/>
      <c r="DH51" s="127"/>
      <c r="DI51" s="127"/>
      <c r="DJ51" s="127"/>
      <c r="DK51" s="127"/>
      <c r="DL51" s="127"/>
      <c r="DM51" s="127"/>
      <c r="DN51" s="127"/>
      <c r="DO51" s="127"/>
      <c r="DP51" s="127"/>
      <c r="DQ51" s="173"/>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c r="EN51" s="127"/>
      <c r="EO51" s="127"/>
      <c r="EP51" s="127"/>
      <c r="EQ51" s="127"/>
      <c r="ER51" s="127"/>
      <c r="ES51" s="127"/>
      <c r="ET51" s="127"/>
      <c r="EU51" s="127"/>
      <c r="EV51" s="127"/>
      <c r="EW51" s="127"/>
      <c r="EX51" s="173"/>
      <c r="EY51" s="173"/>
      <c r="EZ51" s="173"/>
      <c r="FA51" s="173"/>
      <c r="FB51" s="173"/>
      <c r="FC51" s="173"/>
      <c r="FD51" s="173"/>
      <c r="FE51" s="173"/>
      <c r="FF51" s="173"/>
      <c r="FG51" s="173"/>
      <c r="FH51" s="127"/>
      <c r="FI51" s="127"/>
      <c r="FJ51" s="127"/>
      <c r="FK51" s="174"/>
      <c r="FL51" s="127"/>
      <c r="FM51" s="127"/>
      <c r="FN51" s="127"/>
      <c r="FO51" s="127"/>
      <c r="FP51" s="127"/>
      <c r="FQ51" s="127"/>
      <c r="FR51" s="127"/>
      <c r="FS51" s="127"/>
      <c r="FT51" s="127"/>
      <c r="FU51" s="127"/>
      <c r="FV51" s="127"/>
      <c r="FW51" s="127"/>
      <c r="FX51" s="127"/>
      <c r="FY51" s="127"/>
      <c r="FZ51" s="127"/>
      <c r="GA51" s="127"/>
      <c r="GB51" s="127"/>
      <c r="GC51" s="174"/>
      <c r="GD51" s="127"/>
      <c r="GE51" s="127"/>
      <c r="GF51" s="127"/>
      <c r="GG51" s="174"/>
      <c r="GH51" s="127"/>
      <c r="GI51" s="127"/>
      <c r="GJ51" s="127"/>
      <c r="GK51" s="174"/>
      <c r="GL51" s="127"/>
      <c r="GM51" s="127"/>
      <c r="GN51" s="127"/>
      <c r="GO51" s="127"/>
      <c r="GP51" s="127"/>
      <c r="GQ51" s="174"/>
      <c r="GR51" s="127"/>
      <c r="GS51" s="127"/>
      <c r="GT51" s="127"/>
      <c r="GU51" s="127"/>
      <c r="GV51" s="127"/>
      <c r="GW51" s="127"/>
      <c r="GX51" s="173"/>
      <c r="GY51" s="127"/>
      <c r="GZ51" s="127"/>
      <c r="HA51" s="174"/>
    </row>
    <row r="52" spans="1:209" s="58" customFormat="1" ht="18" customHeight="1">
      <c r="A52" s="127"/>
      <c r="B52" s="127"/>
      <c r="C52" s="127"/>
      <c r="D52" s="127"/>
      <c r="E52" s="127"/>
      <c r="G52" s="127"/>
      <c r="H52" s="127"/>
      <c r="I52" s="127"/>
      <c r="J52" s="127"/>
      <c r="K52" s="127"/>
      <c r="L52" s="127"/>
      <c r="M52" s="127"/>
      <c r="N52" s="127"/>
      <c r="O52" s="127"/>
      <c r="P52" s="127"/>
      <c r="Q52" s="127"/>
      <c r="R52" s="127"/>
      <c r="S52" s="127"/>
      <c r="T52" s="127"/>
      <c r="U52" s="127"/>
      <c r="V52" s="127"/>
      <c r="W52" s="127"/>
      <c r="X52" s="127"/>
      <c r="Y52" s="127"/>
      <c r="Z52" s="127"/>
      <c r="AA52" s="127"/>
      <c r="AB52" s="127"/>
      <c r="AC52" s="127"/>
      <c r="AD52" s="127"/>
      <c r="AE52" s="127"/>
      <c r="AF52" s="127"/>
      <c r="AG52" s="127"/>
      <c r="AH52" s="127"/>
      <c r="AI52" s="127"/>
      <c r="AJ52" s="127"/>
      <c r="AK52" s="127"/>
      <c r="AL52" s="127"/>
      <c r="AM52" s="127"/>
      <c r="AN52" s="127"/>
      <c r="AO52" s="127"/>
      <c r="AP52" s="127"/>
      <c r="AQ52" s="127"/>
      <c r="AR52" s="127"/>
      <c r="AS52" s="127"/>
      <c r="AT52" s="173"/>
      <c r="AU52" s="173"/>
      <c r="AV52" s="173"/>
      <c r="AW52" s="127"/>
      <c r="AX52" s="127"/>
      <c r="AY52" s="127"/>
      <c r="AZ52" s="127"/>
      <c r="BA52" s="127"/>
      <c r="BB52" s="127"/>
      <c r="BC52" s="127"/>
      <c r="BD52" s="127"/>
      <c r="BE52" s="127"/>
      <c r="BF52" s="127"/>
      <c r="BG52" s="127"/>
      <c r="BH52" s="175"/>
      <c r="BI52" s="127"/>
      <c r="BJ52" s="175"/>
      <c r="BK52" s="127"/>
      <c r="BL52" s="175"/>
      <c r="BM52" s="127"/>
      <c r="BN52" s="127"/>
      <c r="BO52" s="127"/>
      <c r="BP52" s="127"/>
      <c r="BQ52" s="127"/>
      <c r="BR52" s="127"/>
      <c r="BS52" s="127"/>
      <c r="BT52" s="127"/>
      <c r="BU52" s="127"/>
      <c r="BV52" s="127"/>
      <c r="BW52" s="127"/>
      <c r="BX52" s="127"/>
      <c r="BY52" s="127"/>
      <c r="BZ52" s="127"/>
      <c r="CA52" s="127"/>
      <c r="CB52" s="127"/>
      <c r="CC52" s="127"/>
      <c r="CD52" s="127"/>
      <c r="CE52" s="127"/>
      <c r="CF52" s="127"/>
      <c r="CG52" s="127"/>
      <c r="CH52" s="127"/>
      <c r="CI52" s="127"/>
      <c r="CJ52" s="127"/>
      <c r="CK52" s="127"/>
      <c r="CL52" s="174"/>
      <c r="CM52" s="127"/>
      <c r="CN52" s="173"/>
      <c r="CO52" s="127"/>
      <c r="CP52" s="127"/>
      <c r="CQ52" s="127"/>
      <c r="CR52" s="127"/>
      <c r="CS52" s="127"/>
      <c r="CT52" s="127"/>
      <c r="CU52" s="127"/>
      <c r="CV52" s="127"/>
      <c r="CW52" s="127"/>
      <c r="CX52" s="127"/>
      <c r="CY52" s="127"/>
      <c r="CZ52" s="127"/>
      <c r="DA52" s="173"/>
      <c r="DB52" s="174"/>
      <c r="DC52" s="127"/>
      <c r="DD52" s="127"/>
      <c r="DE52" s="127"/>
      <c r="DF52" s="127"/>
      <c r="DG52" s="127"/>
      <c r="DH52" s="127"/>
      <c r="DI52" s="127"/>
      <c r="DJ52" s="127"/>
      <c r="DK52" s="127"/>
      <c r="DL52" s="127"/>
      <c r="DM52" s="127"/>
      <c r="DN52" s="127"/>
      <c r="DO52" s="127"/>
      <c r="DP52" s="127"/>
      <c r="DQ52" s="173"/>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c r="EN52" s="127"/>
      <c r="EO52" s="127"/>
      <c r="EP52" s="127"/>
      <c r="EQ52" s="127"/>
      <c r="ER52" s="127"/>
      <c r="ES52" s="127"/>
      <c r="ET52" s="127"/>
      <c r="EU52" s="127"/>
      <c r="EV52" s="127"/>
      <c r="EW52" s="127"/>
      <c r="EX52" s="173"/>
      <c r="EY52" s="173"/>
      <c r="EZ52" s="173"/>
      <c r="FA52" s="173"/>
      <c r="FB52" s="173"/>
      <c r="FC52" s="173"/>
      <c r="FD52" s="173"/>
      <c r="FE52" s="173"/>
      <c r="FF52" s="173"/>
      <c r="FG52" s="173"/>
      <c r="FH52" s="127"/>
      <c r="FI52" s="127"/>
      <c r="FJ52" s="127"/>
      <c r="FK52" s="174"/>
      <c r="FL52" s="127"/>
      <c r="FM52" s="127"/>
      <c r="FN52" s="127"/>
      <c r="FO52" s="127"/>
      <c r="FP52" s="127"/>
      <c r="FQ52" s="127"/>
      <c r="FR52" s="127"/>
      <c r="FS52" s="127"/>
      <c r="FT52" s="127"/>
      <c r="FU52" s="127"/>
      <c r="FV52" s="127"/>
      <c r="FW52" s="127"/>
      <c r="FX52" s="127"/>
      <c r="FY52" s="127"/>
      <c r="FZ52" s="127"/>
      <c r="GA52" s="127"/>
      <c r="GB52" s="127"/>
      <c r="GC52" s="174"/>
      <c r="GD52" s="127"/>
      <c r="GE52" s="127"/>
      <c r="GF52" s="127"/>
      <c r="GG52" s="174"/>
      <c r="GH52" s="127"/>
      <c r="GI52" s="127"/>
      <c r="GJ52" s="127"/>
      <c r="GK52" s="174"/>
      <c r="GL52" s="127"/>
      <c r="GM52" s="127"/>
      <c r="GN52" s="127"/>
      <c r="GO52" s="127"/>
      <c r="GP52" s="127"/>
      <c r="GQ52" s="174"/>
      <c r="GR52" s="127"/>
      <c r="GS52" s="127"/>
      <c r="GT52" s="127"/>
      <c r="GU52" s="127"/>
      <c r="GV52" s="127"/>
      <c r="GW52" s="127"/>
      <c r="GX52" s="173"/>
      <c r="GY52" s="127"/>
      <c r="GZ52" s="127"/>
      <c r="HA52" s="174"/>
    </row>
    <row r="53" spans="1:209" s="58" customFormat="1" ht="18" customHeight="1">
      <c r="A53" s="127"/>
      <c r="B53" s="127"/>
      <c r="C53" s="127"/>
      <c r="D53" s="127"/>
      <c r="E53" s="127"/>
      <c r="G53" s="127"/>
      <c r="H53" s="127"/>
      <c r="I53" s="127"/>
      <c r="J53" s="127"/>
      <c r="K53" s="127"/>
      <c r="L53" s="127"/>
      <c r="M53" s="127"/>
      <c r="N53" s="127"/>
      <c r="O53" s="127"/>
      <c r="P53" s="127"/>
      <c r="Q53" s="127"/>
      <c r="R53" s="127"/>
      <c r="S53" s="127"/>
      <c r="T53" s="127"/>
      <c r="U53" s="127"/>
      <c r="V53" s="127"/>
      <c r="W53" s="127"/>
      <c r="X53" s="127"/>
      <c r="Y53" s="127"/>
      <c r="Z53" s="127"/>
      <c r="AA53" s="127"/>
      <c r="AB53" s="127"/>
      <c r="AC53" s="127"/>
      <c r="AD53" s="127"/>
      <c r="AE53" s="127"/>
      <c r="AF53" s="127"/>
      <c r="AG53" s="127"/>
      <c r="AH53" s="127"/>
      <c r="AI53" s="127"/>
      <c r="AJ53" s="127"/>
      <c r="AK53" s="127"/>
      <c r="AL53" s="127"/>
      <c r="AM53" s="127"/>
      <c r="AN53" s="127"/>
      <c r="AO53" s="127"/>
      <c r="AP53" s="127"/>
      <c r="AQ53" s="127"/>
      <c r="AR53" s="127"/>
      <c r="AS53" s="127"/>
      <c r="AT53" s="173"/>
      <c r="AU53" s="173"/>
      <c r="AV53" s="173"/>
      <c r="AW53" s="127"/>
      <c r="AX53" s="127"/>
      <c r="AY53" s="127"/>
      <c r="AZ53" s="127"/>
      <c r="BA53" s="127"/>
      <c r="BB53" s="127"/>
      <c r="BC53" s="127"/>
      <c r="BD53" s="127"/>
      <c r="BE53" s="127"/>
      <c r="BF53" s="127"/>
      <c r="BG53" s="127"/>
      <c r="BH53" s="175"/>
      <c r="BI53" s="127"/>
      <c r="BJ53" s="175"/>
      <c r="BK53" s="127"/>
      <c r="BL53" s="175"/>
      <c r="BM53" s="127"/>
      <c r="BN53" s="127"/>
      <c r="BO53" s="127"/>
      <c r="BP53" s="127"/>
      <c r="BQ53" s="127"/>
      <c r="BR53" s="127"/>
      <c r="BS53" s="127"/>
      <c r="BT53" s="127"/>
      <c r="BU53" s="127"/>
      <c r="BV53" s="127"/>
      <c r="BW53" s="127"/>
      <c r="BX53" s="127"/>
      <c r="BY53" s="127"/>
      <c r="BZ53" s="127"/>
      <c r="CA53" s="127"/>
      <c r="CB53" s="127"/>
      <c r="CC53" s="127"/>
      <c r="CD53" s="127"/>
      <c r="CE53" s="127"/>
      <c r="CF53" s="127"/>
      <c r="CG53" s="127"/>
      <c r="CH53" s="127"/>
      <c r="CI53" s="127"/>
      <c r="CJ53" s="127"/>
      <c r="CK53" s="127"/>
      <c r="CL53" s="174"/>
      <c r="CM53" s="127"/>
      <c r="CN53" s="173"/>
      <c r="CO53" s="127"/>
      <c r="CP53" s="127"/>
      <c r="CQ53" s="127"/>
      <c r="CR53" s="127"/>
      <c r="CS53" s="127"/>
      <c r="CT53" s="127"/>
      <c r="CU53" s="127"/>
      <c r="CV53" s="127"/>
      <c r="CW53" s="127"/>
      <c r="CX53" s="127"/>
      <c r="CY53" s="127"/>
      <c r="CZ53" s="127"/>
      <c r="DA53" s="173"/>
      <c r="DB53" s="174"/>
      <c r="DC53" s="127"/>
      <c r="DD53" s="127"/>
      <c r="DE53" s="127"/>
      <c r="DF53" s="127"/>
      <c r="DG53" s="127"/>
      <c r="DH53" s="127"/>
      <c r="DI53" s="127"/>
      <c r="DJ53" s="127"/>
      <c r="DK53" s="127"/>
      <c r="DL53" s="127"/>
      <c r="DM53" s="127"/>
      <c r="DN53" s="127"/>
      <c r="DO53" s="127"/>
      <c r="DP53" s="127"/>
      <c r="DQ53" s="173"/>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c r="EN53" s="127"/>
      <c r="EO53" s="127"/>
      <c r="EP53" s="127"/>
      <c r="EQ53" s="127"/>
      <c r="ER53" s="127"/>
      <c r="ES53" s="127"/>
      <c r="ET53" s="127"/>
      <c r="EU53" s="127"/>
      <c r="EV53" s="127"/>
      <c r="EW53" s="127"/>
      <c r="EX53" s="173"/>
      <c r="EY53" s="173"/>
      <c r="EZ53" s="173"/>
      <c r="FA53" s="173"/>
      <c r="FB53" s="173"/>
      <c r="FC53" s="173"/>
      <c r="FD53" s="173"/>
      <c r="FE53" s="173"/>
      <c r="FF53" s="173"/>
      <c r="FG53" s="173"/>
      <c r="FH53" s="127"/>
      <c r="FI53" s="127"/>
      <c r="FJ53" s="127"/>
      <c r="FK53" s="174"/>
      <c r="FL53" s="127"/>
      <c r="FM53" s="127"/>
      <c r="FN53" s="127"/>
      <c r="FO53" s="127"/>
      <c r="FP53" s="127"/>
      <c r="FQ53" s="127"/>
      <c r="FR53" s="127"/>
      <c r="FS53" s="127"/>
      <c r="FT53" s="127"/>
      <c r="FU53" s="127"/>
      <c r="FV53" s="127"/>
      <c r="FW53" s="127"/>
      <c r="FX53" s="127"/>
      <c r="FY53" s="127"/>
      <c r="FZ53" s="127"/>
      <c r="GA53" s="127"/>
      <c r="GB53" s="127"/>
      <c r="GC53" s="174"/>
      <c r="GD53" s="127"/>
      <c r="GE53" s="127"/>
      <c r="GF53" s="127"/>
      <c r="GG53" s="174"/>
      <c r="GH53" s="127"/>
      <c r="GI53" s="127"/>
      <c r="GJ53" s="127"/>
      <c r="GK53" s="174"/>
      <c r="GL53" s="127"/>
      <c r="GM53" s="127"/>
      <c r="GN53" s="127"/>
      <c r="GO53" s="127"/>
      <c r="GP53" s="127"/>
      <c r="GQ53" s="174"/>
      <c r="GR53" s="127"/>
      <c r="GS53" s="127"/>
      <c r="GT53" s="127"/>
      <c r="GU53" s="127"/>
      <c r="GV53" s="127"/>
      <c r="GW53" s="127"/>
      <c r="GX53" s="173"/>
      <c r="GY53" s="127"/>
      <c r="GZ53" s="127"/>
      <c r="HA53" s="174"/>
    </row>
    <row r="54" spans="1:209" s="58" customFormat="1" ht="18" customHeight="1">
      <c r="A54" s="127"/>
      <c r="B54" s="127"/>
      <c r="C54" s="127"/>
      <c r="D54" s="127"/>
      <c r="E54" s="127"/>
      <c r="G54" s="127"/>
      <c r="H54" s="127"/>
      <c r="I54" s="127"/>
      <c r="J54" s="127"/>
      <c r="K54" s="127"/>
      <c r="L54" s="127"/>
      <c r="M54" s="127"/>
      <c r="N54" s="127"/>
      <c r="O54" s="127"/>
      <c r="P54" s="127"/>
      <c r="Q54" s="127"/>
      <c r="R54" s="127"/>
      <c r="S54" s="127"/>
      <c r="T54" s="127"/>
      <c r="U54" s="127"/>
      <c r="V54" s="127"/>
      <c r="W54" s="127"/>
      <c r="X54" s="127"/>
      <c r="Y54" s="127"/>
      <c r="Z54" s="127"/>
      <c r="AA54" s="127"/>
      <c r="AB54" s="127"/>
      <c r="AC54" s="127"/>
      <c r="AD54" s="127"/>
      <c r="AE54" s="127"/>
      <c r="AF54" s="127"/>
      <c r="AG54" s="127"/>
      <c r="AH54" s="127"/>
      <c r="AI54" s="127"/>
      <c r="AJ54" s="127"/>
      <c r="AK54" s="127"/>
      <c r="AL54" s="127"/>
      <c r="AM54" s="127"/>
      <c r="AN54" s="127"/>
      <c r="AO54" s="127"/>
      <c r="AP54" s="127"/>
      <c r="AQ54" s="127"/>
      <c r="AR54" s="127"/>
      <c r="AS54" s="127"/>
      <c r="AT54" s="173"/>
      <c r="AU54" s="173"/>
      <c r="AV54" s="173"/>
      <c r="AW54" s="127"/>
      <c r="AX54" s="127"/>
      <c r="AY54" s="127"/>
      <c r="AZ54" s="127"/>
      <c r="BA54" s="127"/>
      <c r="BB54" s="127"/>
      <c r="BC54" s="127"/>
      <c r="BD54" s="127"/>
      <c r="BE54" s="127"/>
      <c r="BF54" s="127"/>
      <c r="BG54" s="127"/>
      <c r="BH54" s="175"/>
      <c r="BI54" s="127"/>
      <c r="BJ54" s="175"/>
      <c r="BK54" s="127"/>
      <c r="BL54" s="175"/>
      <c r="BM54" s="127"/>
      <c r="BN54" s="127"/>
      <c r="BO54" s="127"/>
      <c r="BP54" s="127"/>
      <c r="BQ54" s="127"/>
      <c r="BR54" s="127"/>
      <c r="BS54" s="127"/>
      <c r="BT54" s="127"/>
      <c r="BU54" s="127"/>
      <c r="BV54" s="127"/>
      <c r="BW54" s="127"/>
      <c r="BX54" s="127"/>
      <c r="BY54" s="127"/>
      <c r="BZ54" s="127"/>
      <c r="CA54" s="127"/>
      <c r="CB54" s="127"/>
      <c r="CC54" s="127"/>
      <c r="CD54" s="127"/>
      <c r="CE54" s="127"/>
      <c r="CF54" s="127"/>
      <c r="CG54" s="127"/>
      <c r="CH54" s="127"/>
      <c r="CI54" s="127"/>
      <c r="CJ54" s="127"/>
      <c r="CK54" s="127"/>
      <c r="CL54" s="174"/>
      <c r="CM54" s="127"/>
      <c r="CN54" s="173"/>
      <c r="CO54" s="127"/>
      <c r="CP54" s="127"/>
      <c r="CQ54" s="127"/>
      <c r="CR54" s="127"/>
      <c r="CS54" s="127"/>
      <c r="CT54" s="127"/>
      <c r="CU54" s="127"/>
      <c r="CV54" s="127"/>
      <c r="CW54" s="127"/>
      <c r="CX54" s="127"/>
      <c r="CY54" s="127"/>
      <c r="CZ54" s="127"/>
      <c r="DA54" s="173"/>
      <c r="DB54" s="174"/>
      <c r="DC54" s="127"/>
      <c r="DD54" s="127"/>
      <c r="DE54" s="127"/>
      <c r="DF54" s="127"/>
      <c r="DG54" s="127"/>
      <c r="DH54" s="127"/>
      <c r="DI54" s="127"/>
      <c r="DJ54" s="127"/>
      <c r="DK54" s="127"/>
      <c r="DL54" s="127"/>
      <c r="DM54" s="127"/>
      <c r="DN54" s="127"/>
      <c r="DO54" s="127"/>
      <c r="DP54" s="127"/>
      <c r="DQ54" s="173"/>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c r="EN54" s="127"/>
      <c r="EO54" s="127"/>
      <c r="EP54" s="127"/>
      <c r="EQ54" s="127"/>
      <c r="ER54" s="127"/>
      <c r="ES54" s="127"/>
      <c r="ET54" s="127"/>
      <c r="EU54" s="127"/>
      <c r="EV54" s="127"/>
      <c r="EW54" s="127"/>
      <c r="EX54" s="173"/>
      <c r="EY54" s="173"/>
      <c r="EZ54" s="173"/>
      <c r="FA54" s="173"/>
      <c r="FB54" s="173"/>
      <c r="FC54" s="173"/>
      <c r="FD54" s="173"/>
      <c r="FE54" s="173"/>
      <c r="FF54" s="173"/>
      <c r="FG54" s="173"/>
      <c r="FH54" s="127"/>
      <c r="FI54" s="127"/>
      <c r="FJ54" s="127"/>
      <c r="FK54" s="174"/>
      <c r="FL54" s="127"/>
      <c r="FM54" s="127"/>
      <c r="FN54" s="127"/>
      <c r="FO54" s="127"/>
      <c r="FP54" s="127"/>
      <c r="FQ54" s="127"/>
      <c r="FR54" s="127"/>
      <c r="FS54" s="127"/>
      <c r="FT54" s="127"/>
      <c r="FU54" s="127"/>
      <c r="FV54" s="127"/>
      <c r="FW54" s="127"/>
      <c r="FX54" s="127"/>
      <c r="FY54" s="127"/>
      <c r="FZ54" s="127"/>
      <c r="GA54" s="127"/>
      <c r="GB54" s="127"/>
      <c r="GC54" s="174"/>
      <c r="GD54" s="127"/>
      <c r="GE54" s="127"/>
      <c r="GF54" s="127"/>
      <c r="GG54" s="174"/>
      <c r="GH54" s="127"/>
      <c r="GI54" s="127"/>
      <c r="GJ54" s="127"/>
      <c r="GK54" s="174"/>
      <c r="GL54" s="127"/>
      <c r="GM54" s="127"/>
      <c r="GN54" s="127"/>
      <c r="GO54" s="127"/>
      <c r="GP54" s="127"/>
      <c r="GQ54" s="174"/>
      <c r="GR54" s="127"/>
      <c r="GS54" s="127"/>
      <c r="GT54" s="127"/>
      <c r="GU54" s="127"/>
      <c r="GV54" s="127"/>
      <c r="GW54" s="127"/>
      <c r="GX54" s="173"/>
      <c r="GY54" s="127"/>
      <c r="GZ54" s="127"/>
      <c r="HA54" s="174"/>
    </row>
    <row r="55" spans="1:209" s="58" customFormat="1" ht="18" customHeight="1">
      <c r="A55" s="127"/>
      <c r="B55" s="127"/>
      <c r="C55" s="127"/>
      <c r="D55" s="127"/>
      <c r="E55" s="127"/>
      <c r="G55" s="127"/>
      <c r="H55" s="127"/>
      <c r="I55" s="127"/>
      <c r="J55" s="127"/>
      <c r="K55" s="127"/>
      <c r="L55" s="127"/>
      <c r="M55" s="127"/>
      <c r="N55" s="127"/>
      <c r="O55" s="127"/>
      <c r="P55" s="127"/>
      <c r="Q55" s="127"/>
      <c r="R55" s="127"/>
      <c r="S55" s="127"/>
      <c r="T55" s="127"/>
      <c r="U55" s="127"/>
      <c r="V55" s="127"/>
      <c r="W55" s="127"/>
      <c r="X55" s="127"/>
      <c r="Y55" s="127"/>
      <c r="Z55" s="127"/>
      <c r="AA55" s="127"/>
      <c r="AB55" s="127"/>
      <c r="AC55" s="127"/>
      <c r="AD55" s="127"/>
      <c r="AE55" s="127"/>
      <c r="AF55" s="127"/>
      <c r="AG55" s="127"/>
      <c r="AH55" s="127"/>
      <c r="AI55" s="127"/>
      <c r="AJ55" s="127"/>
      <c r="AK55" s="127"/>
      <c r="AL55" s="127"/>
      <c r="AM55" s="127"/>
      <c r="AN55" s="127"/>
      <c r="AO55" s="127"/>
      <c r="AP55" s="127"/>
      <c r="AQ55" s="127"/>
      <c r="AR55" s="127"/>
      <c r="AS55" s="127"/>
      <c r="AT55" s="173"/>
      <c r="AU55" s="173"/>
      <c r="AV55" s="173"/>
      <c r="AW55" s="127"/>
      <c r="AX55" s="127"/>
      <c r="AY55" s="127"/>
      <c r="AZ55" s="127"/>
      <c r="BA55" s="127"/>
      <c r="BB55" s="127"/>
      <c r="BC55" s="127"/>
      <c r="BD55" s="127"/>
      <c r="BE55" s="127"/>
      <c r="BF55" s="127"/>
      <c r="BG55" s="127"/>
      <c r="BH55" s="175"/>
      <c r="BI55" s="127"/>
      <c r="BJ55" s="175"/>
      <c r="BK55" s="127"/>
      <c r="BL55" s="175"/>
      <c r="BM55" s="127"/>
      <c r="BN55" s="127"/>
      <c r="BO55" s="127"/>
      <c r="BP55" s="127"/>
      <c r="BQ55" s="127"/>
      <c r="BR55" s="127"/>
      <c r="BS55" s="127"/>
      <c r="BT55" s="127"/>
      <c r="BU55" s="127"/>
      <c r="BV55" s="127"/>
      <c r="BW55" s="127"/>
      <c r="BX55" s="127"/>
      <c r="BY55" s="127"/>
      <c r="BZ55" s="127"/>
      <c r="CA55" s="127"/>
      <c r="CB55" s="127"/>
      <c r="CC55" s="127"/>
      <c r="CD55" s="127"/>
      <c r="CE55" s="127"/>
      <c r="CF55" s="127"/>
      <c r="CG55" s="127"/>
      <c r="CH55" s="127"/>
      <c r="CI55" s="127"/>
      <c r="CJ55" s="127"/>
      <c r="CK55" s="127"/>
      <c r="CL55" s="174"/>
      <c r="CM55" s="127"/>
      <c r="CN55" s="173"/>
      <c r="CO55" s="127"/>
      <c r="CP55" s="127"/>
      <c r="CQ55" s="127"/>
      <c r="CR55" s="127"/>
      <c r="CS55" s="127"/>
      <c r="CT55" s="127"/>
      <c r="CU55" s="127"/>
      <c r="CV55" s="127"/>
      <c r="CW55" s="127"/>
      <c r="CX55" s="127"/>
      <c r="CY55" s="127"/>
      <c r="CZ55" s="127"/>
      <c r="DA55" s="173"/>
      <c r="DB55" s="174"/>
      <c r="DC55" s="127"/>
      <c r="DD55" s="127"/>
      <c r="DE55" s="127"/>
      <c r="DF55" s="127"/>
      <c r="DG55" s="127"/>
      <c r="DH55" s="127"/>
      <c r="DI55" s="127"/>
      <c r="DJ55" s="127"/>
      <c r="DK55" s="127"/>
      <c r="DL55" s="127"/>
      <c r="DM55" s="127"/>
      <c r="DN55" s="127"/>
      <c r="DO55" s="127"/>
      <c r="DP55" s="127"/>
      <c r="DQ55" s="173"/>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c r="EN55" s="127"/>
      <c r="EO55" s="127"/>
      <c r="EP55" s="127"/>
      <c r="EQ55" s="127"/>
      <c r="ER55" s="127"/>
      <c r="ES55" s="127"/>
      <c r="ET55" s="127"/>
      <c r="EU55" s="127"/>
      <c r="EV55" s="127"/>
      <c r="EW55" s="127"/>
      <c r="EX55" s="173"/>
      <c r="EY55" s="173"/>
      <c r="EZ55" s="173"/>
      <c r="FA55" s="173"/>
      <c r="FB55" s="173"/>
      <c r="FC55" s="173"/>
      <c r="FD55" s="173"/>
      <c r="FE55" s="173"/>
      <c r="FF55" s="173"/>
      <c r="FG55" s="173"/>
      <c r="FH55" s="127"/>
      <c r="FI55" s="127"/>
      <c r="FJ55" s="127"/>
      <c r="FK55" s="174"/>
      <c r="FL55" s="127"/>
      <c r="FM55" s="127"/>
      <c r="FN55" s="127"/>
      <c r="FO55" s="127"/>
      <c r="FP55" s="127"/>
      <c r="FQ55" s="127"/>
      <c r="FR55" s="127"/>
      <c r="FS55" s="127"/>
      <c r="FT55" s="127"/>
      <c r="FU55" s="127"/>
      <c r="FV55" s="127"/>
      <c r="FW55" s="127"/>
      <c r="FX55" s="127"/>
      <c r="FY55" s="127"/>
      <c r="FZ55" s="127"/>
      <c r="GA55" s="127"/>
      <c r="GB55" s="127"/>
      <c r="GC55" s="174"/>
      <c r="GD55" s="127"/>
      <c r="GE55" s="127"/>
      <c r="GF55" s="127"/>
      <c r="GG55" s="174"/>
      <c r="GH55" s="127"/>
      <c r="GI55" s="127"/>
      <c r="GJ55" s="127"/>
      <c r="GK55" s="174"/>
      <c r="GL55" s="127"/>
      <c r="GM55" s="127"/>
      <c r="GN55" s="127"/>
      <c r="GO55" s="127"/>
      <c r="GP55" s="127"/>
      <c r="GQ55" s="174"/>
      <c r="GR55" s="127"/>
      <c r="GS55" s="127"/>
      <c r="GT55" s="127"/>
      <c r="GU55" s="127"/>
      <c r="GV55" s="127"/>
      <c r="GW55" s="127"/>
      <c r="GX55" s="173"/>
      <c r="GY55" s="127"/>
      <c r="GZ55" s="127"/>
      <c r="HA55" s="174"/>
    </row>
    <row r="56" spans="1:209" s="58" customFormat="1" ht="18" customHeight="1">
      <c r="A56" s="127"/>
      <c r="B56" s="127"/>
      <c r="C56" s="127"/>
      <c r="D56" s="127"/>
      <c r="E56" s="127"/>
      <c r="G56" s="127"/>
      <c r="H56" s="127"/>
      <c r="I56" s="127"/>
      <c r="J56" s="127"/>
      <c r="K56" s="127"/>
      <c r="L56" s="127"/>
      <c r="M56" s="127"/>
      <c r="N56" s="127"/>
      <c r="O56" s="127"/>
      <c r="P56" s="127"/>
      <c r="Q56" s="127"/>
      <c r="R56" s="127"/>
      <c r="S56" s="127"/>
      <c r="T56" s="127"/>
      <c r="U56" s="127"/>
      <c r="V56" s="127"/>
      <c r="W56" s="127"/>
      <c r="X56" s="127"/>
      <c r="Y56" s="127"/>
      <c r="Z56" s="127"/>
      <c r="AA56" s="127"/>
      <c r="AB56" s="127"/>
      <c r="AC56" s="127"/>
      <c r="AD56" s="127"/>
      <c r="AE56" s="127"/>
      <c r="AF56" s="127"/>
      <c r="AG56" s="127"/>
      <c r="AH56" s="127"/>
      <c r="AI56" s="127"/>
      <c r="AJ56" s="127"/>
      <c r="AK56" s="127"/>
      <c r="AL56" s="127"/>
      <c r="AM56" s="127"/>
      <c r="AN56" s="127"/>
      <c r="AO56" s="127"/>
      <c r="AP56" s="127"/>
      <c r="AQ56" s="127"/>
      <c r="AR56" s="127"/>
      <c r="AS56" s="127"/>
      <c r="AT56" s="173"/>
      <c r="AU56" s="173"/>
      <c r="AV56" s="173"/>
      <c r="AW56" s="127"/>
      <c r="AX56" s="127"/>
      <c r="AY56" s="127"/>
      <c r="AZ56" s="127"/>
      <c r="BA56" s="127"/>
      <c r="BB56" s="127"/>
      <c r="BC56" s="127"/>
      <c r="BD56" s="127"/>
      <c r="BE56" s="127"/>
      <c r="BF56" s="127"/>
      <c r="BG56" s="127"/>
      <c r="BH56" s="175"/>
      <c r="BI56" s="127"/>
      <c r="BJ56" s="175"/>
      <c r="BK56" s="127"/>
      <c r="BL56" s="175"/>
      <c r="BM56" s="127"/>
      <c r="BN56" s="127"/>
      <c r="BO56" s="127"/>
      <c r="BP56" s="127"/>
      <c r="BQ56" s="127"/>
      <c r="BR56" s="127"/>
      <c r="BS56" s="127"/>
      <c r="BT56" s="127"/>
      <c r="BU56" s="127"/>
      <c r="BV56" s="127"/>
      <c r="BW56" s="127"/>
      <c r="BX56" s="127"/>
      <c r="BY56" s="127"/>
      <c r="BZ56" s="127"/>
      <c r="CA56" s="127"/>
      <c r="CB56" s="127"/>
      <c r="CC56" s="127"/>
      <c r="CD56" s="127"/>
      <c r="CE56" s="127"/>
      <c r="CF56" s="127"/>
      <c r="CG56" s="127"/>
      <c r="CH56" s="127"/>
      <c r="CI56" s="127"/>
      <c r="CJ56" s="127"/>
      <c r="CK56" s="127"/>
      <c r="CL56" s="174"/>
      <c r="CM56" s="127"/>
      <c r="CN56" s="173"/>
      <c r="CO56" s="127"/>
      <c r="CP56" s="127"/>
      <c r="CQ56" s="127"/>
      <c r="CR56" s="127"/>
      <c r="CS56" s="127"/>
      <c r="CT56" s="127"/>
      <c r="CU56" s="127"/>
      <c r="CV56" s="127"/>
      <c r="CW56" s="127"/>
      <c r="CX56" s="127"/>
      <c r="CY56" s="127"/>
      <c r="CZ56" s="127"/>
      <c r="DA56" s="173"/>
      <c r="DB56" s="174"/>
      <c r="DC56" s="127"/>
      <c r="DD56" s="127"/>
      <c r="DE56" s="127"/>
      <c r="DF56" s="127"/>
      <c r="DG56" s="127"/>
      <c r="DH56" s="127"/>
      <c r="DI56" s="127"/>
      <c r="DJ56" s="127"/>
      <c r="DK56" s="127"/>
      <c r="DL56" s="127"/>
      <c r="DM56" s="127"/>
      <c r="DN56" s="127"/>
      <c r="DO56" s="127"/>
      <c r="DP56" s="127"/>
      <c r="DQ56" s="173"/>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c r="EN56" s="127"/>
      <c r="EO56" s="127"/>
      <c r="EP56" s="127"/>
      <c r="EQ56" s="127"/>
      <c r="ER56" s="127"/>
      <c r="ES56" s="127"/>
      <c r="ET56" s="127"/>
      <c r="EU56" s="127"/>
      <c r="EV56" s="127"/>
      <c r="EW56" s="127"/>
      <c r="EX56" s="173"/>
      <c r="EY56" s="173"/>
      <c r="EZ56" s="173"/>
      <c r="FA56" s="173"/>
      <c r="FB56" s="173"/>
      <c r="FC56" s="173"/>
      <c r="FD56" s="173"/>
      <c r="FE56" s="173"/>
      <c r="FF56" s="173"/>
      <c r="FG56" s="173"/>
      <c r="FH56" s="127"/>
      <c r="FI56" s="127"/>
      <c r="FJ56" s="127"/>
      <c r="FK56" s="174"/>
      <c r="FL56" s="127"/>
      <c r="FM56" s="127"/>
      <c r="FN56" s="127"/>
      <c r="FO56" s="127"/>
      <c r="FP56" s="127"/>
      <c r="FQ56" s="127"/>
      <c r="FR56" s="127"/>
      <c r="FS56" s="127"/>
      <c r="FT56" s="127"/>
      <c r="FU56" s="127"/>
      <c r="FV56" s="127"/>
      <c r="FW56" s="127"/>
      <c r="FX56" s="127"/>
      <c r="FY56" s="127"/>
      <c r="FZ56" s="127"/>
      <c r="GA56" s="127"/>
      <c r="GB56" s="127"/>
      <c r="GC56" s="174"/>
      <c r="GD56" s="127"/>
      <c r="GE56" s="127"/>
      <c r="GF56" s="127"/>
      <c r="GG56" s="174"/>
      <c r="GH56" s="127"/>
      <c r="GI56" s="127"/>
      <c r="GJ56" s="127"/>
      <c r="GK56" s="174"/>
      <c r="GL56" s="127"/>
      <c r="GM56" s="127"/>
      <c r="GN56" s="127"/>
      <c r="GO56" s="127"/>
      <c r="GP56" s="127"/>
      <c r="GQ56" s="174"/>
      <c r="GR56" s="127"/>
      <c r="GS56" s="127"/>
      <c r="GT56" s="127"/>
      <c r="GU56" s="127"/>
      <c r="GV56" s="127"/>
      <c r="GW56" s="127"/>
      <c r="GX56" s="173"/>
      <c r="GY56" s="127"/>
      <c r="GZ56" s="127"/>
      <c r="HA56" s="174"/>
    </row>
    <row r="57" spans="1:209" s="58" customFormat="1" ht="18" customHeight="1">
      <c r="A57" s="127"/>
      <c r="B57" s="127"/>
      <c r="C57" s="127"/>
      <c r="D57" s="127"/>
      <c r="E57" s="127"/>
      <c r="G57" s="127"/>
      <c r="H57" s="127"/>
      <c r="I57" s="127"/>
      <c r="J57" s="127"/>
      <c r="K57" s="127"/>
      <c r="L57" s="127"/>
      <c r="M57" s="127"/>
      <c r="N57" s="127"/>
      <c r="O57" s="127"/>
      <c r="P57" s="127"/>
      <c r="Q57" s="127"/>
      <c r="R57" s="127"/>
      <c r="S57" s="127"/>
      <c r="T57" s="127"/>
      <c r="U57" s="127"/>
      <c r="V57" s="127"/>
      <c r="W57" s="127"/>
      <c r="X57" s="127"/>
      <c r="Y57" s="127"/>
      <c r="Z57" s="127"/>
      <c r="AA57" s="127"/>
      <c r="AB57" s="127"/>
      <c r="AC57" s="127"/>
      <c r="AD57" s="127"/>
      <c r="AE57" s="127"/>
      <c r="AF57" s="127"/>
      <c r="AG57" s="127"/>
      <c r="AH57" s="127"/>
      <c r="AI57" s="127"/>
      <c r="AJ57" s="127"/>
      <c r="AK57" s="127"/>
      <c r="AL57" s="127"/>
      <c r="AM57" s="127"/>
      <c r="AN57" s="127"/>
      <c r="AO57" s="127"/>
      <c r="AP57" s="127"/>
      <c r="AQ57" s="127"/>
      <c r="AR57" s="127"/>
      <c r="AS57" s="127"/>
      <c r="AT57" s="173"/>
      <c r="AU57" s="173"/>
      <c r="AV57" s="173"/>
      <c r="AW57" s="127"/>
      <c r="AX57" s="127"/>
      <c r="AY57" s="127"/>
      <c r="AZ57" s="127"/>
      <c r="BA57" s="127"/>
      <c r="BB57" s="127"/>
      <c r="BC57" s="127"/>
      <c r="BD57" s="127"/>
      <c r="BE57" s="127"/>
      <c r="BF57" s="127"/>
      <c r="BG57" s="127"/>
      <c r="BH57" s="175"/>
      <c r="BI57" s="127"/>
      <c r="BJ57" s="175"/>
      <c r="BK57" s="127"/>
      <c r="BL57" s="175"/>
      <c r="BM57" s="127"/>
      <c r="BN57" s="127"/>
      <c r="BO57" s="127"/>
      <c r="BP57" s="127"/>
      <c r="BQ57" s="127"/>
      <c r="BR57" s="127"/>
      <c r="BS57" s="127"/>
      <c r="BT57" s="127"/>
      <c r="BU57" s="127"/>
      <c r="BV57" s="127"/>
      <c r="BW57" s="127"/>
      <c r="BX57" s="127"/>
      <c r="BY57" s="127"/>
      <c r="BZ57" s="127"/>
      <c r="CA57" s="127"/>
      <c r="CB57" s="127"/>
      <c r="CC57" s="127"/>
      <c r="CD57" s="127"/>
      <c r="CE57" s="127"/>
      <c r="CF57" s="127"/>
      <c r="CG57" s="127"/>
      <c r="CH57" s="127"/>
      <c r="CI57" s="127"/>
      <c r="CJ57" s="127"/>
      <c r="CK57" s="127"/>
      <c r="CL57" s="174"/>
      <c r="CM57" s="127"/>
      <c r="CN57" s="173"/>
      <c r="CO57" s="127"/>
      <c r="CP57" s="127"/>
      <c r="CQ57" s="127"/>
      <c r="CR57" s="127"/>
      <c r="CS57" s="127"/>
      <c r="CT57" s="127"/>
      <c r="CU57" s="127"/>
      <c r="CV57" s="127"/>
      <c r="CW57" s="127"/>
      <c r="CX57" s="127"/>
      <c r="CY57" s="127"/>
      <c r="CZ57" s="127"/>
      <c r="DA57" s="173"/>
      <c r="DB57" s="174"/>
      <c r="DC57" s="127"/>
      <c r="DD57" s="127"/>
      <c r="DE57" s="127"/>
      <c r="DF57" s="127"/>
      <c r="DG57" s="127"/>
      <c r="DH57" s="127"/>
      <c r="DI57" s="127"/>
      <c r="DJ57" s="127"/>
      <c r="DK57" s="127"/>
      <c r="DL57" s="127"/>
      <c r="DM57" s="127"/>
      <c r="DN57" s="127"/>
      <c r="DO57" s="127"/>
      <c r="DP57" s="127"/>
      <c r="DQ57" s="173"/>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c r="EN57" s="127"/>
      <c r="EO57" s="127"/>
      <c r="EP57" s="127"/>
      <c r="EQ57" s="127"/>
      <c r="ER57" s="127"/>
      <c r="ES57" s="127"/>
      <c r="ET57" s="127"/>
      <c r="EU57" s="127"/>
      <c r="EV57" s="127"/>
      <c r="EW57" s="127"/>
      <c r="EX57" s="173"/>
      <c r="EY57" s="173"/>
      <c r="EZ57" s="173"/>
      <c r="FA57" s="173"/>
      <c r="FB57" s="173"/>
      <c r="FC57" s="173"/>
      <c r="FD57" s="173"/>
      <c r="FE57" s="173"/>
      <c r="FF57" s="173"/>
      <c r="FG57" s="173"/>
      <c r="FH57" s="127"/>
      <c r="FI57" s="127"/>
      <c r="FJ57" s="127"/>
      <c r="FK57" s="174"/>
      <c r="FL57" s="127"/>
      <c r="FM57" s="127"/>
      <c r="FN57" s="127"/>
      <c r="FO57" s="127"/>
      <c r="FP57" s="127"/>
      <c r="FQ57" s="127"/>
      <c r="FR57" s="127"/>
      <c r="FS57" s="127"/>
      <c r="FT57" s="127"/>
      <c r="FU57" s="127"/>
      <c r="FV57" s="127"/>
      <c r="FW57" s="127"/>
      <c r="FX57" s="127"/>
      <c r="FY57" s="127"/>
      <c r="FZ57" s="127"/>
      <c r="GA57" s="127"/>
      <c r="GB57" s="127"/>
      <c r="GC57" s="174"/>
      <c r="GD57" s="127"/>
      <c r="GE57" s="127"/>
      <c r="GF57" s="127"/>
      <c r="GG57" s="174"/>
      <c r="GH57" s="127"/>
      <c r="GI57" s="127"/>
      <c r="GJ57" s="127"/>
      <c r="GK57" s="174"/>
      <c r="GL57" s="127"/>
      <c r="GM57" s="127"/>
      <c r="GN57" s="127"/>
      <c r="GO57" s="127"/>
      <c r="GP57" s="127"/>
      <c r="GQ57" s="174"/>
      <c r="GR57" s="127"/>
      <c r="GS57" s="127"/>
      <c r="GT57" s="127"/>
      <c r="GU57" s="127"/>
      <c r="GV57" s="127"/>
      <c r="GW57" s="127"/>
      <c r="GX57" s="173"/>
      <c r="GY57" s="127"/>
      <c r="GZ57" s="127"/>
      <c r="HA57" s="174"/>
    </row>
    <row r="58" spans="1:209" s="58" customFormat="1" ht="18" customHeight="1">
      <c r="A58" s="127"/>
      <c r="B58" s="127"/>
      <c r="C58" s="127"/>
      <c r="D58" s="127"/>
      <c r="E58" s="127"/>
      <c r="G58" s="127"/>
      <c r="H58" s="127"/>
      <c r="I58" s="127"/>
      <c r="J58" s="127"/>
      <c r="K58" s="127"/>
      <c r="L58" s="127"/>
      <c r="M58" s="127"/>
      <c r="N58" s="127"/>
      <c r="O58" s="127"/>
      <c r="P58" s="127"/>
      <c r="Q58" s="127"/>
      <c r="R58" s="127"/>
      <c r="S58" s="127"/>
      <c r="T58" s="127"/>
      <c r="U58" s="127"/>
      <c r="V58" s="127"/>
      <c r="W58" s="127"/>
      <c r="X58" s="127"/>
      <c r="Y58" s="127"/>
      <c r="Z58" s="127"/>
      <c r="AA58" s="127"/>
      <c r="AB58" s="127"/>
      <c r="AC58" s="127"/>
      <c r="AD58" s="127"/>
      <c r="AE58" s="127"/>
      <c r="AF58" s="127"/>
      <c r="AG58" s="127"/>
      <c r="AH58" s="127"/>
      <c r="AI58" s="127"/>
      <c r="AJ58" s="127"/>
      <c r="AK58" s="127"/>
      <c r="AL58" s="127"/>
      <c r="AM58" s="127"/>
      <c r="AN58" s="127"/>
      <c r="AO58" s="127"/>
      <c r="AP58" s="127"/>
      <c r="AQ58" s="127"/>
      <c r="AR58" s="127"/>
      <c r="AS58" s="127"/>
      <c r="AT58" s="173"/>
      <c r="AU58" s="173"/>
      <c r="AV58" s="173"/>
      <c r="AW58" s="127"/>
      <c r="AX58" s="127"/>
      <c r="AY58" s="127"/>
      <c r="AZ58" s="127"/>
      <c r="BA58" s="127"/>
      <c r="BB58" s="127"/>
      <c r="BC58" s="127"/>
      <c r="BD58" s="127"/>
      <c r="BE58" s="127"/>
      <c r="BF58" s="127"/>
      <c r="BG58" s="127"/>
      <c r="BH58" s="175"/>
      <c r="BI58" s="127"/>
      <c r="BJ58" s="175"/>
      <c r="BK58" s="127"/>
      <c r="BL58" s="175"/>
      <c r="BM58" s="127"/>
      <c r="BN58" s="127"/>
      <c r="BO58" s="127"/>
      <c r="BP58" s="127"/>
      <c r="BQ58" s="127"/>
      <c r="BR58" s="127"/>
      <c r="BS58" s="127"/>
      <c r="BT58" s="127"/>
      <c r="BU58" s="127"/>
      <c r="BV58" s="127"/>
      <c r="BW58" s="127"/>
      <c r="BX58" s="127"/>
      <c r="BY58" s="127"/>
      <c r="BZ58" s="127"/>
      <c r="CA58" s="127"/>
      <c r="CB58" s="127"/>
      <c r="CC58" s="127"/>
      <c r="CD58" s="127"/>
      <c r="CE58" s="127"/>
      <c r="CF58" s="127"/>
      <c r="CG58" s="127"/>
      <c r="CH58" s="127"/>
      <c r="CI58" s="127"/>
      <c r="CJ58" s="127"/>
      <c r="CK58" s="127"/>
      <c r="CL58" s="174"/>
      <c r="CM58" s="127"/>
      <c r="CN58" s="173"/>
      <c r="CO58" s="127"/>
      <c r="CP58" s="127"/>
      <c r="CQ58" s="127"/>
      <c r="CR58" s="127"/>
      <c r="CS58" s="127"/>
      <c r="CT58" s="127"/>
      <c r="CU58" s="127"/>
      <c r="CV58" s="127"/>
      <c r="CW58" s="127"/>
      <c r="CX58" s="127"/>
      <c r="CY58" s="127"/>
      <c r="CZ58" s="127"/>
      <c r="DA58" s="173"/>
      <c r="DB58" s="174"/>
      <c r="DC58" s="127"/>
      <c r="DD58" s="127"/>
      <c r="DE58" s="127"/>
      <c r="DF58" s="127"/>
      <c r="DG58" s="127"/>
      <c r="DH58" s="127"/>
      <c r="DI58" s="127"/>
      <c r="DJ58" s="127"/>
      <c r="DK58" s="127"/>
      <c r="DL58" s="127"/>
      <c r="DM58" s="127"/>
      <c r="DN58" s="127"/>
      <c r="DO58" s="127"/>
      <c r="DP58" s="127"/>
      <c r="DQ58" s="173"/>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c r="EN58" s="127"/>
      <c r="EO58" s="127"/>
      <c r="EP58" s="127"/>
      <c r="EQ58" s="127"/>
      <c r="ER58" s="127"/>
      <c r="ES58" s="127"/>
      <c r="ET58" s="127"/>
      <c r="EU58" s="127"/>
      <c r="EV58" s="127"/>
      <c r="EW58" s="127"/>
      <c r="EX58" s="173"/>
      <c r="EY58" s="173"/>
      <c r="EZ58" s="173"/>
      <c r="FA58" s="173"/>
      <c r="FB58" s="173"/>
      <c r="FC58" s="173"/>
      <c r="FD58" s="173"/>
      <c r="FE58" s="173"/>
      <c r="FF58" s="173"/>
      <c r="FG58" s="173"/>
      <c r="FH58" s="127"/>
      <c r="FI58" s="127"/>
      <c r="FJ58" s="127"/>
      <c r="FK58" s="174"/>
      <c r="FL58" s="127"/>
      <c r="FM58" s="127"/>
      <c r="FN58" s="127"/>
      <c r="FO58" s="127"/>
      <c r="FP58" s="127"/>
      <c r="FQ58" s="127"/>
      <c r="FR58" s="127"/>
      <c r="FS58" s="127"/>
      <c r="FT58" s="127"/>
      <c r="FU58" s="127"/>
      <c r="FV58" s="127"/>
      <c r="FW58" s="127"/>
      <c r="FX58" s="127"/>
      <c r="FY58" s="127"/>
      <c r="FZ58" s="127"/>
      <c r="GA58" s="127"/>
      <c r="GB58" s="127"/>
      <c r="GC58" s="174"/>
      <c r="GD58" s="127"/>
      <c r="GE58" s="127"/>
      <c r="GF58" s="127"/>
      <c r="GG58" s="174"/>
      <c r="GH58" s="127"/>
      <c r="GI58" s="127"/>
      <c r="GJ58" s="127"/>
      <c r="GK58" s="174"/>
      <c r="GL58" s="127"/>
      <c r="GM58" s="127"/>
      <c r="GN58" s="127"/>
      <c r="GO58" s="127"/>
      <c r="GP58" s="127"/>
      <c r="GQ58" s="174"/>
      <c r="GR58" s="127"/>
      <c r="GS58" s="127"/>
      <c r="GT58" s="127"/>
      <c r="GU58" s="127"/>
      <c r="GV58" s="127"/>
      <c r="GW58" s="127"/>
      <c r="GX58" s="173"/>
      <c r="GY58" s="127"/>
      <c r="GZ58" s="127"/>
      <c r="HA58" s="174"/>
    </row>
    <row r="59" spans="1:209" s="58" customFormat="1" ht="18" customHeight="1">
      <c r="A59" s="127"/>
      <c r="B59" s="127"/>
      <c r="C59" s="127"/>
      <c r="D59" s="127"/>
      <c r="E59" s="127"/>
      <c r="G59" s="127"/>
      <c r="H59" s="127"/>
      <c r="I59" s="127"/>
      <c r="J59" s="127"/>
      <c r="K59" s="127"/>
      <c r="L59" s="127"/>
      <c r="M59" s="127"/>
      <c r="N59" s="127"/>
      <c r="O59" s="127"/>
      <c r="P59" s="127"/>
      <c r="Q59" s="127"/>
      <c r="R59" s="127"/>
      <c r="S59" s="127"/>
      <c r="T59" s="127"/>
      <c r="U59" s="127"/>
      <c r="V59" s="127"/>
      <c r="W59" s="127"/>
      <c r="X59" s="127"/>
      <c r="Y59" s="127"/>
      <c r="Z59" s="127"/>
      <c r="AA59" s="127"/>
      <c r="AB59" s="127"/>
      <c r="AC59" s="127"/>
      <c r="AD59" s="127"/>
      <c r="AE59" s="127"/>
      <c r="AF59" s="127"/>
      <c r="AG59" s="127"/>
      <c r="AH59" s="127"/>
      <c r="AI59" s="127"/>
      <c r="AJ59" s="127"/>
      <c r="AK59" s="127"/>
      <c r="AL59" s="127"/>
      <c r="AM59" s="127"/>
      <c r="AN59" s="127"/>
      <c r="AO59" s="127"/>
      <c r="AP59" s="127"/>
      <c r="AQ59" s="127"/>
      <c r="AR59" s="127"/>
      <c r="AS59" s="127"/>
      <c r="AT59" s="173"/>
      <c r="AU59" s="173"/>
      <c r="AV59" s="173"/>
      <c r="AW59" s="127"/>
      <c r="AX59" s="127"/>
      <c r="AY59" s="127"/>
      <c r="AZ59" s="127"/>
      <c r="BA59" s="127"/>
      <c r="BB59" s="127"/>
      <c r="BC59" s="127"/>
      <c r="BD59" s="127"/>
      <c r="BE59" s="127"/>
      <c r="BF59" s="127"/>
      <c r="BG59" s="127"/>
      <c r="BH59" s="175"/>
      <c r="BI59" s="127"/>
      <c r="BJ59" s="175"/>
      <c r="BK59" s="127"/>
      <c r="BL59" s="175"/>
      <c r="BM59" s="127"/>
      <c r="BN59" s="127"/>
      <c r="BO59" s="127"/>
      <c r="BP59" s="127"/>
      <c r="BQ59" s="127"/>
      <c r="BR59" s="127"/>
      <c r="BS59" s="127"/>
      <c r="BT59" s="127"/>
      <c r="BU59" s="127"/>
      <c r="BV59" s="127"/>
      <c r="BW59" s="127"/>
      <c r="BX59" s="127"/>
      <c r="BY59" s="127"/>
      <c r="BZ59" s="127"/>
      <c r="CA59" s="127"/>
      <c r="CB59" s="127"/>
      <c r="CC59" s="127"/>
      <c r="CD59" s="127"/>
      <c r="CE59" s="127"/>
      <c r="CF59" s="127"/>
      <c r="CG59" s="127"/>
      <c r="CH59" s="127"/>
      <c r="CI59" s="127"/>
      <c r="CJ59" s="127"/>
      <c r="CK59" s="127"/>
      <c r="CL59" s="174"/>
      <c r="CM59" s="127"/>
      <c r="CN59" s="173"/>
      <c r="CO59" s="127"/>
      <c r="CP59" s="127"/>
      <c r="CQ59" s="127"/>
      <c r="CR59" s="127"/>
      <c r="CS59" s="127"/>
      <c r="CT59" s="127"/>
      <c r="CU59" s="127"/>
      <c r="CV59" s="127"/>
      <c r="CW59" s="127"/>
      <c r="CX59" s="127"/>
      <c r="CY59" s="127"/>
      <c r="CZ59" s="127"/>
      <c r="DA59" s="173"/>
      <c r="DB59" s="174"/>
      <c r="DC59" s="127"/>
      <c r="DD59" s="127"/>
      <c r="DE59" s="127"/>
      <c r="DF59" s="127"/>
      <c r="DG59" s="127"/>
      <c r="DH59" s="127"/>
      <c r="DI59" s="127"/>
      <c r="DJ59" s="127"/>
      <c r="DK59" s="127"/>
      <c r="DL59" s="127"/>
      <c r="DM59" s="127"/>
      <c r="DN59" s="127"/>
      <c r="DO59" s="127"/>
      <c r="DP59" s="127"/>
      <c r="DQ59" s="173"/>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c r="EN59" s="127"/>
      <c r="EO59" s="127"/>
      <c r="EP59" s="127"/>
      <c r="EQ59" s="127"/>
      <c r="ER59" s="127"/>
      <c r="ES59" s="127"/>
      <c r="ET59" s="127"/>
      <c r="EU59" s="127"/>
      <c r="EV59" s="127"/>
      <c r="EW59" s="127"/>
      <c r="EX59" s="173"/>
      <c r="EY59" s="173"/>
      <c r="EZ59" s="173"/>
      <c r="FA59" s="173"/>
      <c r="FB59" s="173"/>
      <c r="FC59" s="173"/>
      <c r="FD59" s="173"/>
      <c r="FE59" s="173"/>
      <c r="FF59" s="173"/>
      <c r="FG59" s="173"/>
      <c r="FH59" s="127"/>
      <c r="FI59" s="127"/>
      <c r="FJ59" s="127"/>
      <c r="FK59" s="174"/>
      <c r="FL59" s="127"/>
      <c r="FM59" s="127"/>
      <c r="FN59" s="127"/>
      <c r="FO59" s="127"/>
      <c r="FP59" s="127"/>
      <c r="FQ59" s="127"/>
      <c r="FR59" s="127"/>
      <c r="FS59" s="127"/>
      <c r="FT59" s="127"/>
      <c r="FU59" s="127"/>
      <c r="FV59" s="127"/>
      <c r="FW59" s="127"/>
      <c r="FX59" s="127"/>
      <c r="FY59" s="127"/>
      <c r="FZ59" s="127"/>
      <c r="GA59" s="127"/>
      <c r="GB59" s="127"/>
      <c r="GC59" s="174"/>
      <c r="GD59" s="127"/>
      <c r="GE59" s="127"/>
      <c r="GF59" s="127"/>
      <c r="GG59" s="174"/>
      <c r="GH59" s="127"/>
      <c r="GI59" s="127"/>
      <c r="GJ59" s="127"/>
      <c r="GK59" s="174"/>
      <c r="GL59" s="127"/>
      <c r="GM59" s="127"/>
      <c r="GN59" s="127"/>
      <c r="GO59" s="127"/>
      <c r="GP59" s="127"/>
      <c r="GQ59" s="174"/>
      <c r="GR59" s="127"/>
      <c r="GS59" s="127"/>
      <c r="GT59" s="127"/>
      <c r="GU59" s="127"/>
      <c r="GV59" s="127"/>
      <c r="GW59" s="127"/>
      <c r="GX59" s="173"/>
      <c r="GY59" s="127"/>
      <c r="GZ59" s="127"/>
      <c r="HA59" s="174"/>
    </row>
    <row r="60" spans="1:209" s="58" customFormat="1" ht="18" customHeight="1">
      <c r="A60" s="127"/>
      <c r="B60" s="127"/>
      <c r="C60" s="127"/>
      <c r="D60" s="127"/>
      <c r="E60" s="127"/>
      <c r="G60" s="127"/>
      <c r="H60" s="127"/>
      <c r="I60" s="127"/>
      <c r="J60" s="127"/>
      <c r="K60" s="127"/>
      <c r="L60" s="127"/>
      <c r="M60" s="127"/>
      <c r="N60" s="127"/>
      <c r="O60" s="127"/>
      <c r="P60" s="127"/>
      <c r="Q60" s="127"/>
      <c r="R60" s="127"/>
      <c r="S60" s="127"/>
      <c r="T60" s="127"/>
      <c r="U60" s="127"/>
      <c r="V60" s="127"/>
      <c r="W60" s="127"/>
      <c r="X60" s="127"/>
      <c r="Y60" s="127"/>
      <c r="Z60" s="127"/>
      <c r="AA60" s="127"/>
      <c r="AB60" s="127"/>
      <c r="AC60" s="127"/>
      <c r="AD60" s="127"/>
      <c r="AE60" s="127"/>
      <c r="AF60" s="127"/>
      <c r="AG60" s="127"/>
      <c r="AH60" s="127"/>
      <c r="AI60" s="127"/>
      <c r="AJ60" s="127"/>
      <c r="AK60" s="127"/>
      <c r="AL60" s="127"/>
      <c r="AM60" s="127"/>
      <c r="AN60" s="127"/>
      <c r="AO60" s="127"/>
      <c r="AP60" s="127"/>
      <c r="AQ60" s="127"/>
      <c r="AR60" s="127"/>
      <c r="AS60" s="127"/>
      <c r="AT60" s="173"/>
      <c r="AU60" s="173"/>
      <c r="AV60" s="173"/>
      <c r="AW60" s="127"/>
      <c r="AX60" s="127"/>
      <c r="AY60" s="127"/>
      <c r="AZ60" s="127"/>
      <c r="BA60" s="127"/>
      <c r="BB60" s="127"/>
      <c r="BC60" s="127"/>
      <c r="BD60" s="127"/>
      <c r="BE60" s="127"/>
      <c r="BF60" s="127"/>
      <c r="BG60" s="127"/>
      <c r="BH60" s="175"/>
      <c r="BI60" s="127"/>
      <c r="BJ60" s="175"/>
      <c r="BK60" s="127"/>
      <c r="BL60" s="175"/>
      <c r="BM60" s="127"/>
      <c r="BN60" s="127"/>
      <c r="BO60" s="127"/>
      <c r="BP60" s="127"/>
      <c r="BQ60" s="127"/>
      <c r="BR60" s="127"/>
      <c r="BS60" s="127"/>
      <c r="BT60" s="127"/>
      <c r="BU60" s="127"/>
      <c r="BV60" s="127"/>
      <c r="BW60" s="127"/>
      <c r="BX60" s="127"/>
      <c r="BY60" s="127"/>
      <c r="BZ60" s="127"/>
      <c r="CA60" s="127"/>
      <c r="CB60" s="127"/>
      <c r="CC60" s="127"/>
      <c r="CD60" s="127"/>
      <c r="CE60" s="127"/>
      <c r="CF60" s="127"/>
      <c r="CG60" s="127"/>
      <c r="CH60" s="127"/>
      <c r="CI60" s="127"/>
      <c r="CJ60" s="127"/>
      <c r="CK60" s="127"/>
      <c r="CL60" s="174"/>
      <c r="CM60" s="127"/>
      <c r="CN60" s="173"/>
      <c r="CO60" s="127"/>
      <c r="CP60" s="127"/>
      <c r="CQ60" s="127"/>
      <c r="CR60" s="127"/>
      <c r="CS60" s="127"/>
      <c r="CT60" s="127"/>
      <c r="CU60" s="127"/>
      <c r="CV60" s="127"/>
      <c r="CW60" s="127"/>
      <c r="CX60" s="127"/>
      <c r="CY60" s="127"/>
      <c r="CZ60" s="127"/>
      <c r="DA60" s="173"/>
      <c r="DB60" s="174"/>
      <c r="DC60" s="127"/>
      <c r="DD60" s="127"/>
      <c r="DE60" s="127"/>
      <c r="DF60" s="127"/>
      <c r="DG60" s="127"/>
      <c r="DH60" s="127"/>
      <c r="DI60" s="127"/>
      <c r="DJ60" s="127"/>
      <c r="DK60" s="127"/>
      <c r="DL60" s="127"/>
      <c r="DM60" s="127"/>
      <c r="DN60" s="127"/>
      <c r="DO60" s="127"/>
      <c r="DP60" s="127"/>
      <c r="DQ60" s="173"/>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c r="EN60" s="127"/>
      <c r="EO60" s="127"/>
      <c r="EP60" s="127"/>
      <c r="EQ60" s="127"/>
      <c r="ER60" s="127"/>
      <c r="ES60" s="127"/>
      <c r="ET60" s="127"/>
      <c r="EU60" s="127"/>
      <c r="EV60" s="127"/>
      <c r="EW60" s="127"/>
      <c r="EX60" s="173"/>
      <c r="EY60" s="173"/>
      <c r="EZ60" s="173"/>
      <c r="FA60" s="173"/>
      <c r="FB60" s="173"/>
      <c r="FC60" s="173"/>
      <c r="FD60" s="173"/>
      <c r="FE60" s="173"/>
      <c r="FF60" s="173"/>
      <c r="FG60" s="173"/>
      <c r="FH60" s="127"/>
      <c r="FI60" s="127"/>
      <c r="FJ60" s="127"/>
      <c r="FK60" s="174"/>
      <c r="FL60" s="127"/>
      <c r="FM60" s="127"/>
      <c r="FN60" s="127"/>
      <c r="FO60" s="127"/>
      <c r="FP60" s="127"/>
      <c r="FQ60" s="127"/>
      <c r="FR60" s="127"/>
      <c r="FS60" s="127"/>
      <c r="FT60" s="127"/>
      <c r="FU60" s="127"/>
      <c r="FV60" s="127"/>
      <c r="FW60" s="127"/>
      <c r="FX60" s="127"/>
      <c r="FY60" s="127"/>
      <c r="FZ60" s="127"/>
      <c r="GA60" s="127"/>
      <c r="GB60" s="127"/>
      <c r="GC60" s="174"/>
      <c r="GD60" s="127"/>
      <c r="GE60" s="127"/>
      <c r="GF60" s="127"/>
      <c r="GG60" s="174"/>
      <c r="GH60" s="127"/>
      <c r="GI60" s="127"/>
      <c r="GJ60" s="127"/>
      <c r="GK60" s="174"/>
      <c r="GL60" s="127"/>
      <c r="GM60" s="127"/>
      <c r="GN60" s="127"/>
      <c r="GO60" s="127"/>
      <c r="GP60" s="127"/>
      <c r="GQ60" s="174"/>
      <c r="GR60" s="127"/>
      <c r="GS60" s="127"/>
      <c r="GT60" s="127"/>
      <c r="GU60" s="127"/>
      <c r="GV60" s="127"/>
      <c r="GW60" s="127"/>
      <c r="GX60" s="173"/>
      <c r="GY60" s="127"/>
      <c r="GZ60" s="127"/>
      <c r="HA60" s="174"/>
    </row>
    <row r="61" spans="1:209" s="58" customFormat="1" ht="18" customHeight="1">
      <c r="A61" s="127"/>
      <c r="B61" s="127"/>
      <c r="C61" s="127"/>
      <c r="D61" s="127"/>
      <c r="E61" s="127"/>
      <c r="G61" s="127"/>
      <c r="H61" s="127"/>
      <c r="I61" s="127"/>
      <c r="J61" s="127"/>
      <c r="K61" s="127"/>
      <c r="L61" s="127"/>
      <c r="M61" s="127"/>
      <c r="N61" s="127"/>
      <c r="O61" s="127"/>
      <c r="P61" s="127"/>
      <c r="Q61" s="127"/>
      <c r="R61" s="127"/>
      <c r="S61" s="127"/>
      <c r="T61" s="127"/>
      <c r="U61" s="127"/>
      <c r="V61" s="127"/>
      <c r="W61" s="127"/>
      <c r="X61" s="127"/>
      <c r="Y61" s="127"/>
      <c r="Z61" s="127"/>
      <c r="AA61" s="127"/>
      <c r="AB61" s="127"/>
      <c r="AC61" s="127"/>
      <c r="AD61" s="127"/>
      <c r="AE61" s="127"/>
      <c r="AF61" s="127"/>
      <c r="AG61" s="127"/>
      <c r="AH61" s="127"/>
      <c r="AI61" s="127"/>
      <c r="AJ61" s="127"/>
      <c r="AK61" s="127"/>
      <c r="AL61" s="127"/>
      <c r="AM61" s="127"/>
      <c r="AN61" s="127"/>
      <c r="AO61" s="127"/>
      <c r="AP61" s="127"/>
      <c r="AQ61" s="127"/>
      <c r="AR61" s="127"/>
      <c r="AS61" s="127"/>
      <c r="AT61" s="173"/>
      <c r="AU61" s="173"/>
      <c r="AV61" s="173"/>
      <c r="AW61" s="127"/>
      <c r="AX61" s="127"/>
      <c r="AY61" s="127"/>
      <c r="AZ61" s="127"/>
      <c r="BA61" s="127"/>
      <c r="BB61" s="127"/>
      <c r="BC61" s="127"/>
      <c r="BD61" s="127"/>
      <c r="BE61" s="127"/>
      <c r="BF61" s="127"/>
      <c r="BG61" s="127"/>
      <c r="BH61" s="175"/>
      <c r="BI61" s="127"/>
      <c r="BJ61" s="175"/>
      <c r="BK61" s="127"/>
      <c r="BL61" s="175"/>
      <c r="BM61" s="127"/>
      <c r="BN61" s="127"/>
      <c r="BO61" s="127"/>
      <c r="BP61" s="127"/>
      <c r="BQ61" s="127"/>
      <c r="BR61" s="127"/>
      <c r="BS61" s="127"/>
      <c r="BT61" s="127"/>
      <c r="BU61" s="127"/>
      <c r="BV61" s="127"/>
      <c r="BW61" s="127"/>
      <c r="BX61" s="127"/>
      <c r="BY61" s="127"/>
      <c r="BZ61" s="127"/>
      <c r="CA61" s="127"/>
      <c r="CB61" s="127"/>
      <c r="CC61" s="127"/>
      <c r="CD61" s="127"/>
      <c r="CE61" s="127"/>
      <c r="CF61" s="127"/>
      <c r="CG61" s="127"/>
      <c r="CH61" s="127"/>
      <c r="CI61" s="127"/>
      <c r="CJ61" s="127"/>
      <c r="CK61" s="127"/>
      <c r="CL61" s="174"/>
      <c r="CM61" s="127"/>
      <c r="CN61" s="173"/>
      <c r="CO61" s="127"/>
      <c r="CP61" s="127"/>
      <c r="CQ61" s="127"/>
      <c r="CR61" s="127"/>
      <c r="CS61" s="127"/>
      <c r="CT61" s="127"/>
      <c r="CU61" s="127"/>
      <c r="CV61" s="127"/>
      <c r="CW61" s="127"/>
      <c r="CX61" s="127"/>
      <c r="CY61" s="127"/>
      <c r="CZ61" s="127"/>
      <c r="DA61" s="173"/>
      <c r="DB61" s="174"/>
      <c r="DC61" s="127"/>
      <c r="DD61" s="127"/>
      <c r="DE61" s="127"/>
      <c r="DF61" s="127"/>
      <c r="DG61" s="127"/>
      <c r="DH61" s="127"/>
      <c r="DI61" s="127"/>
      <c r="DJ61" s="127"/>
      <c r="DK61" s="127"/>
      <c r="DL61" s="127"/>
      <c r="DM61" s="127"/>
      <c r="DN61" s="127"/>
      <c r="DO61" s="127"/>
      <c r="DP61" s="127"/>
      <c r="DQ61" s="173"/>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c r="EN61" s="127"/>
      <c r="EO61" s="127"/>
      <c r="EP61" s="127"/>
      <c r="EQ61" s="127"/>
      <c r="ER61" s="127"/>
      <c r="ES61" s="127"/>
      <c r="ET61" s="127"/>
      <c r="EU61" s="127"/>
      <c r="EV61" s="127"/>
      <c r="EW61" s="127"/>
      <c r="EX61" s="173"/>
      <c r="EY61" s="173"/>
      <c r="EZ61" s="173"/>
      <c r="FA61" s="173"/>
      <c r="FB61" s="173"/>
      <c r="FC61" s="173"/>
      <c r="FD61" s="173"/>
      <c r="FE61" s="173"/>
      <c r="FF61" s="173"/>
      <c r="FG61" s="173"/>
      <c r="FH61" s="127"/>
      <c r="FI61" s="127"/>
      <c r="FJ61" s="127"/>
      <c r="FK61" s="174"/>
      <c r="FL61" s="127"/>
      <c r="FM61" s="127"/>
      <c r="FN61" s="127"/>
      <c r="FO61" s="127"/>
      <c r="FP61" s="127"/>
      <c r="FQ61" s="127"/>
      <c r="FR61" s="127"/>
      <c r="FS61" s="127"/>
      <c r="FT61" s="127"/>
      <c r="FU61" s="127"/>
      <c r="FV61" s="127"/>
      <c r="FW61" s="127"/>
      <c r="FX61" s="127"/>
      <c r="FY61" s="127"/>
      <c r="FZ61" s="127"/>
      <c r="GA61" s="127"/>
      <c r="GB61" s="127"/>
      <c r="GC61" s="174"/>
      <c r="GD61" s="127"/>
      <c r="GE61" s="127"/>
      <c r="GF61" s="127"/>
      <c r="GG61" s="174"/>
      <c r="GH61" s="127"/>
      <c r="GI61" s="127"/>
      <c r="GJ61" s="127"/>
      <c r="GK61" s="174"/>
      <c r="GL61" s="127"/>
      <c r="GM61" s="127"/>
      <c r="GN61" s="127"/>
      <c r="GO61" s="127"/>
      <c r="GP61" s="127"/>
      <c r="GQ61" s="174"/>
      <c r="GR61" s="127"/>
      <c r="GS61" s="127"/>
      <c r="GT61" s="127"/>
      <c r="GU61" s="127"/>
      <c r="GV61" s="127"/>
      <c r="GW61" s="127"/>
      <c r="GX61" s="173"/>
      <c r="GY61" s="127"/>
      <c r="GZ61" s="127"/>
      <c r="HA61" s="174"/>
    </row>
    <row r="62" spans="1:209" s="58" customFormat="1" ht="18" customHeight="1">
      <c r="A62" s="127"/>
      <c r="B62" s="127"/>
      <c r="C62" s="127"/>
      <c r="D62" s="127"/>
      <c r="E62" s="127"/>
      <c r="G62" s="127"/>
      <c r="H62" s="127"/>
      <c r="I62" s="127"/>
      <c r="J62" s="127"/>
      <c r="K62" s="127"/>
      <c r="L62" s="127"/>
      <c r="M62" s="127"/>
      <c r="N62" s="127"/>
      <c r="O62" s="127"/>
      <c r="P62" s="127"/>
      <c r="Q62" s="127"/>
      <c r="R62" s="127"/>
      <c r="S62" s="127"/>
      <c r="T62" s="127"/>
      <c r="U62" s="127"/>
      <c r="V62" s="127"/>
      <c r="W62" s="127"/>
      <c r="X62" s="127"/>
      <c r="Y62" s="127"/>
      <c r="Z62" s="127"/>
      <c r="AA62" s="127"/>
      <c r="AB62" s="127"/>
      <c r="AC62" s="127"/>
      <c r="AD62" s="127"/>
      <c r="AE62" s="127"/>
      <c r="AF62" s="127"/>
      <c r="AG62" s="127"/>
      <c r="AH62" s="127"/>
      <c r="AI62" s="127"/>
      <c r="AJ62" s="127"/>
      <c r="AK62" s="127"/>
      <c r="AL62" s="127"/>
      <c r="AM62" s="127"/>
      <c r="AN62" s="127"/>
      <c r="AO62" s="127"/>
      <c r="AP62" s="127"/>
      <c r="AQ62" s="127"/>
      <c r="AR62" s="127"/>
      <c r="AS62" s="127"/>
      <c r="AT62" s="173"/>
      <c r="AU62" s="173"/>
      <c r="AV62" s="173"/>
      <c r="AW62" s="127"/>
      <c r="AX62" s="127"/>
      <c r="AY62" s="127"/>
      <c r="AZ62" s="127"/>
      <c r="BA62" s="127"/>
      <c r="BB62" s="127"/>
      <c r="BC62" s="127"/>
      <c r="BD62" s="127"/>
      <c r="BE62" s="127"/>
      <c r="BF62" s="127"/>
      <c r="BG62" s="127"/>
      <c r="BH62" s="175"/>
      <c r="BI62" s="127"/>
      <c r="BJ62" s="175"/>
      <c r="BK62" s="127"/>
      <c r="BL62" s="175"/>
      <c r="BM62" s="127"/>
      <c r="BN62" s="127"/>
      <c r="BO62" s="127"/>
      <c r="BP62" s="127"/>
      <c r="BQ62" s="127"/>
      <c r="BR62" s="127"/>
      <c r="BS62" s="127"/>
      <c r="BT62" s="127"/>
      <c r="BU62" s="127"/>
      <c r="BV62" s="127"/>
      <c r="BW62" s="127"/>
      <c r="BX62" s="127"/>
      <c r="BY62" s="127"/>
      <c r="BZ62" s="127"/>
      <c r="CA62" s="127"/>
      <c r="CB62" s="127"/>
      <c r="CC62" s="127"/>
      <c r="CD62" s="127"/>
      <c r="CE62" s="127"/>
      <c r="CF62" s="127"/>
      <c r="CG62" s="127"/>
      <c r="CH62" s="127"/>
      <c r="CI62" s="127"/>
      <c r="CJ62" s="127"/>
      <c r="CK62" s="127"/>
      <c r="CL62" s="174"/>
      <c r="CM62" s="127"/>
      <c r="CN62" s="173"/>
      <c r="CO62" s="127"/>
      <c r="CP62" s="127"/>
      <c r="CQ62" s="127"/>
      <c r="CR62" s="127"/>
      <c r="CS62" s="127"/>
      <c r="CT62" s="127"/>
      <c r="CU62" s="127"/>
      <c r="CV62" s="127"/>
      <c r="CW62" s="127"/>
      <c r="CX62" s="127"/>
      <c r="CY62" s="127"/>
      <c r="CZ62" s="127"/>
      <c r="DA62" s="173"/>
      <c r="DB62" s="174"/>
      <c r="DC62" s="127"/>
      <c r="DD62" s="127"/>
      <c r="DE62" s="127"/>
      <c r="DF62" s="127"/>
      <c r="DG62" s="127"/>
      <c r="DH62" s="127"/>
      <c r="DI62" s="127"/>
      <c r="DJ62" s="127"/>
      <c r="DK62" s="127"/>
      <c r="DL62" s="127"/>
      <c r="DM62" s="127"/>
      <c r="DN62" s="127"/>
      <c r="DO62" s="127"/>
      <c r="DP62" s="127"/>
      <c r="DQ62" s="173"/>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c r="EN62" s="127"/>
      <c r="EO62" s="127"/>
      <c r="EP62" s="127"/>
      <c r="EQ62" s="127"/>
      <c r="ER62" s="127"/>
      <c r="ES62" s="127"/>
      <c r="ET62" s="127"/>
      <c r="EU62" s="127"/>
      <c r="EV62" s="127"/>
      <c r="EW62" s="127"/>
      <c r="EX62" s="173"/>
      <c r="EY62" s="173"/>
      <c r="EZ62" s="173"/>
      <c r="FA62" s="173"/>
      <c r="FB62" s="173"/>
      <c r="FC62" s="173"/>
      <c r="FD62" s="173"/>
      <c r="FE62" s="173"/>
      <c r="FF62" s="173"/>
      <c r="FG62" s="173"/>
      <c r="FH62" s="127"/>
      <c r="FI62" s="127"/>
      <c r="FJ62" s="127"/>
      <c r="FK62" s="174"/>
      <c r="FL62" s="127"/>
      <c r="FM62" s="127"/>
      <c r="FN62" s="127"/>
      <c r="FO62" s="127"/>
      <c r="FP62" s="127"/>
      <c r="FQ62" s="127"/>
      <c r="FR62" s="127"/>
      <c r="FS62" s="127"/>
      <c r="FT62" s="127"/>
      <c r="FU62" s="127"/>
      <c r="FV62" s="127"/>
      <c r="FW62" s="127"/>
      <c r="FX62" s="127"/>
      <c r="FY62" s="127"/>
      <c r="FZ62" s="127"/>
      <c r="GA62" s="127"/>
      <c r="GB62" s="127"/>
      <c r="GC62" s="174"/>
      <c r="GD62" s="127"/>
      <c r="GE62" s="127"/>
      <c r="GF62" s="127"/>
      <c r="GG62" s="174"/>
      <c r="GH62" s="127"/>
      <c r="GI62" s="127"/>
      <c r="GJ62" s="127"/>
      <c r="GK62" s="174"/>
      <c r="GL62" s="127"/>
      <c r="GM62" s="127"/>
      <c r="GN62" s="127"/>
      <c r="GO62" s="127"/>
      <c r="GP62" s="127"/>
      <c r="GQ62" s="174"/>
      <c r="GR62" s="127"/>
      <c r="GS62" s="127"/>
      <c r="GT62" s="127"/>
      <c r="GU62" s="127"/>
      <c r="GV62" s="127"/>
      <c r="GW62" s="127"/>
      <c r="GX62" s="173"/>
      <c r="GY62" s="127"/>
      <c r="GZ62" s="127"/>
      <c r="HA62" s="174"/>
    </row>
    <row r="63" spans="1:209" s="58" customFormat="1" ht="18" customHeight="1">
      <c r="A63" s="127"/>
      <c r="B63" s="127"/>
      <c r="C63" s="127"/>
      <c r="D63" s="127"/>
      <c r="E63" s="127"/>
      <c r="G63" s="127"/>
      <c r="H63" s="127"/>
      <c r="I63" s="127"/>
      <c r="J63" s="127"/>
      <c r="K63" s="127"/>
      <c r="L63" s="127"/>
      <c r="M63" s="127"/>
      <c r="N63" s="127"/>
      <c r="O63" s="127"/>
      <c r="P63" s="127"/>
      <c r="Q63" s="127"/>
      <c r="R63" s="127"/>
      <c r="S63" s="127"/>
      <c r="T63" s="127"/>
      <c r="U63" s="127"/>
      <c r="V63" s="127"/>
      <c r="W63" s="127"/>
      <c r="X63" s="127"/>
      <c r="Y63" s="127"/>
      <c r="Z63" s="127"/>
      <c r="AA63" s="127"/>
      <c r="AB63" s="127"/>
      <c r="AC63" s="127"/>
      <c r="AD63" s="127"/>
      <c r="AE63" s="127"/>
      <c r="AF63" s="127"/>
      <c r="AG63" s="127"/>
      <c r="AH63" s="127"/>
      <c r="AI63" s="127"/>
      <c r="AJ63" s="127"/>
      <c r="AK63" s="127"/>
      <c r="AL63" s="127"/>
      <c r="AM63" s="127"/>
      <c r="AN63" s="127"/>
      <c r="AO63" s="127"/>
      <c r="AP63" s="127"/>
      <c r="AQ63" s="127"/>
      <c r="AR63" s="127"/>
      <c r="AS63" s="127"/>
      <c r="AT63" s="173"/>
      <c r="AU63" s="173"/>
      <c r="AV63" s="173"/>
      <c r="AW63" s="127"/>
      <c r="AX63" s="127"/>
      <c r="AY63" s="127"/>
      <c r="AZ63" s="127"/>
      <c r="BA63" s="127"/>
      <c r="BB63" s="127"/>
      <c r="BC63" s="127"/>
      <c r="BD63" s="127"/>
      <c r="BE63" s="127"/>
      <c r="BF63" s="127"/>
      <c r="BG63" s="127"/>
      <c r="BH63" s="175"/>
      <c r="BI63" s="127"/>
      <c r="BJ63" s="175"/>
      <c r="BK63" s="127"/>
      <c r="BL63" s="175"/>
      <c r="BM63" s="127"/>
      <c r="BN63" s="127"/>
      <c r="BO63" s="127"/>
      <c r="BP63" s="127"/>
      <c r="BQ63" s="127"/>
      <c r="BR63" s="127"/>
      <c r="BS63" s="127"/>
      <c r="BT63" s="127"/>
      <c r="BU63" s="127"/>
      <c r="BV63" s="127"/>
      <c r="BW63" s="127"/>
      <c r="BX63" s="127"/>
      <c r="BY63" s="127"/>
      <c r="BZ63" s="127"/>
      <c r="CA63" s="127"/>
      <c r="CB63" s="127"/>
      <c r="CC63" s="127"/>
      <c r="CD63" s="127"/>
      <c r="CE63" s="127"/>
      <c r="CF63" s="127"/>
      <c r="CG63" s="127"/>
      <c r="CH63" s="127"/>
      <c r="CI63" s="127"/>
      <c r="CJ63" s="127"/>
      <c r="CK63" s="127"/>
      <c r="CL63" s="174"/>
      <c r="CM63" s="127"/>
      <c r="CN63" s="173"/>
      <c r="CO63" s="127"/>
      <c r="CP63" s="127"/>
      <c r="CQ63" s="127"/>
      <c r="CR63" s="127"/>
      <c r="CS63" s="127"/>
      <c r="CT63" s="127"/>
      <c r="CU63" s="127"/>
      <c r="CV63" s="127"/>
      <c r="CW63" s="127"/>
      <c r="CX63" s="127"/>
      <c r="CY63" s="127"/>
      <c r="CZ63" s="127"/>
      <c r="DA63" s="173"/>
      <c r="DB63" s="174"/>
      <c r="DC63" s="127"/>
      <c r="DD63" s="127"/>
      <c r="DE63" s="127"/>
      <c r="DF63" s="127"/>
      <c r="DG63" s="127"/>
      <c r="DH63" s="127"/>
      <c r="DI63" s="127"/>
      <c r="DJ63" s="127"/>
      <c r="DK63" s="127"/>
      <c r="DL63" s="127"/>
      <c r="DM63" s="127"/>
      <c r="DN63" s="127"/>
      <c r="DO63" s="127"/>
      <c r="DP63" s="127"/>
      <c r="DQ63" s="173"/>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c r="EN63" s="127"/>
      <c r="EO63" s="127"/>
      <c r="EP63" s="127"/>
      <c r="EQ63" s="127"/>
      <c r="ER63" s="127"/>
      <c r="ES63" s="127"/>
      <c r="ET63" s="127"/>
      <c r="EU63" s="127"/>
      <c r="EV63" s="127"/>
      <c r="EW63" s="127"/>
      <c r="EX63" s="173"/>
      <c r="EY63" s="173"/>
      <c r="EZ63" s="173"/>
      <c r="FA63" s="173"/>
      <c r="FB63" s="173"/>
      <c r="FC63" s="173"/>
      <c r="FD63" s="173"/>
      <c r="FE63" s="173"/>
      <c r="FF63" s="173"/>
      <c r="FG63" s="173"/>
      <c r="FH63" s="127"/>
      <c r="FI63" s="127"/>
      <c r="FJ63" s="127"/>
      <c r="FK63" s="174"/>
      <c r="FL63" s="127"/>
      <c r="FM63" s="127"/>
      <c r="FN63" s="127"/>
      <c r="FO63" s="127"/>
      <c r="FP63" s="127"/>
      <c r="FQ63" s="127"/>
      <c r="FR63" s="127"/>
      <c r="FS63" s="127"/>
      <c r="FT63" s="127"/>
      <c r="FU63" s="127"/>
      <c r="FV63" s="127"/>
      <c r="FW63" s="127"/>
      <c r="FX63" s="127"/>
      <c r="FY63" s="127"/>
      <c r="FZ63" s="127"/>
      <c r="GA63" s="127"/>
      <c r="GB63" s="127"/>
      <c r="GC63" s="174"/>
      <c r="GD63" s="127"/>
      <c r="GE63" s="127"/>
      <c r="GF63" s="127"/>
      <c r="GG63" s="174"/>
      <c r="GH63" s="127"/>
      <c r="GI63" s="127"/>
      <c r="GJ63" s="127"/>
      <c r="GK63" s="174"/>
      <c r="GL63" s="127"/>
      <c r="GM63" s="127"/>
      <c r="GN63" s="127"/>
      <c r="GO63" s="127"/>
      <c r="GP63" s="127"/>
      <c r="GQ63" s="174"/>
      <c r="GR63" s="127"/>
      <c r="GS63" s="127"/>
      <c r="GT63" s="127"/>
      <c r="GU63" s="127"/>
      <c r="GV63" s="127"/>
      <c r="GW63" s="127"/>
      <c r="GX63" s="173"/>
      <c r="GY63" s="127"/>
      <c r="GZ63" s="127"/>
      <c r="HA63" s="174"/>
    </row>
    <row r="64" spans="1:209" s="58" customFormat="1" ht="18" customHeight="1">
      <c r="A64" s="127"/>
      <c r="B64" s="127"/>
      <c r="C64" s="127"/>
      <c r="D64" s="127"/>
      <c r="E64" s="127"/>
      <c r="G64" s="127"/>
      <c r="H64" s="127"/>
      <c r="I64" s="127"/>
      <c r="J64" s="127"/>
      <c r="K64" s="127"/>
      <c r="L64" s="127"/>
      <c r="M64" s="127"/>
      <c r="N64" s="127"/>
      <c r="O64" s="127"/>
      <c r="P64" s="127"/>
      <c r="Q64" s="127"/>
      <c r="R64" s="127"/>
      <c r="S64" s="127"/>
      <c r="T64" s="127"/>
      <c r="U64" s="127"/>
      <c r="V64" s="127"/>
      <c r="W64" s="127"/>
      <c r="X64" s="127"/>
      <c r="Y64" s="127"/>
      <c r="Z64" s="127"/>
      <c r="AA64" s="127"/>
      <c r="AB64" s="127"/>
      <c r="AC64" s="127"/>
      <c r="AD64" s="127"/>
      <c r="AE64" s="127"/>
      <c r="AF64" s="127"/>
      <c r="AG64" s="127"/>
      <c r="AH64" s="127"/>
      <c r="AI64" s="127"/>
      <c r="AJ64" s="127"/>
      <c r="AK64" s="127"/>
      <c r="AL64" s="127"/>
      <c r="AM64" s="127"/>
      <c r="AN64" s="127"/>
      <c r="AO64" s="127"/>
      <c r="AP64" s="127"/>
      <c r="AQ64" s="127"/>
      <c r="AR64" s="127"/>
      <c r="AS64" s="127"/>
      <c r="AT64" s="173"/>
      <c r="AU64" s="173"/>
      <c r="AV64" s="173"/>
      <c r="AW64" s="127"/>
      <c r="AX64" s="127"/>
      <c r="AY64" s="127"/>
      <c r="AZ64" s="127"/>
      <c r="BA64" s="127"/>
      <c r="BB64" s="127"/>
      <c r="BC64" s="127"/>
      <c r="BD64" s="127"/>
      <c r="BE64" s="127"/>
      <c r="BF64" s="127"/>
      <c r="BG64" s="127"/>
      <c r="BH64" s="175"/>
      <c r="BI64" s="127"/>
      <c r="BJ64" s="175"/>
      <c r="BK64" s="127"/>
      <c r="BL64" s="175"/>
      <c r="BM64" s="127"/>
      <c r="BN64" s="127"/>
      <c r="BO64" s="127"/>
      <c r="BP64" s="127"/>
      <c r="BQ64" s="127"/>
      <c r="BR64" s="127"/>
      <c r="BS64" s="127"/>
      <c r="BT64" s="127"/>
      <c r="BU64" s="127"/>
      <c r="BV64" s="127"/>
      <c r="BW64" s="127"/>
      <c r="BX64" s="127"/>
      <c r="BY64" s="127"/>
      <c r="BZ64" s="127"/>
      <c r="CA64" s="127"/>
      <c r="CB64" s="127"/>
      <c r="CC64" s="127"/>
      <c r="CD64" s="127"/>
      <c r="CE64" s="127"/>
      <c r="CF64" s="127"/>
      <c r="CG64" s="127"/>
      <c r="CH64" s="127"/>
      <c r="CI64" s="127"/>
      <c r="CJ64" s="127"/>
      <c r="CK64" s="127"/>
      <c r="CL64" s="174"/>
      <c r="CM64" s="127"/>
      <c r="CN64" s="173"/>
      <c r="CO64" s="127"/>
      <c r="CP64" s="127"/>
      <c r="CQ64" s="127"/>
      <c r="CR64" s="127"/>
      <c r="CS64" s="127"/>
      <c r="CT64" s="127"/>
      <c r="CU64" s="127"/>
      <c r="CV64" s="127"/>
      <c r="CW64" s="127"/>
      <c r="CX64" s="127"/>
      <c r="CY64" s="127"/>
      <c r="CZ64" s="127"/>
      <c r="DA64" s="173"/>
      <c r="DB64" s="174"/>
      <c r="DC64" s="127"/>
      <c r="DD64" s="127"/>
      <c r="DE64" s="127"/>
      <c r="DF64" s="127"/>
      <c r="DG64" s="127"/>
      <c r="DH64" s="127"/>
      <c r="DI64" s="127"/>
      <c r="DJ64" s="127"/>
      <c r="DK64" s="127"/>
      <c r="DL64" s="127"/>
      <c r="DM64" s="127"/>
      <c r="DN64" s="127"/>
      <c r="DO64" s="127"/>
      <c r="DP64" s="127"/>
      <c r="DQ64" s="173"/>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c r="EN64" s="127"/>
      <c r="EO64" s="127"/>
      <c r="EP64" s="127"/>
      <c r="EQ64" s="127"/>
      <c r="ER64" s="127"/>
      <c r="ES64" s="127"/>
      <c r="ET64" s="127"/>
      <c r="EU64" s="127"/>
      <c r="EV64" s="127"/>
      <c r="EW64" s="127"/>
      <c r="EX64" s="173"/>
      <c r="EY64" s="173"/>
      <c r="EZ64" s="173"/>
      <c r="FA64" s="173"/>
      <c r="FB64" s="173"/>
      <c r="FC64" s="173"/>
      <c r="FD64" s="173"/>
      <c r="FE64" s="173"/>
      <c r="FF64" s="173"/>
      <c r="FG64" s="173"/>
      <c r="FH64" s="127"/>
      <c r="FI64" s="127"/>
      <c r="FJ64" s="127"/>
      <c r="FK64" s="174"/>
      <c r="FL64" s="127"/>
      <c r="FM64" s="127"/>
      <c r="FN64" s="127"/>
      <c r="FO64" s="127"/>
      <c r="FP64" s="127"/>
      <c r="FQ64" s="127"/>
      <c r="FR64" s="127"/>
      <c r="FS64" s="127"/>
      <c r="FT64" s="127"/>
      <c r="FU64" s="127"/>
      <c r="FV64" s="127"/>
      <c r="FW64" s="127"/>
      <c r="FX64" s="127"/>
      <c r="FY64" s="127"/>
      <c r="FZ64" s="127"/>
      <c r="GA64" s="127"/>
      <c r="GB64" s="127"/>
      <c r="GC64" s="174"/>
      <c r="GD64" s="127"/>
      <c r="GE64" s="127"/>
      <c r="GF64" s="127"/>
      <c r="GG64" s="174"/>
      <c r="GH64" s="127"/>
      <c r="GI64" s="127"/>
      <c r="GJ64" s="127"/>
      <c r="GK64" s="174"/>
      <c r="GL64" s="127"/>
      <c r="GM64" s="127"/>
      <c r="GN64" s="127"/>
      <c r="GO64" s="127"/>
      <c r="GP64" s="127"/>
      <c r="GQ64" s="174"/>
      <c r="GR64" s="127"/>
      <c r="GS64" s="127"/>
      <c r="GT64" s="127"/>
      <c r="GU64" s="127"/>
      <c r="GV64" s="127"/>
      <c r="GW64" s="127"/>
      <c r="GX64" s="173"/>
      <c r="GY64" s="127"/>
      <c r="GZ64" s="127"/>
      <c r="HA64" s="174"/>
    </row>
    <row r="65" spans="1:209" s="58" customFormat="1" ht="18" customHeight="1">
      <c r="A65" s="127"/>
      <c r="B65" s="127"/>
      <c r="C65" s="127"/>
      <c r="D65" s="127"/>
      <c r="E65" s="127"/>
      <c r="G65" s="127"/>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27"/>
      <c r="AH65" s="127"/>
      <c r="AI65" s="127"/>
      <c r="AJ65" s="127"/>
      <c r="AK65" s="127"/>
      <c r="AL65" s="127"/>
      <c r="AM65" s="127"/>
      <c r="AN65" s="127"/>
      <c r="AO65" s="127"/>
      <c r="AP65" s="127"/>
      <c r="AQ65" s="127"/>
      <c r="AR65" s="127"/>
      <c r="AS65" s="127"/>
      <c r="AT65" s="173"/>
      <c r="AU65" s="173"/>
      <c r="AV65" s="173"/>
      <c r="AW65" s="127"/>
      <c r="AX65" s="127"/>
      <c r="AY65" s="127"/>
      <c r="AZ65" s="127"/>
      <c r="BA65" s="127"/>
      <c r="BB65" s="127"/>
      <c r="BC65" s="127"/>
      <c r="BD65" s="127"/>
      <c r="BE65" s="127"/>
      <c r="BF65" s="127"/>
      <c r="BG65" s="127"/>
      <c r="BH65" s="175"/>
      <c r="BI65" s="127"/>
      <c r="BJ65" s="175"/>
      <c r="BK65" s="127"/>
      <c r="BL65" s="175"/>
      <c r="BM65" s="127"/>
      <c r="BN65" s="127"/>
      <c r="BO65" s="127"/>
      <c r="BP65" s="127"/>
      <c r="BQ65" s="127"/>
      <c r="BR65" s="127"/>
      <c r="BS65" s="127"/>
      <c r="BT65" s="127"/>
      <c r="BU65" s="127"/>
      <c r="BV65" s="127"/>
      <c r="BW65" s="127"/>
      <c r="BX65" s="127"/>
      <c r="BY65" s="127"/>
      <c r="BZ65" s="127"/>
      <c r="CA65" s="127"/>
      <c r="CB65" s="127"/>
      <c r="CC65" s="127"/>
      <c r="CD65" s="127"/>
      <c r="CE65" s="127"/>
      <c r="CF65" s="127"/>
      <c r="CG65" s="127"/>
      <c r="CH65" s="127"/>
      <c r="CI65" s="127"/>
      <c r="CJ65" s="127"/>
      <c r="CK65" s="127"/>
      <c r="CL65" s="174"/>
      <c r="CM65" s="127"/>
      <c r="CN65" s="173"/>
      <c r="CO65" s="127"/>
      <c r="CP65" s="127"/>
      <c r="CQ65" s="127"/>
      <c r="CR65" s="127"/>
      <c r="CS65" s="127"/>
      <c r="CT65" s="127"/>
      <c r="CU65" s="127"/>
      <c r="CV65" s="127"/>
      <c r="CW65" s="127"/>
      <c r="CX65" s="127"/>
      <c r="CY65" s="127"/>
      <c r="CZ65" s="127"/>
      <c r="DA65" s="173"/>
      <c r="DB65" s="174"/>
      <c r="DC65" s="127"/>
      <c r="DD65" s="127"/>
      <c r="DE65" s="127"/>
      <c r="DF65" s="127"/>
      <c r="DG65" s="127"/>
      <c r="DH65" s="127"/>
      <c r="DI65" s="127"/>
      <c r="DJ65" s="127"/>
      <c r="DK65" s="127"/>
      <c r="DL65" s="127"/>
      <c r="DM65" s="127"/>
      <c r="DN65" s="127"/>
      <c r="DO65" s="127"/>
      <c r="DP65" s="127"/>
      <c r="DQ65" s="173"/>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c r="EN65" s="127"/>
      <c r="EO65" s="127"/>
      <c r="EP65" s="127"/>
      <c r="EQ65" s="127"/>
      <c r="ER65" s="127"/>
      <c r="ES65" s="127"/>
      <c r="ET65" s="127"/>
      <c r="EU65" s="127"/>
      <c r="EV65" s="127"/>
      <c r="EW65" s="127"/>
      <c r="EX65" s="173"/>
      <c r="EY65" s="173"/>
      <c r="EZ65" s="173"/>
      <c r="FA65" s="173"/>
      <c r="FB65" s="173"/>
      <c r="FC65" s="173"/>
      <c r="FD65" s="173"/>
      <c r="FE65" s="173"/>
      <c r="FF65" s="173"/>
      <c r="FG65" s="173"/>
      <c r="FH65" s="127"/>
      <c r="FI65" s="127"/>
      <c r="FJ65" s="127"/>
      <c r="FK65" s="174"/>
      <c r="FL65" s="127"/>
      <c r="FM65" s="127"/>
      <c r="FN65" s="127"/>
      <c r="FO65" s="127"/>
      <c r="FP65" s="127"/>
      <c r="FQ65" s="127"/>
      <c r="FR65" s="127"/>
      <c r="FS65" s="127"/>
      <c r="FT65" s="127"/>
      <c r="FU65" s="127"/>
      <c r="FV65" s="127"/>
      <c r="FW65" s="127"/>
      <c r="FX65" s="127"/>
      <c r="FY65" s="127"/>
      <c r="FZ65" s="127"/>
      <c r="GA65" s="127"/>
      <c r="GB65" s="127"/>
      <c r="GC65" s="174"/>
      <c r="GD65" s="127"/>
      <c r="GE65" s="127"/>
      <c r="GF65" s="127"/>
      <c r="GG65" s="174"/>
      <c r="GH65" s="127"/>
      <c r="GI65" s="127"/>
      <c r="GJ65" s="127"/>
      <c r="GK65" s="174"/>
      <c r="GL65" s="127"/>
      <c r="GM65" s="127"/>
      <c r="GN65" s="127"/>
      <c r="GO65" s="127"/>
      <c r="GP65" s="127"/>
      <c r="GQ65" s="174"/>
      <c r="GR65" s="127"/>
      <c r="GS65" s="127"/>
      <c r="GT65" s="127"/>
      <c r="GU65" s="127"/>
      <c r="GV65" s="127"/>
      <c r="GW65" s="127"/>
      <c r="GX65" s="173"/>
      <c r="GY65" s="127"/>
      <c r="GZ65" s="127"/>
      <c r="HA65" s="174"/>
    </row>
    <row r="66" spans="1:209" s="58" customFormat="1" ht="18" customHeight="1">
      <c r="A66" s="127"/>
      <c r="B66" s="127"/>
      <c r="C66" s="127"/>
      <c r="D66" s="127"/>
      <c r="E66" s="127"/>
      <c r="G66" s="127"/>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27"/>
      <c r="AH66" s="127"/>
      <c r="AI66" s="127"/>
      <c r="AJ66" s="127"/>
      <c r="AK66" s="127"/>
      <c r="AL66" s="127"/>
      <c r="AM66" s="127"/>
      <c r="AN66" s="127"/>
      <c r="AO66" s="127"/>
      <c r="AP66" s="127"/>
      <c r="AQ66" s="127"/>
      <c r="AR66" s="127"/>
      <c r="AS66" s="127"/>
      <c r="AT66" s="173"/>
      <c r="AU66" s="173"/>
      <c r="AV66" s="173"/>
      <c r="AW66" s="127"/>
      <c r="AX66" s="127"/>
      <c r="AY66" s="127"/>
      <c r="AZ66" s="127"/>
      <c r="BA66" s="127"/>
      <c r="BB66" s="127"/>
      <c r="BC66" s="127"/>
      <c r="BD66" s="127"/>
      <c r="BE66" s="127"/>
      <c r="BF66" s="127"/>
      <c r="BG66" s="127"/>
      <c r="BH66" s="175"/>
      <c r="BI66" s="127"/>
      <c r="BJ66" s="175"/>
      <c r="BK66" s="127"/>
      <c r="BL66" s="175"/>
      <c r="BM66" s="127"/>
      <c r="BN66" s="127"/>
      <c r="BO66" s="127"/>
      <c r="BP66" s="127"/>
      <c r="BQ66" s="127"/>
      <c r="BR66" s="127"/>
      <c r="BS66" s="127"/>
      <c r="BT66" s="127"/>
      <c r="BU66" s="127"/>
      <c r="BV66" s="127"/>
      <c r="BW66" s="127"/>
      <c r="BX66" s="127"/>
      <c r="BY66" s="127"/>
      <c r="BZ66" s="127"/>
      <c r="CA66" s="127"/>
      <c r="CB66" s="127"/>
      <c r="CC66" s="127"/>
      <c r="CD66" s="127"/>
      <c r="CE66" s="127"/>
      <c r="CF66" s="127"/>
      <c r="CG66" s="127"/>
      <c r="CH66" s="127"/>
      <c r="CI66" s="127"/>
      <c r="CJ66" s="127"/>
      <c r="CK66" s="127"/>
      <c r="CL66" s="174"/>
      <c r="CM66" s="127"/>
      <c r="CN66" s="173"/>
      <c r="CO66" s="127"/>
      <c r="CP66" s="127"/>
      <c r="CQ66" s="127"/>
      <c r="CR66" s="127"/>
      <c r="CS66" s="127"/>
      <c r="CT66" s="127"/>
      <c r="CU66" s="127"/>
      <c r="CV66" s="127"/>
      <c r="CW66" s="127"/>
      <c r="CX66" s="127"/>
      <c r="CY66" s="127"/>
      <c r="CZ66" s="127"/>
      <c r="DA66" s="173"/>
      <c r="DB66" s="174"/>
      <c r="DC66" s="127"/>
      <c r="DD66" s="127"/>
      <c r="DE66" s="127"/>
      <c r="DF66" s="127"/>
      <c r="DG66" s="127"/>
      <c r="DH66" s="127"/>
      <c r="DI66" s="127"/>
      <c r="DJ66" s="127"/>
      <c r="DK66" s="127"/>
      <c r="DL66" s="127"/>
      <c r="DM66" s="127"/>
      <c r="DN66" s="127"/>
      <c r="DO66" s="127"/>
      <c r="DP66" s="127"/>
      <c r="DQ66" s="173"/>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c r="EN66" s="127"/>
      <c r="EO66" s="127"/>
      <c r="EP66" s="127"/>
      <c r="EQ66" s="127"/>
      <c r="ER66" s="127"/>
      <c r="ES66" s="127"/>
      <c r="ET66" s="127"/>
      <c r="EU66" s="127"/>
      <c r="EV66" s="127"/>
      <c r="EW66" s="127"/>
      <c r="EX66" s="173"/>
      <c r="EY66" s="173"/>
      <c r="EZ66" s="173"/>
      <c r="FA66" s="173"/>
      <c r="FB66" s="173"/>
      <c r="FC66" s="173"/>
      <c r="FD66" s="173"/>
      <c r="FE66" s="173"/>
      <c r="FF66" s="173"/>
      <c r="FG66" s="173"/>
      <c r="FH66" s="127"/>
      <c r="FI66" s="127"/>
      <c r="FJ66" s="127"/>
      <c r="FK66" s="174"/>
      <c r="FL66" s="127"/>
      <c r="FM66" s="127"/>
      <c r="FN66" s="127"/>
      <c r="FO66" s="127"/>
      <c r="FP66" s="127"/>
      <c r="FQ66" s="127"/>
      <c r="FR66" s="127"/>
      <c r="FS66" s="127"/>
      <c r="FT66" s="127"/>
      <c r="FU66" s="127"/>
      <c r="FV66" s="127"/>
      <c r="FW66" s="127"/>
      <c r="FX66" s="127"/>
      <c r="FY66" s="127"/>
      <c r="FZ66" s="127"/>
      <c r="GA66" s="127"/>
      <c r="GB66" s="127"/>
      <c r="GC66" s="174"/>
      <c r="GD66" s="127"/>
      <c r="GE66" s="127"/>
      <c r="GF66" s="127"/>
      <c r="GG66" s="174"/>
      <c r="GH66" s="127"/>
      <c r="GI66" s="127"/>
      <c r="GJ66" s="127"/>
      <c r="GK66" s="174"/>
      <c r="GL66" s="127"/>
      <c r="GM66" s="127"/>
      <c r="GN66" s="127"/>
      <c r="GO66" s="127"/>
      <c r="GP66" s="127"/>
      <c r="GQ66" s="174"/>
      <c r="GR66" s="127"/>
      <c r="GS66" s="127"/>
      <c r="GT66" s="127"/>
      <c r="GU66" s="127"/>
      <c r="GV66" s="127"/>
      <c r="GW66" s="127"/>
      <c r="GX66" s="173"/>
      <c r="GY66" s="127"/>
      <c r="GZ66" s="127"/>
      <c r="HA66" s="174"/>
    </row>
    <row r="67" spans="1:209" s="58" customFormat="1" ht="18" customHeight="1">
      <c r="A67" s="127"/>
      <c r="B67" s="127"/>
      <c r="C67" s="127"/>
      <c r="D67" s="127"/>
      <c r="E67" s="127"/>
      <c r="G67" s="127"/>
      <c r="H67" s="127"/>
      <c r="I67" s="127"/>
      <c r="J67" s="127"/>
      <c r="K67" s="127"/>
      <c r="L67" s="127"/>
      <c r="M67" s="127"/>
      <c r="N67" s="127"/>
      <c r="O67" s="127"/>
      <c r="P67" s="127"/>
      <c r="Q67" s="127"/>
      <c r="R67" s="127"/>
      <c r="S67" s="127"/>
      <c r="T67" s="127"/>
      <c r="U67" s="127"/>
      <c r="V67" s="127"/>
      <c r="W67" s="127"/>
      <c r="X67" s="127"/>
      <c r="Y67" s="127"/>
      <c r="Z67" s="127"/>
      <c r="AA67" s="127"/>
      <c r="AB67" s="127"/>
      <c r="AC67" s="127"/>
      <c r="AD67" s="127"/>
      <c r="AE67" s="127"/>
      <c r="AF67" s="127"/>
      <c r="AG67" s="127"/>
      <c r="AH67" s="127"/>
      <c r="AI67" s="127"/>
      <c r="AJ67" s="127"/>
      <c r="AK67" s="127"/>
      <c r="AL67" s="127"/>
      <c r="AM67" s="127"/>
      <c r="AN67" s="127"/>
      <c r="AO67" s="127"/>
      <c r="AP67" s="127"/>
      <c r="AQ67" s="127"/>
      <c r="AR67" s="127"/>
      <c r="AS67" s="127"/>
      <c r="AT67" s="173"/>
      <c r="AU67" s="173"/>
      <c r="AV67" s="173"/>
      <c r="AW67" s="127"/>
      <c r="AX67" s="127"/>
      <c r="AY67" s="127"/>
      <c r="AZ67" s="127"/>
      <c r="BA67" s="127"/>
      <c r="BB67" s="127"/>
      <c r="BC67" s="127"/>
      <c r="BD67" s="127"/>
      <c r="BE67" s="127"/>
      <c r="BF67" s="127"/>
      <c r="BG67" s="127"/>
      <c r="BH67" s="175"/>
      <c r="BI67" s="127"/>
      <c r="BJ67" s="175"/>
      <c r="BK67" s="127"/>
      <c r="BL67" s="175"/>
      <c r="BM67" s="127"/>
      <c r="BN67" s="127"/>
      <c r="BO67" s="127"/>
      <c r="BP67" s="127"/>
      <c r="BQ67" s="127"/>
      <c r="BR67" s="127"/>
      <c r="BS67" s="127"/>
      <c r="BT67" s="127"/>
      <c r="BU67" s="127"/>
      <c r="BV67" s="127"/>
      <c r="BW67" s="127"/>
      <c r="BX67" s="127"/>
      <c r="BY67" s="127"/>
      <c r="BZ67" s="127"/>
      <c r="CA67" s="127"/>
      <c r="CB67" s="127"/>
      <c r="CC67" s="127"/>
      <c r="CD67" s="127"/>
      <c r="CE67" s="127"/>
      <c r="CF67" s="127"/>
      <c r="CG67" s="127"/>
      <c r="CH67" s="127"/>
      <c r="CI67" s="127"/>
      <c r="CJ67" s="127"/>
      <c r="CK67" s="127"/>
      <c r="CL67" s="174"/>
      <c r="CM67" s="127"/>
      <c r="CN67" s="173"/>
      <c r="CO67" s="127"/>
      <c r="CP67" s="127"/>
      <c r="CQ67" s="127"/>
      <c r="CR67" s="127"/>
      <c r="CS67" s="127"/>
      <c r="CT67" s="127"/>
      <c r="CU67" s="127"/>
      <c r="CV67" s="127"/>
      <c r="CW67" s="127"/>
      <c r="CX67" s="127"/>
      <c r="CY67" s="127"/>
      <c r="CZ67" s="127"/>
      <c r="DA67" s="173"/>
      <c r="DB67" s="174"/>
      <c r="DC67" s="127"/>
      <c r="DD67" s="127"/>
      <c r="DE67" s="127"/>
      <c r="DF67" s="127"/>
      <c r="DG67" s="127"/>
      <c r="DH67" s="127"/>
      <c r="DI67" s="127"/>
      <c r="DJ67" s="127"/>
      <c r="DK67" s="127"/>
      <c r="DL67" s="127"/>
      <c r="DM67" s="127"/>
      <c r="DN67" s="127"/>
      <c r="DO67" s="127"/>
      <c r="DP67" s="127"/>
      <c r="DQ67" s="173"/>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c r="EN67" s="127"/>
      <c r="EO67" s="127"/>
      <c r="EP67" s="127"/>
      <c r="EQ67" s="127"/>
      <c r="ER67" s="127"/>
      <c r="ES67" s="127"/>
      <c r="ET67" s="127"/>
      <c r="EU67" s="127"/>
      <c r="EV67" s="127"/>
      <c r="EW67" s="127"/>
      <c r="EX67" s="173"/>
      <c r="EY67" s="173"/>
      <c r="EZ67" s="173"/>
      <c r="FA67" s="173"/>
      <c r="FB67" s="173"/>
      <c r="FC67" s="173"/>
      <c r="FD67" s="173"/>
      <c r="FE67" s="173"/>
      <c r="FF67" s="173"/>
      <c r="FG67" s="173"/>
      <c r="FH67" s="127"/>
      <c r="FI67" s="127"/>
      <c r="FJ67" s="127"/>
      <c r="FK67" s="174"/>
      <c r="FL67" s="127"/>
      <c r="FM67" s="127"/>
      <c r="FN67" s="127"/>
      <c r="FO67" s="127"/>
      <c r="FP67" s="127"/>
      <c r="FQ67" s="127"/>
      <c r="FR67" s="127"/>
      <c r="FS67" s="127"/>
      <c r="FT67" s="127"/>
      <c r="FU67" s="127"/>
      <c r="FV67" s="127"/>
      <c r="FW67" s="127"/>
      <c r="FX67" s="127"/>
      <c r="FY67" s="127"/>
      <c r="FZ67" s="127"/>
      <c r="GA67" s="127"/>
      <c r="GB67" s="127"/>
      <c r="GC67" s="174"/>
      <c r="GD67" s="127"/>
      <c r="GE67" s="127"/>
      <c r="GF67" s="127"/>
      <c r="GG67" s="174"/>
      <c r="GH67" s="127"/>
      <c r="GI67" s="127"/>
      <c r="GJ67" s="127"/>
      <c r="GK67" s="174"/>
      <c r="GL67" s="127"/>
      <c r="GM67" s="127"/>
      <c r="GN67" s="127"/>
      <c r="GO67" s="127"/>
      <c r="GP67" s="127"/>
      <c r="GQ67" s="174"/>
      <c r="GR67" s="127"/>
      <c r="GS67" s="127"/>
      <c r="GT67" s="127"/>
      <c r="GU67" s="127"/>
      <c r="GV67" s="127"/>
      <c r="GW67" s="127"/>
      <c r="GX67" s="173"/>
      <c r="GY67" s="127"/>
      <c r="GZ67" s="127"/>
      <c r="HA67" s="174"/>
    </row>
    <row r="68" spans="1:209" s="58" customFormat="1" ht="18" customHeight="1">
      <c r="A68" s="127"/>
      <c r="B68" s="127"/>
      <c r="C68" s="127"/>
      <c r="D68" s="127"/>
      <c r="E68" s="127"/>
      <c r="G68" s="127"/>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27"/>
      <c r="AH68" s="127"/>
      <c r="AI68" s="127"/>
      <c r="AJ68" s="127"/>
      <c r="AK68" s="127"/>
      <c r="AL68" s="127"/>
      <c r="AM68" s="127"/>
      <c r="AN68" s="127"/>
      <c r="AO68" s="127"/>
      <c r="AP68" s="127"/>
      <c r="AQ68" s="127"/>
      <c r="AR68" s="127"/>
      <c r="AS68" s="127"/>
      <c r="AT68" s="173"/>
      <c r="AU68" s="173"/>
      <c r="AV68" s="173"/>
      <c r="AW68" s="127"/>
      <c r="AX68" s="127"/>
      <c r="AY68" s="127"/>
      <c r="AZ68" s="127"/>
      <c r="BA68" s="127"/>
      <c r="BB68" s="127"/>
      <c r="BC68" s="127"/>
      <c r="BD68" s="127"/>
      <c r="BE68" s="127"/>
      <c r="BF68" s="127"/>
      <c r="BG68" s="127"/>
      <c r="BH68" s="175"/>
      <c r="BI68" s="127"/>
      <c r="BJ68" s="175"/>
      <c r="BK68" s="127"/>
      <c r="BL68" s="175"/>
      <c r="BM68" s="127"/>
      <c r="BN68" s="127"/>
      <c r="BO68" s="127"/>
      <c r="BP68" s="127"/>
      <c r="BQ68" s="127"/>
      <c r="BR68" s="127"/>
      <c r="BS68" s="127"/>
      <c r="BT68" s="127"/>
      <c r="BU68" s="127"/>
      <c r="BV68" s="127"/>
      <c r="BW68" s="127"/>
      <c r="BX68" s="127"/>
      <c r="BY68" s="127"/>
      <c r="BZ68" s="127"/>
      <c r="CA68" s="127"/>
      <c r="CB68" s="127"/>
      <c r="CC68" s="127"/>
      <c r="CD68" s="127"/>
      <c r="CE68" s="127"/>
      <c r="CF68" s="127"/>
      <c r="CG68" s="127"/>
      <c r="CH68" s="127"/>
      <c r="CI68" s="127"/>
      <c r="CJ68" s="127"/>
      <c r="CK68" s="127"/>
      <c r="CL68" s="174"/>
      <c r="CM68" s="127"/>
      <c r="CN68" s="173"/>
      <c r="CO68" s="127"/>
      <c r="CP68" s="127"/>
      <c r="CQ68" s="127"/>
      <c r="CR68" s="127"/>
      <c r="CS68" s="127"/>
      <c r="CT68" s="127"/>
      <c r="CU68" s="127"/>
      <c r="CV68" s="127"/>
      <c r="CW68" s="127"/>
      <c r="CX68" s="127"/>
      <c r="CY68" s="127"/>
      <c r="CZ68" s="127"/>
      <c r="DA68" s="173"/>
      <c r="DB68" s="174"/>
      <c r="DC68" s="127"/>
      <c r="DD68" s="127"/>
      <c r="DE68" s="127"/>
      <c r="DF68" s="127"/>
      <c r="DG68" s="127"/>
      <c r="DH68" s="127"/>
      <c r="DI68" s="127"/>
      <c r="DJ68" s="127"/>
      <c r="DK68" s="127"/>
      <c r="DL68" s="127"/>
      <c r="DM68" s="127"/>
      <c r="DN68" s="127"/>
      <c r="DO68" s="127"/>
      <c r="DP68" s="127"/>
      <c r="DQ68" s="173"/>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c r="EN68" s="127"/>
      <c r="EO68" s="127"/>
      <c r="EP68" s="127"/>
      <c r="EQ68" s="127"/>
      <c r="ER68" s="127"/>
      <c r="ES68" s="127"/>
      <c r="ET68" s="127"/>
      <c r="EU68" s="127"/>
      <c r="EV68" s="127"/>
      <c r="EW68" s="127"/>
      <c r="EX68" s="173"/>
      <c r="EY68" s="173"/>
      <c r="EZ68" s="173"/>
      <c r="FA68" s="173"/>
      <c r="FB68" s="173"/>
      <c r="FC68" s="173"/>
      <c r="FD68" s="173"/>
      <c r="FE68" s="173"/>
      <c r="FF68" s="173"/>
      <c r="FG68" s="173"/>
      <c r="FH68" s="127"/>
      <c r="FI68" s="127"/>
      <c r="FJ68" s="127"/>
      <c r="FK68" s="174"/>
      <c r="FL68" s="127"/>
      <c r="FM68" s="127"/>
      <c r="FN68" s="127"/>
      <c r="FO68" s="127"/>
      <c r="FP68" s="127"/>
      <c r="FQ68" s="127"/>
      <c r="FR68" s="127"/>
      <c r="FS68" s="127"/>
      <c r="FT68" s="127"/>
      <c r="FU68" s="127"/>
      <c r="FV68" s="127"/>
      <c r="FW68" s="127"/>
      <c r="FX68" s="127"/>
      <c r="FY68" s="127"/>
      <c r="FZ68" s="127"/>
      <c r="GA68" s="127"/>
      <c r="GB68" s="127"/>
      <c r="GC68" s="174"/>
      <c r="GD68" s="127"/>
      <c r="GE68" s="127"/>
      <c r="GF68" s="127"/>
      <c r="GG68" s="174"/>
      <c r="GH68" s="127"/>
      <c r="GI68" s="127"/>
      <c r="GJ68" s="127"/>
      <c r="GK68" s="174"/>
      <c r="GL68" s="127"/>
      <c r="GM68" s="127"/>
      <c r="GN68" s="127"/>
      <c r="GO68" s="127"/>
      <c r="GP68" s="127"/>
      <c r="GQ68" s="174"/>
      <c r="GR68" s="127"/>
      <c r="GS68" s="127"/>
      <c r="GT68" s="127"/>
      <c r="GU68" s="127"/>
      <c r="GV68" s="127"/>
      <c r="GW68" s="127"/>
      <c r="GX68" s="173"/>
      <c r="GY68" s="127"/>
      <c r="GZ68" s="127"/>
      <c r="HA68" s="174"/>
    </row>
    <row r="69" spans="1:209" s="58" customFormat="1" ht="18" customHeight="1">
      <c r="A69" s="127"/>
      <c r="B69" s="127"/>
      <c r="C69" s="127"/>
      <c r="D69" s="127"/>
      <c r="E69" s="127"/>
      <c r="G69" s="127"/>
      <c r="H69" s="127"/>
      <c r="I69" s="127"/>
      <c r="J69" s="127"/>
      <c r="K69" s="127"/>
      <c r="L69" s="127"/>
      <c r="M69" s="127"/>
      <c r="N69" s="127"/>
      <c r="O69" s="127"/>
      <c r="P69" s="127"/>
      <c r="Q69" s="127"/>
      <c r="R69" s="127"/>
      <c r="S69" s="127"/>
      <c r="T69" s="127"/>
      <c r="U69" s="127"/>
      <c r="V69" s="127"/>
      <c r="W69" s="127"/>
      <c r="X69" s="127"/>
      <c r="Y69" s="127"/>
      <c r="Z69" s="127"/>
      <c r="AA69" s="127"/>
      <c r="AB69" s="127"/>
      <c r="AC69" s="127"/>
      <c r="AD69" s="127"/>
      <c r="AE69" s="127"/>
      <c r="AF69" s="127"/>
      <c r="AG69" s="127"/>
      <c r="AH69" s="127"/>
      <c r="AI69" s="127"/>
      <c r="AJ69" s="127"/>
      <c r="AK69" s="127"/>
      <c r="AL69" s="127"/>
      <c r="AM69" s="127"/>
      <c r="AN69" s="127"/>
      <c r="AO69" s="127"/>
      <c r="AP69" s="127"/>
      <c r="AQ69" s="127"/>
      <c r="AR69" s="127"/>
      <c r="AS69" s="127"/>
      <c r="AT69" s="173"/>
      <c r="AU69" s="173"/>
      <c r="AV69" s="173"/>
      <c r="AW69" s="127"/>
      <c r="AX69" s="127"/>
      <c r="AY69" s="127"/>
      <c r="AZ69" s="127"/>
      <c r="BA69" s="127"/>
      <c r="BB69" s="127"/>
      <c r="BC69" s="127"/>
      <c r="BD69" s="127"/>
      <c r="BE69" s="127"/>
      <c r="BF69" s="127"/>
      <c r="BG69" s="127"/>
      <c r="BH69" s="175"/>
      <c r="BI69" s="127"/>
      <c r="BJ69" s="175"/>
      <c r="BK69" s="127"/>
      <c r="BL69" s="175"/>
      <c r="BM69" s="127"/>
      <c r="BN69" s="127"/>
      <c r="BO69" s="127"/>
      <c r="BP69" s="127"/>
      <c r="BQ69" s="127"/>
      <c r="BR69" s="127"/>
      <c r="BS69" s="127"/>
      <c r="BT69" s="127"/>
      <c r="BU69" s="127"/>
      <c r="BV69" s="127"/>
      <c r="BW69" s="127"/>
      <c r="BX69" s="127"/>
      <c r="BY69" s="127"/>
      <c r="BZ69" s="127"/>
      <c r="CA69" s="127"/>
      <c r="CB69" s="127"/>
      <c r="CC69" s="127"/>
      <c r="CD69" s="127"/>
      <c r="CE69" s="127"/>
      <c r="CF69" s="127"/>
      <c r="CG69" s="127"/>
      <c r="CH69" s="127"/>
      <c r="CI69" s="127"/>
      <c r="CJ69" s="127"/>
      <c r="CK69" s="127"/>
      <c r="CL69" s="174"/>
      <c r="CM69" s="127"/>
      <c r="CN69" s="173"/>
      <c r="CO69" s="127"/>
      <c r="CP69" s="127"/>
      <c r="CQ69" s="127"/>
      <c r="CR69" s="127"/>
      <c r="CS69" s="127"/>
      <c r="CT69" s="127"/>
      <c r="CU69" s="127"/>
      <c r="CV69" s="127"/>
      <c r="CW69" s="127"/>
      <c r="CX69" s="127"/>
      <c r="CY69" s="127"/>
      <c r="CZ69" s="127"/>
      <c r="DA69" s="173"/>
      <c r="DB69" s="174"/>
      <c r="DC69" s="127"/>
      <c r="DD69" s="127"/>
      <c r="DE69" s="127"/>
      <c r="DF69" s="127"/>
      <c r="DG69" s="127"/>
      <c r="DH69" s="127"/>
      <c r="DI69" s="127"/>
      <c r="DJ69" s="127"/>
      <c r="DK69" s="127"/>
      <c r="DL69" s="127"/>
      <c r="DM69" s="127"/>
      <c r="DN69" s="127"/>
      <c r="DO69" s="127"/>
      <c r="DP69" s="127"/>
      <c r="DQ69" s="173"/>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c r="EN69" s="127"/>
      <c r="EO69" s="127"/>
      <c r="EP69" s="127"/>
      <c r="EQ69" s="127"/>
      <c r="ER69" s="127"/>
      <c r="ES69" s="127"/>
      <c r="ET69" s="127"/>
      <c r="EU69" s="127"/>
      <c r="EV69" s="127"/>
      <c r="EW69" s="127"/>
      <c r="EX69" s="173"/>
      <c r="EY69" s="173"/>
      <c r="EZ69" s="173"/>
      <c r="FA69" s="173"/>
      <c r="FB69" s="173"/>
      <c r="FC69" s="173"/>
      <c r="FD69" s="173"/>
      <c r="FE69" s="173"/>
      <c r="FF69" s="173"/>
      <c r="FG69" s="173"/>
      <c r="FH69" s="127"/>
      <c r="FI69" s="127"/>
      <c r="FJ69" s="127"/>
      <c r="FK69" s="174"/>
      <c r="FL69" s="127"/>
      <c r="FM69" s="127"/>
      <c r="FN69" s="127"/>
      <c r="FO69" s="127"/>
      <c r="FP69" s="127"/>
      <c r="FQ69" s="127"/>
      <c r="FR69" s="127"/>
      <c r="FS69" s="127"/>
      <c r="FT69" s="127"/>
      <c r="FU69" s="127"/>
      <c r="FV69" s="127"/>
      <c r="FW69" s="127"/>
      <c r="FX69" s="127"/>
      <c r="FY69" s="127"/>
      <c r="FZ69" s="127"/>
      <c r="GA69" s="127"/>
      <c r="GB69" s="127"/>
      <c r="GC69" s="174"/>
      <c r="GD69" s="127"/>
      <c r="GE69" s="127"/>
      <c r="GF69" s="127"/>
      <c r="GG69" s="174"/>
      <c r="GH69" s="127"/>
      <c r="GI69" s="127"/>
      <c r="GJ69" s="127"/>
      <c r="GK69" s="174"/>
      <c r="GL69" s="127"/>
      <c r="GM69" s="127"/>
      <c r="GN69" s="127"/>
      <c r="GO69" s="127"/>
      <c r="GP69" s="127"/>
      <c r="GQ69" s="174"/>
      <c r="GR69" s="127"/>
      <c r="GS69" s="127"/>
      <c r="GT69" s="127"/>
      <c r="GU69" s="127"/>
      <c r="GV69" s="127"/>
      <c r="GW69" s="127"/>
      <c r="GX69" s="173"/>
      <c r="GY69" s="127"/>
      <c r="GZ69" s="127"/>
      <c r="HA69" s="174"/>
    </row>
    <row r="70" spans="1:209" s="58" customFormat="1" ht="18" customHeight="1">
      <c r="A70" s="127"/>
      <c r="B70" s="127"/>
      <c r="C70" s="127"/>
      <c r="D70" s="127"/>
      <c r="E70" s="127"/>
      <c r="G70" s="127"/>
      <c r="H70" s="127"/>
      <c r="I70" s="127"/>
      <c r="J70" s="127"/>
      <c r="K70" s="127"/>
      <c r="L70" s="127"/>
      <c r="M70" s="127"/>
      <c r="N70" s="127"/>
      <c r="O70" s="127"/>
      <c r="P70" s="127"/>
      <c r="Q70" s="127"/>
      <c r="R70" s="127"/>
      <c r="S70" s="127"/>
      <c r="T70" s="127"/>
      <c r="U70" s="127"/>
      <c r="V70" s="127"/>
      <c r="W70" s="127"/>
      <c r="X70" s="127"/>
      <c r="Y70" s="127"/>
      <c r="Z70" s="127"/>
      <c r="AA70" s="127"/>
      <c r="AB70" s="127"/>
      <c r="AC70" s="127"/>
      <c r="AD70" s="127"/>
      <c r="AE70" s="127"/>
      <c r="AF70" s="127"/>
      <c r="AG70" s="127"/>
      <c r="AH70" s="127"/>
      <c r="AI70" s="127"/>
      <c r="AJ70" s="127"/>
      <c r="AK70" s="127"/>
      <c r="AL70" s="127"/>
      <c r="AM70" s="127"/>
      <c r="AN70" s="127"/>
      <c r="AO70" s="127"/>
      <c r="AP70" s="127"/>
      <c r="AQ70" s="127"/>
      <c r="AR70" s="127"/>
      <c r="AS70" s="127"/>
      <c r="AT70" s="173"/>
      <c r="AU70" s="173"/>
      <c r="AV70" s="173"/>
      <c r="AW70" s="127"/>
      <c r="AX70" s="127"/>
      <c r="AY70" s="127"/>
      <c r="AZ70" s="127"/>
      <c r="BA70" s="127"/>
      <c r="BB70" s="127"/>
      <c r="BC70" s="127"/>
      <c r="BD70" s="127"/>
      <c r="BE70" s="127"/>
      <c r="BF70" s="127"/>
      <c r="BG70" s="127"/>
      <c r="BH70" s="175"/>
      <c r="BI70" s="127"/>
      <c r="BJ70" s="175"/>
      <c r="BK70" s="127"/>
      <c r="BL70" s="175"/>
      <c r="BM70" s="127"/>
      <c r="BN70" s="127"/>
      <c r="BO70" s="127"/>
      <c r="BP70" s="127"/>
      <c r="BQ70" s="127"/>
      <c r="BR70" s="127"/>
      <c r="BS70" s="127"/>
      <c r="BT70" s="127"/>
      <c r="BU70" s="127"/>
      <c r="BV70" s="127"/>
      <c r="BW70" s="127"/>
      <c r="BX70" s="127"/>
      <c r="BY70" s="127"/>
      <c r="BZ70" s="127"/>
      <c r="CA70" s="127"/>
      <c r="CB70" s="127"/>
      <c r="CC70" s="127"/>
      <c r="CD70" s="127"/>
      <c r="CE70" s="127"/>
      <c r="CF70" s="127"/>
      <c r="CG70" s="127"/>
      <c r="CH70" s="127"/>
      <c r="CI70" s="127"/>
      <c r="CJ70" s="127"/>
      <c r="CK70" s="127"/>
      <c r="CL70" s="174"/>
      <c r="CM70" s="127"/>
      <c r="CN70" s="173"/>
      <c r="CO70" s="127"/>
      <c r="CP70" s="127"/>
      <c r="CQ70" s="127"/>
      <c r="CR70" s="127"/>
      <c r="CS70" s="127"/>
      <c r="CT70" s="127"/>
      <c r="CU70" s="127"/>
      <c r="CV70" s="127"/>
      <c r="CW70" s="127"/>
      <c r="CX70" s="127"/>
      <c r="CY70" s="127"/>
      <c r="CZ70" s="127"/>
      <c r="DA70" s="173"/>
      <c r="DB70" s="174"/>
      <c r="DC70" s="127"/>
      <c r="DD70" s="127"/>
      <c r="DE70" s="127"/>
      <c r="DF70" s="127"/>
      <c r="DG70" s="127"/>
      <c r="DH70" s="127"/>
      <c r="DI70" s="127"/>
      <c r="DJ70" s="127"/>
      <c r="DK70" s="127"/>
      <c r="DL70" s="127"/>
      <c r="DM70" s="127"/>
      <c r="DN70" s="127"/>
      <c r="DO70" s="127"/>
      <c r="DP70" s="127"/>
      <c r="DQ70" s="173"/>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c r="EN70" s="127"/>
      <c r="EO70" s="127"/>
      <c r="EP70" s="127"/>
      <c r="EQ70" s="127"/>
      <c r="ER70" s="127"/>
      <c r="ES70" s="127"/>
      <c r="ET70" s="127"/>
      <c r="EU70" s="127"/>
      <c r="EV70" s="127"/>
      <c r="EW70" s="127"/>
      <c r="EX70" s="173"/>
      <c r="EY70" s="173"/>
      <c r="EZ70" s="173"/>
      <c r="FA70" s="173"/>
      <c r="FB70" s="173"/>
      <c r="FC70" s="173"/>
      <c r="FD70" s="173"/>
      <c r="FE70" s="173"/>
      <c r="FF70" s="173"/>
      <c r="FG70" s="173"/>
      <c r="FH70" s="127"/>
      <c r="FI70" s="127"/>
      <c r="FJ70" s="127"/>
      <c r="FK70" s="174"/>
      <c r="FL70" s="127"/>
      <c r="FM70" s="127"/>
      <c r="FN70" s="127"/>
      <c r="FO70" s="127"/>
      <c r="FP70" s="127"/>
      <c r="FQ70" s="127"/>
      <c r="FR70" s="127"/>
      <c r="FS70" s="127"/>
      <c r="FT70" s="127"/>
      <c r="FU70" s="127"/>
      <c r="FV70" s="127"/>
      <c r="FW70" s="127"/>
      <c r="FX70" s="127"/>
      <c r="FY70" s="127"/>
      <c r="FZ70" s="127"/>
      <c r="GA70" s="127"/>
      <c r="GB70" s="127"/>
      <c r="GC70" s="174"/>
      <c r="GD70" s="127"/>
      <c r="GE70" s="127"/>
      <c r="GF70" s="127"/>
      <c r="GG70" s="174"/>
      <c r="GH70" s="127"/>
      <c r="GI70" s="127"/>
      <c r="GJ70" s="127"/>
      <c r="GK70" s="174"/>
      <c r="GL70" s="127"/>
      <c r="GM70" s="127"/>
      <c r="GN70" s="127"/>
      <c r="GO70" s="127"/>
      <c r="GP70" s="127"/>
      <c r="GQ70" s="174"/>
      <c r="GR70" s="127"/>
      <c r="GS70" s="127"/>
      <c r="GT70" s="127"/>
      <c r="GU70" s="127"/>
      <c r="GV70" s="127"/>
      <c r="GW70" s="127"/>
      <c r="GX70" s="173"/>
      <c r="GY70" s="127"/>
      <c r="GZ70" s="127"/>
      <c r="HA70" s="174"/>
    </row>
    <row r="71" spans="1:209" s="58" customFormat="1" ht="18" customHeight="1">
      <c r="A71" s="127"/>
      <c r="B71" s="127"/>
      <c r="C71" s="127"/>
      <c r="D71" s="127"/>
      <c r="E71" s="127"/>
      <c r="G71" s="127"/>
      <c r="H71" s="127"/>
      <c r="I71" s="127"/>
      <c r="J71" s="127"/>
      <c r="K71" s="127"/>
      <c r="L71" s="127"/>
      <c r="M71" s="127"/>
      <c r="N71" s="127"/>
      <c r="O71" s="127"/>
      <c r="P71" s="127"/>
      <c r="Q71" s="127"/>
      <c r="R71" s="127"/>
      <c r="S71" s="127"/>
      <c r="T71" s="127"/>
      <c r="U71" s="127"/>
      <c r="V71" s="127"/>
      <c r="W71" s="127"/>
      <c r="X71" s="127"/>
      <c r="Y71" s="127"/>
      <c r="Z71" s="127"/>
      <c r="AA71" s="127"/>
      <c r="AB71" s="127"/>
      <c r="AC71" s="127"/>
      <c r="AD71" s="127"/>
      <c r="AE71" s="127"/>
      <c r="AF71" s="127"/>
      <c r="AG71" s="127"/>
      <c r="AH71" s="127"/>
      <c r="AI71" s="127"/>
      <c r="AJ71" s="127"/>
      <c r="AK71" s="127"/>
      <c r="AL71" s="127"/>
      <c r="AM71" s="127"/>
      <c r="AN71" s="127"/>
      <c r="AO71" s="127"/>
      <c r="AP71" s="127"/>
      <c r="AQ71" s="127"/>
      <c r="AR71" s="127"/>
      <c r="AS71" s="127"/>
      <c r="AT71" s="173"/>
      <c r="AU71" s="173"/>
      <c r="AV71" s="173"/>
      <c r="AW71" s="127"/>
      <c r="AX71" s="127"/>
      <c r="AY71" s="127"/>
      <c r="AZ71" s="127"/>
      <c r="BA71" s="127"/>
      <c r="BB71" s="127"/>
      <c r="BC71" s="127"/>
      <c r="BD71" s="127"/>
      <c r="BE71" s="127"/>
      <c r="BF71" s="127"/>
      <c r="BG71" s="127"/>
      <c r="BH71" s="175"/>
      <c r="BI71" s="127"/>
      <c r="BJ71" s="175"/>
      <c r="BK71" s="127"/>
      <c r="BL71" s="175"/>
      <c r="BM71" s="127"/>
      <c r="BN71" s="127"/>
      <c r="BO71" s="127"/>
      <c r="BP71" s="127"/>
      <c r="BQ71" s="127"/>
      <c r="BR71" s="127"/>
      <c r="BS71" s="127"/>
      <c r="BT71" s="127"/>
      <c r="BU71" s="127"/>
      <c r="BV71" s="127"/>
      <c r="BW71" s="127"/>
      <c r="BX71" s="127"/>
      <c r="BY71" s="127"/>
      <c r="BZ71" s="127"/>
      <c r="CA71" s="127"/>
      <c r="CB71" s="127"/>
      <c r="CC71" s="127"/>
      <c r="CD71" s="127"/>
      <c r="CE71" s="127"/>
      <c r="CF71" s="127"/>
      <c r="CG71" s="127"/>
      <c r="CH71" s="127"/>
      <c r="CI71" s="127"/>
      <c r="CJ71" s="127"/>
      <c r="CK71" s="127"/>
      <c r="CL71" s="174"/>
      <c r="CM71" s="127"/>
      <c r="CN71" s="173"/>
      <c r="CO71" s="127"/>
      <c r="CP71" s="127"/>
      <c r="CQ71" s="127"/>
      <c r="CR71" s="127"/>
      <c r="CS71" s="127"/>
      <c r="CT71" s="127"/>
      <c r="CU71" s="127"/>
      <c r="CV71" s="127"/>
      <c r="CW71" s="127"/>
      <c r="CX71" s="127"/>
      <c r="CY71" s="127"/>
      <c r="CZ71" s="127"/>
      <c r="DA71" s="173"/>
      <c r="DB71" s="174"/>
      <c r="DC71" s="127"/>
      <c r="DD71" s="127"/>
      <c r="DE71" s="127"/>
      <c r="DF71" s="127"/>
      <c r="DG71" s="127"/>
      <c r="DH71" s="127"/>
      <c r="DI71" s="127"/>
      <c r="DJ71" s="127"/>
      <c r="DK71" s="127"/>
      <c r="DL71" s="127"/>
      <c r="DM71" s="127"/>
      <c r="DN71" s="127"/>
      <c r="DO71" s="127"/>
      <c r="DP71" s="127"/>
      <c r="DQ71" s="173"/>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c r="EN71" s="127"/>
      <c r="EO71" s="127"/>
      <c r="EP71" s="127"/>
      <c r="EQ71" s="127"/>
      <c r="ER71" s="127"/>
      <c r="ES71" s="127"/>
      <c r="ET71" s="127"/>
      <c r="EU71" s="127"/>
      <c r="EV71" s="127"/>
      <c r="EW71" s="127"/>
      <c r="EX71" s="173"/>
      <c r="EY71" s="173"/>
      <c r="EZ71" s="173"/>
      <c r="FA71" s="173"/>
      <c r="FB71" s="173"/>
      <c r="FC71" s="173"/>
      <c r="FD71" s="173"/>
      <c r="FE71" s="173"/>
      <c r="FF71" s="173"/>
      <c r="FG71" s="173"/>
      <c r="FH71" s="127"/>
      <c r="FI71" s="127"/>
      <c r="FJ71" s="127"/>
      <c r="FK71" s="174"/>
      <c r="FL71" s="127"/>
      <c r="FM71" s="127"/>
      <c r="FN71" s="127"/>
      <c r="FO71" s="127"/>
      <c r="FP71" s="127"/>
      <c r="FQ71" s="127"/>
      <c r="FR71" s="127"/>
      <c r="FS71" s="127"/>
      <c r="FT71" s="127"/>
      <c r="FU71" s="127"/>
      <c r="FV71" s="127"/>
      <c r="FW71" s="127"/>
      <c r="FX71" s="127"/>
      <c r="FY71" s="127"/>
      <c r="FZ71" s="127"/>
      <c r="GA71" s="127"/>
      <c r="GB71" s="127"/>
      <c r="GC71" s="174"/>
      <c r="GD71" s="127"/>
      <c r="GE71" s="127"/>
      <c r="GF71" s="127"/>
      <c r="GG71" s="174"/>
      <c r="GH71" s="127"/>
      <c r="GI71" s="127"/>
      <c r="GJ71" s="127"/>
      <c r="GK71" s="174"/>
      <c r="GL71" s="127"/>
      <c r="GM71" s="127"/>
      <c r="GN71" s="127"/>
      <c r="GO71" s="127"/>
      <c r="GP71" s="127"/>
      <c r="GQ71" s="174"/>
      <c r="GR71" s="127"/>
      <c r="GS71" s="127"/>
      <c r="GT71" s="127"/>
      <c r="GU71" s="127"/>
      <c r="GV71" s="127"/>
      <c r="GW71" s="127"/>
      <c r="GX71" s="173"/>
      <c r="GY71" s="127"/>
      <c r="GZ71" s="127"/>
      <c r="HA71" s="174"/>
    </row>
    <row r="72" spans="1:209" s="58" customFormat="1" ht="18" customHeight="1">
      <c r="A72" s="127"/>
      <c r="B72" s="127"/>
      <c r="C72" s="127"/>
      <c r="D72" s="127"/>
      <c r="E72" s="127"/>
      <c r="G72" s="127"/>
      <c r="H72" s="127"/>
      <c r="I72" s="127"/>
      <c r="J72" s="127"/>
      <c r="K72" s="127"/>
      <c r="L72" s="127"/>
      <c r="M72" s="127"/>
      <c r="N72" s="127"/>
      <c r="O72" s="127"/>
      <c r="P72" s="127"/>
      <c r="Q72" s="127"/>
      <c r="R72" s="127"/>
      <c r="S72" s="127"/>
      <c r="T72" s="127"/>
      <c r="U72" s="127"/>
      <c r="V72" s="127"/>
      <c r="W72" s="127"/>
      <c r="X72" s="127"/>
      <c r="Y72" s="127"/>
      <c r="Z72" s="127"/>
      <c r="AA72" s="127"/>
      <c r="AB72" s="127"/>
      <c r="AC72" s="127"/>
      <c r="AD72" s="127"/>
      <c r="AE72" s="127"/>
      <c r="AF72" s="127"/>
      <c r="AG72" s="127"/>
      <c r="AH72" s="127"/>
      <c r="AI72" s="127"/>
      <c r="AJ72" s="127"/>
      <c r="AK72" s="127"/>
      <c r="AL72" s="127"/>
      <c r="AM72" s="127"/>
      <c r="AN72" s="127"/>
      <c r="AO72" s="127"/>
      <c r="AP72" s="127"/>
      <c r="AQ72" s="127"/>
      <c r="AR72" s="127"/>
      <c r="AS72" s="127"/>
      <c r="AT72" s="173"/>
      <c r="AU72" s="173"/>
      <c r="AV72" s="173"/>
      <c r="AW72" s="127"/>
      <c r="AX72" s="127"/>
      <c r="AY72" s="127"/>
      <c r="AZ72" s="127"/>
      <c r="BA72" s="127"/>
      <c r="BB72" s="127"/>
      <c r="BC72" s="127"/>
      <c r="BD72" s="127"/>
      <c r="BE72" s="127"/>
      <c r="BF72" s="127"/>
      <c r="BG72" s="127"/>
      <c r="BH72" s="175"/>
      <c r="BI72" s="127"/>
      <c r="BJ72" s="175"/>
      <c r="BK72" s="127"/>
      <c r="BL72" s="175"/>
      <c r="BM72" s="127"/>
      <c r="BN72" s="127"/>
      <c r="BO72" s="127"/>
      <c r="BP72" s="127"/>
      <c r="BQ72" s="127"/>
      <c r="BR72" s="127"/>
      <c r="BS72" s="127"/>
      <c r="BT72" s="127"/>
      <c r="BU72" s="127"/>
      <c r="BV72" s="127"/>
      <c r="BW72" s="127"/>
      <c r="BX72" s="127"/>
      <c r="BY72" s="127"/>
      <c r="BZ72" s="127"/>
      <c r="CA72" s="127"/>
      <c r="CB72" s="127"/>
      <c r="CC72" s="127"/>
      <c r="CD72" s="127"/>
      <c r="CE72" s="127"/>
      <c r="CF72" s="127"/>
      <c r="CG72" s="127"/>
      <c r="CH72" s="127"/>
      <c r="CI72" s="127"/>
      <c r="CJ72" s="127"/>
      <c r="CK72" s="127"/>
      <c r="CL72" s="174"/>
      <c r="CM72" s="127"/>
      <c r="CN72" s="173"/>
      <c r="CO72" s="127"/>
      <c r="CP72" s="127"/>
      <c r="CQ72" s="127"/>
      <c r="CR72" s="127"/>
      <c r="CS72" s="127"/>
      <c r="CT72" s="127"/>
      <c r="CU72" s="127"/>
      <c r="CV72" s="127"/>
      <c r="CW72" s="127"/>
      <c r="CX72" s="127"/>
      <c r="CY72" s="127"/>
      <c r="CZ72" s="127"/>
      <c r="DA72" s="173"/>
      <c r="DB72" s="174"/>
      <c r="DC72" s="127"/>
      <c r="DD72" s="127"/>
      <c r="DE72" s="127"/>
      <c r="DF72" s="127"/>
      <c r="DG72" s="127"/>
      <c r="DH72" s="127"/>
      <c r="DI72" s="127"/>
      <c r="DJ72" s="127"/>
      <c r="DK72" s="127"/>
      <c r="DL72" s="127"/>
      <c r="DM72" s="127"/>
      <c r="DN72" s="127"/>
      <c r="DO72" s="127"/>
      <c r="DP72" s="127"/>
      <c r="DQ72" s="173"/>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c r="EN72" s="127"/>
      <c r="EO72" s="127"/>
      <c r="EP72" s="127"/>
      <c r="EQ72" s="127"/>
      <c r="ER72" s="127"/>
      <c r="ES72" s="127"/>
      <c r="ET72" s="127"/>
      <c r="EU72" s="127"/>
      <c r="EV72" s="127"/>
      <c r="EW72" s="127"/>
      <c r="EX72" s="173"/>
      <c r="EY72" s="173"/>
      <c r="EZ72" s="173"/>
      <c r="FA72" s="173"/>
      <c r="FB72" s="173"/>
      <c r="FC72" s="173"/>
      <c r="FD72" s="173"/>
      <c r="FE72" s="173"/>
      <c r="FF72" s="173"/>
      <c r="FG72" s="173"/>
      <c r="FH72" s="127"/>
      <c r="FI72" s="127"/>
      <c r="FJ72" s="127"/>
      <c r="FK72" s="174"/>
      <c r="FL72" s="127"/>
      <c r="FM72" s="127"/>
      <c r="FN72" s="127"/>
      <c r="FO72" s="127"/>
      <c r="FP72" s="127"/>
      <c r="FQ72" s="127"/>
      <c r="FR72" s="127"/>
      <c r="FS72" s="127"/>
      <c r="FT72" s="127"/>
      <c r="FU72" s="127"/>
      <c r="FV72" s="127"/>
      <c r="FW72" s="127"/>
      <c r="FX72" s="127"/>
      <c r="FY72" s="127"/>
      <c r="FZ72" s="127"/>
      <c r="GA72" s="127"/>
      <c r="GB72" s="127"/>
      <c r="GC72" s="174"/>
      <c r="GD72" s="127"/>
      <c r="GE72" s="127"/>
      <c r="GF72" s="127"/>
      <c r="GG72" s="174"/>
      <c r="GH72" s="127"/>
      <c r="GI72" s="127"/>
      <c r="GJ72" s="127"/>
      <c r="GK72" s="174"/>
      <c r="GL72" s="127"/>
      <c r="GM72" s="127"/>
      <c r="GN72" s="127"/>
      <c r="GO72" s="127"/>
      <c r="GP72" s="127"/>
      <c r="GQ72" s="174"/>
      <c r="GR72" s="127"/>
      <c r="GS72" s="127"/>
      <c r="GT72" s="127"/>
      <c r="GU72" s="127"/>
      <c r="GV72" s="127"/>
      <c r="GW72" s="127"/>
      <c r="GX72" s="173"/>
      <c r="GY72" s="127"/>
      <c r="GZ72" s="127"/>
      <c r="HA72" s="174"/>
    </row>
    <row r="73" spans="1:209" s="58" customFormat="1" ht="18" customHeight="1">
      <c r="A73" s="127"/>
      <c r="B73" s="127"/>
      <c r="C73" s="127"/>
      <c r="D73" s="127"/>
      <c r="E73" s="127"/>
      <c r="G73" s="127"/>
      <c r="H73" s="127"/>
      <c r="I73" s="127"/>
      <c r="J73" s="127"/>
      <c r="K73" s="127"/>
      <c r="L73" s="127"/>
      <c r="M73" s="127"/>
      <c r="N73" s="127"/>
      <c r="O73" s="127"/>
      <c r="P73" s="127"/>
      <c r="Q73" s="127"/>
      <c r="R73" s="127"/>
      <c r="S73" s="127"/>
      <c r="T73" s="127"/>
      <c r="U73" s="127"/>
      <c r="V73" s="127"/>
      <c r="W73" s="127"/>
      <c r="X73" s="127"/>
      <c r="Y73" s="127"/>
      <c r="Z73" s="127"/>
      <c r="AA73" s="127"/>
      <c r="AB73" s="127"/>
      <c r="AC73" s="127"/>
      <c r="AD73" s="127"/>
      <c r="AE73" s="127"/>
      <c r="AF73" s="127"/>
      <c r="AG73" s="127"/>
      <c r="AH73" s="127"/>
      <c r="AI73" s="127"/>
      <c r="AJ73" s="127"/>
      <c r="AK73" s="127"/>
      <c r="AL73" s="127"/>
      <c r="AM73" s="127"/>
      <c r="AN73" s="127"/>
      <c r="AO73" s="127"/>
      <c r="AP73" s="127"/>
      <c r="AQ73" s="127"/>
      <c r="AR73" s="127"/>
      <c r="AS73" s="127"/>
      <c r="AT73" s="173"/>
      <c r="AU73" s="173"/>
      <c r="AV73" s="173"/>
      <c r="AW73" s="127"/>
      <c r="AX73" s="127"/>
      <c r="AY73" s="127"/>
      <c r="AZ73" s="127"/>
      <c r="BA73" s="127"/>
      <c r="BB73" s="127"/>
      <c r="BC73" s="127"/>
      <c r="BD73" s="127"/>
      <c r="BE73" s="127"/>
      <c r="BF73" s="127"/>
      <c r="BG73" s="127"/>
      <c r="BH73" s="175"/>
      <c r="BI73" s="127"/>
      <c r="BJ73" s="175"/>
      <c r="BK73" s="127"/>
      <c r="BL73" s="175"/>
      <c r="BM73" s="127"/>
      <c r="BN73" s="127"/>
      <c r="BO73" s="127"/>
      <c r="BP73" s="127"/>
      <c r="BQ73" s="127"/>
      <c r="BR73" s="127"/>
      <c r="BS73" s="127"/>
      <c r="BT73" s="127"/>
      <c r="BU73" s="127"/>
      <c r="BV73" s="127"/>
      <c r="BW73" s="127"/>
      <c r="BX73" s="127"/>
      <c r="BY73" s="127"/>
      <c r="BZ73" s="127"/>
      <c r="CA73" s="127"/>
      <c r="CB73" s="127"/>
      <c r="CC73" s="127"/>
      <c r="CD73" s="127"/>
      <c r="CE73" s="127"/>
      <c r="CF73" s="127"/>
      <c r="CG73" s="127"/>
      <c r="CH73" s="127"/>
      <c r="CI73" s="127"/>
      <c r="CJ73" s="127"/>
      <c r="CK73" s="127"/>
      <c r="CL73" s="174"/>
      <c r="CM73" s="127"/>
      <c r="CN73" s="173"/>
      <c r="CO73" s="127"/>
      <c r="CP73" s="127"/>
      <c r="CQ73" s="127"/>
      <c r="CR73" s="127"/>
      <c r="CS73" s="127"/>
      <c r="CT73" s="127"/>
      <c r="CU73" s="127"/>
      <c r="CV73" s="127"/>
      <c r="CW73" s="127"/>
      <c r="CX73" s="127"/>
      <c r="CY73" s="127"/>
      <c r="CZ73" s="127"/>
      <c r="DA73" s="173"/>
      <c r="DB73" s="174"/>
      <c r="DC73" s="127"/>
      <c r="DD73" s="127"/>
      <c r="DE73" s="127"/>
      <c r="DF73" s="127"/>
      <c r="DG73" s="127"/>
      <c r="DH73" s="127"/>
      <c r="DI73" s="127"/>
      <c r="DJ73" s="127"/>
      <c r="DK73" s="127"/>
      <c r="DL73" s="127"/>
      <c r="DM73" s="127"/>
      <c r="DN73" s="127"/>
      <c r="DO73" s="127"/>
      <c r="DP73" s="127"/>
      <c r="DQ73" s="173"/>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c r="EN73" s="127"/>
      <c r="EO73" s="127"/>
      <c r="EP73" s="127"/>
      <c r="EQ73" s="127"/>
      <c r="ER73" s="127"/>
      <c r="ES73" s="127"/>
      <c r="ET73" s="127"/>
      <c r="EU73" s="127"/>
      <c r="EV73" s="127"/>
      <c r="EW73" s="127"/>
      <c r="EX73" s="173"/>
      <c r="EY73" s="173"/>
      <c r="EZ73" s="173"/>
      <c r="FA73" s="173"/>
      <c r="FB73" s="173"/>
      <c r="FC73" s="173"/>
      <c r="FD73" s="173"/>
      <c r="FE73" s="173"/>
      <c r="FF73" s="173"/>
      <c r="FG73" s="173"/>
      <c r="FH73" s="127"/>
      <c r="FI73" s="127"/>
      <c r="FJ73" s="127"/>
      <c r="FK73" s="174"/>
      <c r="FL73" s="127"/>
      <c r="FM73" s="127"/>
      <c r="FN73" s="127"/>
      <c r="FO73" s="127"/>
      <c r="FP73" s="127"/>
      <c r="FQ73" s="127"/>
      <c r="FR73" s="127"/>
      <c r="FS73" s="127"/>
      <c r="FT73" s="127"/>
      <c r="FU73" s="127"/>
      <c r="FV73" s="127"/>
      <c r="FW73" s="127"/>
      <c r="FX73" s="127"/>
      <c r="FY73" s="127"/>
      <c r="FZ73" s="127"/>
      <c r="GA73" s="127"/>
      <c r="GB73" s="127"/>
      <c r="GC73" s="174"/>
      <c r="GD73" s="127"/>
      <c r="GE73" s="127"/>
      <c r="GF73" s="127"/>
      <c r="GG73" s="174"/>
      <c r="GH73" s="127"/>
      <c r="GI73" s="127"/>
      <c r="GJ73" s="127"/>
      <c r="GK73" s="174"/>
      <c r="GL73" s="127"/>
      <c r="GM73" s="127"/>
      <c r="GN73" s="127"/>
      <c r="GO73" s="127"/>
      <c r="GP73" s="127"/>
      <c r="GQ73" s="174"/>
      <c r="GR73" s="127"/>
      <c r="GS73" s="127"/>
      <c r="GT73" s="127"/>
      <c r="GU73" s="127"/>
      <c r="GV73" s="127"/>
      <c r="GW73" s="127"/>
      <c r="GX73" s="173"/>
      <c r="GY73" s="127"/>
      <c r="GZ73" s="127"/>
      <c r="HA73" s="174"/>
    </row>
    <row r="74" spans="1:209" s="58" customFormat="1" ht="18" customHeight="1">
      <c r="A74" s="127"/>
      <c r="B74" s="127"/>
      <c r="C74" s="127"/>
      <c r="D74" s="127"/>
      <c r="E74" s="127"/>
      <c r="G74" s="127"/>
      <c r="H74" s="127"/>
      <c r="I74" s="127"/>
      <c r="J74" s="127"/>
      <c r="K74" s="127"/>
      <c r="L74" s="127"/>
      <c r="M74" s="127"/>
      <c r="N74" s="127"/>
      <c r="O74" s="127"/>
      <c r="P74" s="127"/>
      <c r="Q74" s="127"/>
      <c r="R74" s="127"/>
      <c r="S74" s="127"/>
      <c r="T74" s="127"/>
      <c r="U74" s="127"/>
      <c r="V74" s="127"/>
      <c r="W74" s="127"/>
      <c r="X74" s="127"/>
      <c r="Y74" s="127"/>
      <c r="Z74" s="127"/>
      <c r="AA74" s="127"/>
      <c r="AB74" s="127"/>
      <c r="AC74" s="127"/>
      <c r="AD74" s="127"/>
      <c r="AE74" s="127"/>
      <c r="AF74" s="127"/>
      <c r="AG74" s="127"/>
      <c r="AH74" s="127"/>
      <c r="AI74" s="127"/>
      <c r="AJ74" s="127"/>
      <c r="AK74" s="127"/>
      <c r="AL74" s="127"/>
      <c r="AM74" s="127"/>
      <c r="AN74" s="127"/>
      <c r="AO74" s="127"/>
      <c r="AP74" s="127"/>
      <c r="AQ74" s="127"/>
      <c r="AR74" s="127"/>
      <c r="AS74" s="127"/>
      <c r="AT74" s="173"/>
      <c r="AU74" s="173"/>
      <c r="AV74" s="173"/>
      <c r="AW74" s="127"/>
      <c r="AX74" s="127"/>
      <c r="AY74" s="127"/>
      <c r="AZ74" s="127"/>
      <c r="BA74" s="127"/>
      <c r="BB74" s="127"/>
      <c r="BC74" s="127"/>
      <c r="BD74" s="127"/>
      <c r="BE74" s="127"/>
      <c r="BF74" s="127"/>
      <c r="BG74" s="127"/>
      <c r="BH74" s="175"/>
      <c r="BI74" s="127"/>
      <c r="BJ74" s="175"/>
      <c r="BK74" s="127"/>
      <c r="BL74" s="175"/>
      <c r="BM74" s="127"/>
      <c r="BN74" s="127"/>
      <c r="BO74" s="127"/>
      <c r="BP74" s="127"/>
      <c r="BQ74" s="127"/>
      <c r="BR74" s="127"/>
      <c r="BS74" s="127"/>
      <c r="BT74" s="127"/>
      <c r="BU74" s="127"/>
      <c r="BV74" s="127"/>
      <c r="BW74" s="127"/>
      <c r="BX74" s="127"/>
      <c r="BY74" s="127"/>
      <c r="BZ74" s="127"/>
      <c r="CA74" s="127"/>
      <c r="CB74" s="127"/>
      <c r="CC74" s="127"/>
      <c r="CD74" s="127"/>
      <c r="CE74" s="127"/>
      <c r="CF74" s="127"/>
      <c r="CG74" s="127"/>
      <c r="CH74" s="127"/>
      <c r="CI74" s="127"/>
      <c r="CJ74" s="127"/>
      <c r="CK74" s="127"/>
      <c r="CL74" s="174"/>
      <c r="CM74" s="127"/>
      <c r="CN74" s="173"/>
      <c r="CO74" s="127"/>
      <c r="CP74" s="127"/>
      <c r="CQ74" s="127"/>
      <c r="CR74" s="127"/>
      <c r="CS74" s="127"/>
      <c r="CT74" s="127"/>
      <c r="CU74" s="127"/>
      <c r="CV74" s="127"/>
      <c r="CW74" s="127"/>
      <c r="CX74" s="127"/>
      <c r="CY74" s="127"/>
      <c r="CZ74" s="127"/>
      <c r="DA74" s="173"/>
      <c r="DB74" s="174"/>
      <c r="DC74" s="127"/>
      <c r="DD74" s="127"/>
      <c r="DE74" s="127"/>
      <c r="DF74" s="127"/>
      <c r="DG74" s="127"/>
      <c r="DH74" s="127"/>
      <c r="DI74" s="127"/>
      <c r="DJ74" s="127"/>
      <c r="DK74" s="127"/>
      <c r="DL74" s="127"/>
      <c r="DM74" s="127"/>
      <c r="DN74" s="127"/>
      <c r="DO74" s="127"/>
      <c r="DP74" s="127"/>
      <c r="DQ74" s="173"/>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c r="EN74" s="127"/>
      <c r="EO74" s="127"/>
      <c r="EP74" s="127"/>
      <c r="EQ74" s="127"/>
      <c r="ER74" s="127"/>
      <c r="ES74" s="127"/>
      <c r="ET74" s="127"/>
      <c r="EU74" s="127"/>
      <c r="EV74" s="127"/>
      <c r="EW74" s="127"/>
      <c r="EX74" s="173"/>
      <c r="EY74" s="173"/>
      <c r="EZ74" s="173"/>
      <c r="FA74" s="173"/>
      <c r="FB74" s="173"/>
      <c r="FC74" s="173"/>
      <c r="FD74" s="173"/>
      <c r="FE74" s="173"/>
      <c r="FF74" s="173"/>
      <c r="FG74" s="173"/>
      <c r="FH74" s="127"/>
      <c r="FI74" s="127"/>
      <c r="FJ74" s="127"/>
      <c r="FK74" s="174"/>
      <c r="FL74" s="127"/>
      <c r="FM74" s="127"/>
      <c r="FN74" s="127"/>
      <c r="FO74" s="127"/>
      <c r="FP74" s="127"/>
      <c r="FQ74" s="127"/>
      <c r="FR74" s="127"/>
      <c r="FS74" s="127"/>
      <c r="FT74" s="127"/>
      <c r="FU74" s="127"/>
      <c r="FV74" s="127"/>
      <c r="FW74" s="127"/>
      <c r="FX74" s="127"/>
      <c r="FY74" s="127"/>
      <c r="FZ74" s="127"/>
      <c r="GA74" s="127"/>
      <c r="GB74" s="127"/>
      <c r="GC74" s="174"/>
      <c r="GD74" s="127"/>
      <c r="GE74" s="127"/>
      <c r="GF74" s="127"/>
      <c r="GG74" s="174"/>
      <c r="GH74" s="127"/>
      <c r="GI74" s="127"/>
      <c r="GJ74" s="127"/>
      <c r="GK74" s="174"/>
      <c r="GL74" s="127"/>
      <c r="GM74" s="127"/>
      <c r="GN74" s="127"/>
      <c r="GO74" s="127"/>
      <c r="GP74" s="127"/>
      <c r="GQ74" s="174"/>
      <c r="GR74" s="127"/>
      <c r="GS74" s="127"/>
      <c r="GT74" s="127"/>
      <c r="GU74" s="127"/>
      <c r="GV74" s="127"/>
      <c r="GW74" s="127"/>
      <c r="GX74" s="173"/>
      <c r="GY74" s="127"/>
      <c r="GZ74" s="127"/>
      <c r="HA74" s="174"/>
    </row>
    <row r="75" spans="1:209" s="58" customFormat="1" ht="18" customHeight="1">
      <c r="A75" s="127"/>
      <c r="B75" s="127"/>
      <c r="C75" s="127"/>
      <c r="D75" s="127"/>
      <c r="E75" s="127"/>
      <c r="G75" s="127"/>
      <c r="H75" s="127"/>
      <c r="I75" s="127"/>
      <c r="J75" s="127"/>
      <c r="K75" s="127"/>
      <c r="L75" s="127"/>
      <c r="M75" s="127"/>
      <c r="N75" s="127"/>
      <c r="O75" s="127"/>
      <c r="P75" s="127"/>
      <c r="Q75" s="127"/>
      <c r="R75" s="127"/>
      <c r="S75" s="127"/>
      <c r="T75" s="127"/>
      <c r="U75" s="127"/>
      <c r="V75" s="127"/>
      <c r="W75" s="127"/>
      <c r="X75" s="127"/>
      <c r="Y75" s="127"/>
      <c r="Z75" s="127"/>
      <c r="AA75" s="127"/>
      <c r="AB75" s="127"/>
      <c r="AC75" s="127"/>
      <c r="AD75" s="127"/>
      <c r="AE75" s="127"/>
      <c r="AF75" s="127"/>
      <c r="AG75" s="127"/>
      <c r="AH75" s="127"/>
      <c r="AI75" s="127"/>
      <c r="AJ75" s="127"/>
      <c r="AK75" s="127"/>
      <c r="AL75" s="127"/>
      <c r="AM75" s="127"/>
      <c r="AN75" s="127"/>
      <c r="AO75" s="127"/>
      <c r="AP75" s="127"/>
      <c r="AQ75" s="127"/>
      <c r="AR75" s="127"/>
      <c r="AS75" s="127"/>
      <c r="AT75" s="173"/>
      <c r="AU75" s="173"/>
      <c r="AV75" s="173"/>
      <c r="AW75" s="127"/>
      <c r="AX75" s="127"/>
      <c r="AY75" s="127"/>
      <c r="AZ75" s="127"/>
      <c r="BA75" s="127"/>
      <c r="BB75" s="127"/>
      <c r="BC75" s="127"/>
      <c r="BD75" s="127"/>
      <c r="BE75" s="127"/>
      <c r="BF75" s="127"/>
      <c r="BG75" s="127"/>
      <c r="BH75" s="175"/>
      <c r="BI75" s="127"/>
      <c r="BJ75" s="175"/>
      <c r="BK75" s="127"/>
      <c r="BL75" s="175"/>
      <c r="BM75" s="127"/>
      <c r="BN75" s="127"/>
      <c r="BO75" s="127"/>
      <c r="BP75" s="127"/>
      <c r="BQ75" s="127"/>
      <c r="BR75" s="127"/>
      <c r="BS75" s="127"/>
      <c r="BT75" s="127"/>
      <c r="BU75" s="127"/>
      <c r="BV75" s="127"/>
      <c r="BW75" s="127"/>
      <c r="BX75" s="127"/>
      <c r="BY75" s="127"/>
      <c r="BZ75" s="127"/>
      <c r="CA75" s="127"/>
      <c r="CB75" s="127"/>
      <c r="CC75" s="127"/>
      <c r="CD75" s="127"/>
      <c r="CE75" s="127"/>
      <c r="CF75" s="127"/>
      <c r="CG75" s="127"/>
      <c r="CH75" s="127"/>
      <c r="CI75" s="127"/>
      <c r="CJ75" s="127"/>
      <c r="CK75" s="127"/>
      <c r="CL75" s="174"/>
      <c r="CM75" s="127"/>
      <c r="CN75" s="173"/>
      <c r="CO75" s="127"/>
      <c r="CP75" s="127"/>
      <c r="CQ75" s="127"/>
      <c r="CR75" s="127"/>
      <c r="CS75" s="127"/>
      <c r="CT75" s="127"/>
      <c r="CU75" s="127"/>
      <c r="CV75" s="127"/>
      <c r="CW75" s="127"/>
      <c r="CX75" s="127"/>
      <c r="CY75" s="127"/>
      <c r="CZ75" s="127"/>
      <c r="DA75" s="173"/>
      <c r="DB75" s="174"/>
      <c r="DC75" s="127"/>
      <c r="DD75" s="127"/>
      <c r="DE75" s="127"/>
      <c r="DF75" s="127"/>
      <c r="DG75" s="127"/>
      <c r="DH75" s="127"/>
      <c r="DI75" s="127"/>
      <c r="DJ75" s="127"/>
      <c r="DK75" s="127"/>
      <c r="DL75" s="127"/>
      <c r="DM75" s="127"/>
      <c r="DN75" s="127"/>
      <c r="DO75" s="127"/>
      <c r="DP75" s="127"/>
      <c r="DQ75" s="173"/>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c r="EN75" s="127"/>
      <c r="EO75" s="127"/>
      <c r="EP75" s="127"/>
      <c r="EQ75" s="127"/>
      <c r="ER75" s="127"/>
      <c r="ES75" s="127"/>
      <c r="ET75" s="127"/>
      <c r="EU75" s="127"/>
      <c r="EV75" s="127"/>
      <c r="EW75" s="127"/>
      <c r="EX75" s="173"/>
      <c r="EY75" s="173"/>
      <c r="EZ75" s="173"/>
      <c r="FA75" s="173"/>
      <c r="FB75" s="173"/>
      <c r="FC75" s="173"/>
      <c r="FD75" s="173"/>
      <c r="FE75" s="173"/>
      <c r="FF75" s="173"/>
      <c r="FG75" s="173"/>
      <c r="FH75" s="127"/>
      <c r="FI75" s="127"/>
      <c r="FJ75" s="127"/>
      <c r="FK75" s="174"/>
      <c r="FL75" s="127"/>
      <c r="FM75" s="127"/>
      <c r="FN75" s="127"/>
      <c r="FO75" s="127"/>
      <c r="FP75" s="127"/>
      <c r="FQ75" s="127"/>
      <c r="FR75" s="127"/>
      <c r="FS75" s="127"/>
      <c r="FT75" s="127"/>
      <c r="FU75" s="127"/>
      <c r="FV75" s="127"/>
      <c r="FW75" s="127"/>
      <c r="FX75" s="127"/>
      <c r="FY75" s="127"/>
      <c r="FZ75" s="127"/>
      <c r="GA75" s="127"/>
      <c r="GB75" s="127"/>
      <c r="GC75" s="174"/>
      <c r="GD75" s="127"/>
      <c r="GE75" s="127"/>
      <c r="GF75" s="127"/>
      <c r="GG75" s="174"/>
      <c r="GH75" s="127"/>
      <c r="GI75" s="127"/>
      <c r="GJ75" s="127"/>
      <c r="GK75" s="174"/>
      <c r="GL75" s="127"/>
      <c r="GM75" s="127"/>
      <c r="GN75" s="127"/>
      <c r="GO75" s="127"/>
      <c r="GP75" s="127"/>
      <c r="GQ75" s="174"/>
      <c r="GR75" s="127"/>
      <c r="GS75" s="127"/>
      <c r="GT75" s="127"/>
      <c r="GU75" s="127"/>
      <c r="GV75" s="127"/>
      <c r="GW75" s="127"/>
      <c r="GX75" s="173"/>
      <c r="GY75" s="127"/>
      <c r="GZ75" s="127"/>
      <c r="HA75" s="174"/>
    </row>
    <row r="76" spans="1:209" s="58" customFormat="1" ht="18" customHeight="1">
      <c r="A76" s="127"/>
      <c r="B76" s="127"/>
      <c r="C76" s="127"/>
      <c r="D76" s="127"/>
      <c r="E76" s="127"/>
      <c r="G76" s="127"/>
      <c r="H76" s="127"/>
      <c r="I76" s="127"/>
      <c r="J76" s="127"/>
      <c r="K76" s="127"/>
      <c r="L76" s="127"/>
      <c r="M76" s="127"/>
      <c r="N76" s="127"/>
      <c r="O76" s="127"/>
      <c r="P76" s="127"/>
      <c r="Q76" s="127"/>
      <c r="R76" s="127"/>
      <c r="S76" s="127"/>
      <c r="T76" s="127"/>
      <c r="U76" s="127"/>
      <c r="V76" s="127"/>
      <c r="W76" s="127"/>
      <c r="X76" s="127"/>
      <c r="Y76" s="127"/>
      <c r="Z76" s="127"/>
      <c r="AA76" s="127"/>
      <c r="AB76" s="127"/>
      <c r="AC76" s="127"/>
      <c r="AD76" s="127"/>
      <c r="AE76" s="127"/>
      <c r="AF76" s="127"/>
      <c r="AG76" s="127"/>
      <c r="AH76" s="127"/>
      <c r="AI76" s="127"/>
      <c r="AJ76" s="127"/>
      <c r="AK76" s="127"/>
      <c r="AL76" s="127"/>
      <c r="AM76" s="127"/>
      <c r="AN76" s="127"/>
      <c r="AO76" s="127"/>
      <c r="AP76" s="127"/>
      <c r="AQ76" s="127"/>
      <c r="AR76" s="127"/>
      <c r="AS76" s="127"/>
      <c r="AT76" s="173"/>
      <c r="AU76" s="173"/>
      <c r="AV76" s="173"/>
      <c r="AW76" s="127"/>
      <c r="AX76" s="127"/>
      <c r="AY76" s="127"/>
      <c r="AZ76" s="127"/>
      <c r="BA76" s="127"/>
      <c r="BB76" s="127"/>
      <c r="BC76" s="127"/>
      <c r="BD76" s="127"/>
      <c r="BE76" s="127"/>
      <c r="BF76" s="127"/>
      <c r="BG76" s="127"/>
      <c r="BH76" s="175"/>
      <c r="BI76" s="127"/>
      <c r="BJ76" s="175"/>
      <c r="BK76" s="127"/>
      <c r="BL76" s="175"/>
      <c r="BM76" s="127"/>
      <c r="BN76" s="127"/>
      <c r="BO76" s="127"/>
      <c r="BP76" s="127"/>
      <c r="BQ76" s="127"/>
      <c r="BR76" s="127"/>
      <c r="BS76" s="127"/>
      <c r="BT76" s="127"/>
      <c r="BU76" s="127"/>
      <c r="BV76" s="127"/>
      <c r="BW76" s="127"/>
      <c r="BX76" s="127"/>
      <c r="BY76" s="127"/>
      <c r="BZ76" s="127"/>
      <c r="CA76" s="127"/>
      <c r="CB76" s="127"/>
      <c r="CC76" s="127"/>
      <c r="CD76" s="127"/>
      <c r="CE76" s="127"/>
      <c r="CF76" s="127"/>
      <c r="CG76" s="127"/>
      <c r="CH76" s="127"/>
      <c r="CI76" s="127"/>
      <c r="CJ76" s="127"/>
      <c r="CK76" s="127"/>
      <c r="CL76" s="174"/>
      <c r="CM76" s="127"/>
      <c r="CN76" s="173"/>
      <c r="CO76" s="127"/>
      <c r="CP76" s="127"/>
      <c r="CQ76" s="127"/>
      <c r="CR76" s="127"/>
      <c r="CS76" s="127"/>
      <c r="CT76" s="127"/>
      <c r="CU76" s="127"/>
      <c r="CV76" s="127"/>
      <c r="CW76" s="127"/>
      <c r="CX76" s="127"/>
      <c r="CY76" s="127"/>
      <c r="CZ76" s="127"/>
      <c r="DA76" s="173"/>
      <c r="DB76" s="174"/>
      <c r="DC76" s="127"/>
      <c r="DD76" s="127"/>
      <c r="DE76" s="127"/>
      <c r="DF76" s="127"/>
      <c r="DG76" s="127"/>
      <c r="DH76" s="127"/>
      <c r="DI76" s="127"/>
      <c r="DJ76" s="127"/>
      <c r="DK76" s="127"/>
      <c r="DL76" s="127"/>
      <c r="DM76" s="127"/>
      <c r="DN76" s="127"/>
      <c r="DO76" s="127"/>
      <c r="DP76" s="127"/>
      <c r="DQ76" s="173"/>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c r="EN76" s="127"/>
      <c r="EO76" s="127"/>
      <c r="EP76" s="127"/>
      <c r="EQ76" s="127"/>
      <c r="ER76" s="127"/>
      <c r="ES76" s="127"/>
      <c r="ET76" s="127"/>
      <c r="EU76" s="127"/>
      <c r="EV76" s="127"/>
      <c r="EW76" s="127"/>
      <c r="EX76" s="173"/>
      <c r="EY76" s="173"/>
      <c r="EZ76" s="173"/>
      <c r="FA76" s="173"/>
      <c r="FB76" s="173"/>
      <c r="FC76" s="173"/>
      <c r="FD76" s="173"/>
      <c r="FE76" s="173"/>
      <c r="FF76" s="173"/>
      <c r="FG76" s="173"/>
      <c r="FH76" s="127"/>
      <c r="FI76" s="127"/>
      <c r="FJ76" s="127"/>
      <c r="FK76" s="174"/>
      <c r="FL76" s="127"/>
      <c r="FM76" s="127"/>
      <c r="FN76" s="127"/>
      <c r="FO76" s="127"/>
      <c r="FP76" s="127"/>
      <c r="FQ76" s="127"/>
      <c r="FR76" s="127"/>
      <c r="FS76" s="127"/>
      <c r="FT76" s="127"/>
      <c r="FU76" s="127"/>
      <c r="FV76" s="127"/>
      <c r="FW76" s="127"/>
      <c r="FX76" s="127"/>
      <c r="FY76" s="127"/>
      <c r="FZ76" s="127"/>
      <c r="GA76" s="127"/>
      <c r="GB76" s="127"/>
      <c r="GC76" s="174"/>
      <c r="GD76" s="127"/>
      <c r="GE76" s="127"/>
      <c r="GF76" s="127"/>
      <c r="GG76" s="174"/>
      <c r="GH76" s="127"/>
      <c r="GI76" s="127"/>
      <c r="GJ76" s="127"/>
      <c r="GK76" s="174"/>
      <c r="GL76" s="127"/>
      <c r="GM76" s="127"/>
      <c r="GN76" s="127"/>
      <c r="GO76" s="127"/>
      <c r="GP76" s="127"/>
      <c r="GQ76" s="174"/>
      <c r="GR76" s="127"/>
      <c r="GS76" s="127"/>
      <c r="GT76" s="127"/>
      <c r="GU76" s="127"/>
      <c r="GV76" s="127"/>
      <c r="GW76" s="127"/>
      <c r="GX76" s="173"/>
      <c r="GY76" s="127"/>
      <c r="GZ76" s="127"/>
      <c r="HA76" s="174"/>
    </row>
    <row r="77" spans="1:209" s="58" customFormat="1" ht="18" customHeight="1">
      <c r="A77" s="127"/>
      <c r="B77" s="127"/>
      <c r="C77" s="127"/>
      <c r="D77" s="127"/>
      <c r="E77" s="127"/>
      <c r="G77" s="127"/>
      <c r="H77" s="127"/>
      <c r="I77" s="127"/>
      <c r="J77" s="127"/>
      <c r="K77" s="127"/>
      <c r="L77" s="127"/>
      <c r="M77" s="127"/>
      <c r="N77" s="127"/>
      <c r="O77" s="127"/>
      <c r="P77" s="127"/>
      <c r="Q77" s="127"/>
      <c r="R77" s="127"/>
      <c r="S77" s="127"/>
      <c r="T77" s="127"/>
      <c r="U77" s="127"/>
      <c r="V77" s="127"/>
      <c r="W77" s="127"/>
      <c r="X77" s="127"/>
      <c r="Y77" s="127"/>
      <c r="Z77" s="127"/>
      <c r="AA77" s="127"/>
      <c r="AB77" s="127"/>
      <c r="AC77" s="127"/>
      <c r="AD77" s="127"/>
      <c r="AE77" s="127"/>
      <c r="AF77" s="127"/>
      <c r="AG77" s="127"/>
      <c r="AH77" s="127"/>
      <c r="AI77" s="127"/>
      <c r="AJ77" s="127"/>
      <c r="AK77" s="127"/>
      <c r="AL77" s="127"/>
      <c r="AM77" s="127"/>
      <c r="AN77" s="127"/>
      <c r="AO77" s="127"/>
      <c r="AP77" s="127"/>
      <c r="AQ77" s="127"/>
      <c r="AR77" s="127"/>
      <c r="AS77" s="127"/>
      <c r="AT77" s="173"/>
      <c r="AU77" s="173"/>
      <c r="AV77" s="173"/>
      <c r="AW77" s="127"/>
      <c r="AX77" s="127"/>
      <c r="AY77" s="127"/>
      <c r="AZ77" s="127"/>
      <c r="BA77" s="127"/>
      <c r="BB77" s="127"/>
      <c r="BC77" s="127"/>
      <c r="BD77" s="127"/>
      <c r="BE77" s="127"/>
      <c r="BF77" s="127"/>
      <c r="BG77" s="127"/>
      <c r="BH77" s="175"/>
      <c r="BI77" s="127"/>
      <c r="BJ77" s="175"/>
      <c r="BK77" s="127"/>
      <c r="BL77" s="175"/>
      <c r="BM77" s="127"/>
      <c r="BN77" s="127"/>
      <c r="BO77" s="127"/>
      <c r="BP77" s="127"/>
      <c r="BQ77" s="127"/>
      <c r="BR77" s="127"/>
      <c r="BS77" s="127"/>
      <c r="BT77" s="127"/>
      <c r="BU77" s="127"/>
      <c r="BV77" s="127"/>
      <c r="BW77" s="127"/>
      <c r="BX77" s="127"/>
      <c r="BY77" s="127"/>
      <c r="BZ77" s="127"/>
      <c r="CA77" s="127"/>
      <c r="CB77" s="127"/>
      <c r="CC77" s="127"/>
      <c r="CD77" s="127"/>
      <c r="CE77" s="127"/>
      <c r="CF77" s="127"/>
      <c r="CG77" s="127"/>
      <c r="CH77" s="127"/>
      <c r="CI77" s="127"/>
      <c r="CJ77" s="127"/>
      <c r="CK77" s="127"/>
      <c r="CL77" s="174"/>
      <c r="CM77" s="127"/>
      <c r="CN77" s="173"/>
      <c r="CO77" s="127"/>
      <c r="CP77" s="127"/>
      <c r="CQ77" s="127"/>
      <c r="CR77" s="127"/>
      <c r="CS77" s="127"/>
      <c r="CT77" s="127"/>
      <c r="CU77" s="127"/>
      <c r="CV77" s="127"/>
      <c r="CW77" s="127"/>
      <c r="CX77" s="127"/>
      <c r="CY77" s="127"/>
      <c r="CZ77" s="127"/>
      <c r="DA77" s="173"/>
      <c r="DB77" s="174"/>
      <c r="DC77" s="127"/>
      <c r="DD77" s="127"/>
      <c r="DE77" s="127"/>
      <c r="DF77" s="127"/>
      <c r="DG77" s="127"/>
      <c r="DH77" s="127"/>
      <c r="DI77" s="127"/>
      <c r="DJ77" s="127"/>
      <c r="DK77" s="127"/>
      <c r="DL77" s="127"/>
      <c r="DM77" s="127"/>
      <c r="DN77" s="127"/>
      <c r="DO77" s="127"/>
      <c r="DP77" s="127"/>
      <c r="DQ77" s="173"/>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c r="EN77" s="127"/>
      <c r="EO77" s="127"/>
      <c r="EP77" s="127"/>
      <c r="EQ77" s="127"/>
      <c r="ER77" s="127"/>
      <c r="ES77" s="127"/>
      <c r="ET77" s="127"/>
      <c r="EU77" s="127"/>
      <c r="EV77" s="127"/>
      <c r="EW77" s="127"/>
      <c r="EX77" s="173"/>
      <c r="EY77" s="173"/>
      <c r="EZ77" s="173"/>
      <c r="FA77" s="173"/>
      <c r="FB77" s="173"/>
      <c r="FC77" s="173"/>
      <c r="FD77" s="173"/>
      <c r="FE77" s="173"/>
      <c r="FF77" s="173"/>
      <c r="FG77" s="173"/>
      <c r="FH77" s="127"/>
      <c r="FI77" s="127"/>
      <c r="FJ77" s="127"/>
      <c r="FK77" s="174"/>
      <c r="FL77" s="127"/>
      <c r="FM77" s="127"/>
      <c r="FN77" s="127"/>
      <c r="FO77" s="127"/>
      <c r="FP77" s="127"/>
      <c r="FQ77" s="127"/>
      <c r="FR77" s="127"/>
      <c r="FS77" s="127"/>
      <c r="FT77" s="127"/>
      <c r="FU77" s="127"/>
      <c r="FV77" s="127"/>
      <c r="FW77" s="127"/>
      <c r="FX77" s="127"/>
      <c r="FY77" s="127"/>
      <c r="FZ77" s="127"/>
      <c r="GA77" s="127"/>
      <c r="GB77" s="127"/>
      <c r="GC77" s="174"/>
      <c r="GD77" s="127"/>
      <c r="GE77" s="127"/>
      <c r="GF77" s="127"/>
      <c r="GG77" s="174"/>
      <c r="GH77" s="127"/>
      <c r="GI77" s="127"/>
      <c r="GJ77" s="127"/>
      <c r="GK77" s="174"/>
      <c r="GL77" s="127"/>
      <c r="GM77" s="127"/>
      <c r="GN77" s="127"/>
      <c r="GO77" s="127"/>
      <c r="GP77" s="127"/>
      <c r="GQ77" s="174"/>
      <c r="GR77" s="127"/>
      <c r="GS77" s="127"/>
      <c r="GT77" s="127"/>
      <c r="GU77" s="127"/>
      <c r="GV77" s="127"/>
      <c r="GW77" s="127"/>
      <c r="GX77" s="173"/>
      <c r="GY77" s="127"/>
      <c r="GZ77" s="127"/>
      <c r="HA77" s="174"/>
    </row>
    <row r="78" spans="1:209" s="58" customFormat="1" ht="18" customHeight="1">
      <c r="A78" s="127"/>
      <c r="B78" s="127"/>
      <c r="C78" s="127"/>
      <c r="D78" s="127"/>
      <c r="E78" s="127"/>
      <c r="G78" s="127"/>
      <c r="H78" s="127"/>
      <c r="I78" s="127"/>
      <c r="J78" s="127"/>
      <c r="K78" s="127"/>
      <c r="L78" s="127"/>
      <c r="M78" s="127"/>
      <c r="N78" s="127"/>
      <c r="O78" s="127"/>
      <c r="P78" s="127"/>
      <c r="Q78" s="127"/>
      <c r="R78" s="127"/>
      <c r="S78" s="127"/>
      <c r="T78" s="127"/>
      <c r="U78" s="127"/>
      <c r="V78" s="127"/>
      <c r="W78" s="127"/>
      <c r="X78" s="127"/>
      <c r="Y78" s="127"/>
      <c r="Z78" s="127"/>
      <c r="AA78" s="127"/>
      <c r="AB78" s="127"/>
      <c r="AC78" s="127"/>
      <c r="AD78" s="127"/>
      <c r="AE78" s="127"/>
      <c r="AF78" s="127"/>
      <c r="AG78" s="127"/>
      <c r="AH78" s="127"/>
      <c r="AI78" s="127"/>
      <c r="AJ78" s="127"/>
      <c r="AK78" s="127"/>
      <c r="AL78" s="127"/>
      <c r="AM78" s="127"/>
      <c r="AN78" s="127"/>
      <c r="AO78" s="127"/>
      <c r="AP78" s="127"/>
      <c r="AQ78" s="127"/>
      <c r="AR78" s="127"/>
      <c r="AS78" s="127"/>
      <c r="AT78" s="173"/>
      <c r="AU78" s="173"/>
      <c r="AV78" s="173"/>
      <c r="AW78" s="127"/>
      <c r="AX78" s="127"/>
      <c r="AY78" s="127"/>
      <c r="AZ78" s="127"/>
      <c r="BA78" s="127"/>
      <c r="BB78" s="127"/>
      <c r="BC78" s="127"/>
      <c r="BD78" s="127"/>
      <c r="BE78" s="127"/>
      <c r="BF78" s="127"/>
      <c r="BG78" s="127"/>
      <c r="BH78" s="175"/>
      <c r="BI78" s="127"/>
      <c r="BJ78" s="175"/>
      <c r="BK78" s="127"/>
      <c r="BL78" s="175"/>
      <c r="BM78" s="127"/>
      <c r="BN78" s="127"/>
      <c r="BO78" s="127"/>
      <c r="BP78" s="127"/>
      <c r="BQ78" s="127"/>
      <c r="BR78" s="127"/>
      <c r="BS78" s="127"/>
      <c r="BT78" s="127"/>
      <c r="BU78" s="127"/>
      <c r="BV78" s="127"/>
      <c r="BW78" s="127"/>
      <c r="BX78" s="127"/>
      <c r="BY78" s="127"/>
      <c r="BZ78" s="127"/>
      <c r="CA78" s="127"/>
      <c r="CB78" s="127"/>
      <c r="CC78" s="127"/>
      <c r="CD78" s="127"/>
      <c r="CE78" s="127"/>
      <c r="CF78" s="127"/>
      <c r="CG78" s="127"/>
      <c r="CH78" s="127"/>
      <c r="CI78" s="127"/>
      <c r="CJ78" s="127"/>
      <c r="CK78" s="127"/>
      <c r="CL78" s="174"/>
      <c r="CM78" s="127"/>
      <c r="CN78" s="173"/>
      <c r="CO78" s="127"/>
      <c r="CP78" s="127"/>
      <c r="CQ78" s="127"/>
      <c r="CR78" s="127"/>
      <c r="CS78" s="127"/>
      <c r="CT78" s="127"/>
      <c r="CU78" s="127"/>
      <c r="CV78" s="127"/>
      <c r="CW78" s="127"/>
      <c r="CX78" s="127"/>
      <c r="CY78" s="127"/>
      <c r="CZ78" s="127"/>
      <c r="DA78" s="173"/>
      <c r="DB78" s="174"/>
      <c r="DC78" s="127"/>
      <c r="DD78" s="127"/>
      <c r="DE78" s="127"/>
      <c r="DF78" s="127"/>
      <c r="DG78" s="127"/>
      <c r="DH78" s="127"/>
      <c r="DI78" s="127"/>
      <c r="DJ78" s="127"/>
      <c r="DK78" s="127"/>
      <c r="DL78" s="127"/>
      <c r="DM78" s="127"/>
      <c r="DN78" s="127"/>
      <c r="DO78" s="127"/>
      <c r="DP78" s="127"/>
      <c r="DQ78" s="173"/>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c r="EN78" s="127"/>
      <c r="EO78" s="127"/>
      <c r="EP78" s="127"/>
      <c r="EQ78" s="127"/>
      <c r="ER78" s="127"/>
      <c r="ES78" s="127"/>
      <c r="ET78" s="127"/>
      <c r="EU78" s="127"/>
      <c r="EV78" s="127"/>
      <c r="EW78" s="127"/>
      <c r="EX78" s="173"/>
      <c r="EY78" s="173"/>
      <c r="EZ78" s="173"/>
      <c r="FA78" s="173"/>
      <c r="FB78" s="173"/>
      <c r="FC78" s="173"/>
      <c r="FD78" s="173"/>
      <c r="FE78" s="173"/>
      <c r="FF78" s="173"/>
      <c r="FG78" s="173"/>
      <c r="FH78" s="127"/>
      <c r="FI78" s="127"/>
      <c r="FJ78" s="127"/>
      <c r="FK78" s="174"/>
      <c r="FL78" s="127"/>
      <c r="FM78" s="127"/>
      <c r="FN78" s="127"/>
      <c r="FO78" s="127"/>
      <c r="FP78" s="127"/>
      <c r="FQ78" s="127"/>
      <c r="FR78" s="127"/>
      <c r="FS78" s="127"/>
      <c r="FT78" s="127"/>
      <c r="FU78" s="127"/>
      <c r="FV78" s="127"/>
      <c r="FW78" s="127"/>
      <c r="FX78" s="127"/>
      <c r="FY78" s="127"/>
      <c r="FZ78" s="127"/>
      <c r="GA78" s="127"/>
      <c r="GB78" s="127"/>
      <c r="GC78" s="174"/>
      <c r="GD78" s="127"/>
      <c r="GE78" s="127"/>
      <c r="GF78" s="127"/>
      <c r="GG78" s="174"/>
      <c r="GH78" s="127"/>
      <c r="GI78" s="127"/>
      <c r="GJ78" s="127"/>
      <c r="GK78" s="174"/>
      <c r="GL78" s="127"/>
      <c r="GM78" s="127"/>
      <c r="GN78" s="127"/>
      <c r="GO78" s="127"/>
      <c r="GP78" s="127"/>
      <c r="GQ78" s="174"/>
      <c r="GR78" s="127"/>
      <c r="GS78" s="127"/>
      <c r="GT78" s="127"/>
      <c r="GU78" s="127"/>
      <c r="GV78" s="127"/>
      <c r="GW78" s="127"/>
      <c r="GX78" s="173"/>
      <c r="GY78" s="127"/>
      <c r="GZ78" s="127"/>
      <c r="HA78" s="174"/>
    </row>
    <row r="79" spans="1:209" s="58" customFormat="1" ht="18" customHeight="1">
      <c r="A79" s="127"/>
      <c r="B79" s="127"/>
      <c r="C79" s="127"/>
      <c r="D79" s="127"/>
      <c r="E79" s="127"/>
      <c r="G79" s="127"/>
      <c r="H79" s="127"/>
      <c r="I79" s="127"/>
      <c r="J79" s="127"/>
      <c r="K79" s="127"/>
      <c r="L79" s="127"/>
      <c r="M79" s="127"/>
      <c r="N79" s="127"/>
      <c r="O79" s="127"/>
      <c r="P79" s="127"/>
      <c r="Q79" s="127"/>
      <c r="R79" s="127"/>
      <c r="S79" s="127"/>
      <c r="T79" s="127"/>
      <c r="U79" s="127"/>
      <c r="V79" s="127"/>
      <c r="W79" s="127"/>
      <c r="X79" s="127"/>
      <c r="Y79" s="127"/>
      <c r="Z79" s="127"/>
      <c r="AA79" s="127"/>
      <c r="AB79" s="127"/>
      <c r="AC79" s="127"/>
      <c r="AD79" s="127"/>
      <c r="AE79" s="127"/>
      <c r="AF79" s="127"/>
      <c r="AG79" s="127"/>
      <c r="AH79" s="127"/>
      <c r="AI79" s="127"/>
      <c r="AJ79" s="127"/>
      <c r="AK79" s="127"/>
      <c r="AL79" s="127"/>
      <c r="AM79" s="127"/>
      <c r="AN79" s="127"/>
      <c r="AO79" s="127"/>
      <c r="AP79" s="127"/>
      <c r="AQ79" s="127"/>
      <c r="AR79" s="127"/>
      <c r="AS79" s="127"/>
      <c r="AT79" s="173"/>
      <c r="AU79" s="173"/>
      <c r="AV79" s="173"/>
      <c r="AW79" s="127"/>
      <c r="AX79" s="127"/>
      <c r="AY79" s="127"/>
      <c r="AZ79" s="127"/>
      <c r="BA79" s="127"/>
      <c r="BB79" s="127"/>
      <c r="BC79" s="127"/>
      <c r="BD79" s="127"/>
      <c r="BE79" s="127"/>
      <c r="BF79" s="127"/>
      <c r="BG79" s="127"/>
      <c r="BH79" s="175"/>
      <c r="BI79" s="127"/>
      <c r="BJ79" s="175"/>
      <c r="BK79" s="127"/>
      <c r="BL79" s="175"/>
      <c r="BM79" s="127"/>
      <c r="BN79" s="127"/>
      <c r="BO79" s="127"/>
      <c r="BP79" s="127"/>
      <c r="BQ79" s="127"/>
      <c r="BR79" s="127"/>
      <c r="BS79" s="127"/>
      <c r="BT79" s="127"/>
      <c r="BU79" s="127"/>
      <c r="BV79" s="127"/>
      <c r="BW79" s="127"/>
      <c r="BX79" s="127"/>
      <c r="BY79" s="127"/>
      <c r="BZ79" s="127"/>
      <c r="CA79" s="127"/>
      <c r="CB79" s="127"/>
      <c r="CC79" s="127"/>
      <c r="CD79" s="127"/>
      <c r="CE79" s="127"/>
      <c r="CF79" s="127"/>
      <c r="CG79" s="127"/>
      <c r="CH79" s="127"/>
      <c r="CI79" s="127"/>
      <c r="CJ79" s="127"/>
      <c r="CK79" s="127"/>
      <c r="CL79" s="174"/>
      <c r="CM79" s="127"/>
      <c r="CN79" s="173"/>
      <c r="CO79" s="127"/>
      <c r="CP79" s="127"/>
      <c r="CQ79" s="127"/>
      <c r="CR79" s="127"/>
      <c r="CS79" s="127"/>
      <c r="CT79" s="127"/>
      <c r="CU79" s="127"/>
      <c r="CV79" s="127"/>
      <c r="CW79" s="127"/>
      <c r="CX79" s="127"/>
      <c r="CY79" s="127"/>
      <c r="CZ79" s="127"/>
      <c r="DA79" s="173"/>
      <c r="DB79" s="174"/>
      <c r="DC79" s="127"/>
      <c r="DD79" s="127"/>
      <c r="DE79" s="127"/>
      <c r="DF79" s="127"/>
      <c r="DG79" s="127"/>
      <c r="DH79" s="127"/>
      <c r="DI79" s="127"/>
      <c r="DJ79" s="127"/>
      <c r="DK79" s="127"/>
      <c r="DL79" s="127"/>
      <c r="DM79" s="127"/>
      <c r="DN79" s="127"/>
      <c r="DO79" s="127"/>
      <c r="DP79" s="127"/>
      <c r="DQ79" s="173"/>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c r="EN79" s="127"/>
      <c r="EO79" s="127"/>
      <c r="EP79" s="127"/>
      <c r="EQ79" s="127"/>
      <c r="ER79" s="127"/>
      <c r="ES79" s="127"/>
      <c r="ET79" s="127"/>
      <c r="EU79" s="127"/>
      <c r="EV79" s="127"/>
      <c r="EW79" s="127"/>
      <c r="EX79" s="173"/>
      <c r="EY79" s="173"/>
      <c r="EZ79" s="173"/>
      <c r="FA79" s="173"/>
      <c r="FB79" s="173"/>
      <c r="FC79" s="173"/>
      <c r="FD79" s="173"/>
      <c r="FE79" s="173"/>
      <c r="FF79" s="173"/>
      <c r="FG79" s="173"/>
      <c r="FH79" s="127"/>
      <c r="FI79" s="127"/>
      <c r="FJ79" s="127"/>
      <c r="FK79" s="174"/>
      <c r="FL79" s="127"/>
      <c r="FM79" s="127"/>
      <c r="FN79" s="127"/>
      <c r="FO79" s="127"/>
      <c r="FP79" s="127"/>
      <c r="FQ79" s="127"/>
      <c r="FR79" s="127"/>
      <c r="FS79" s="127"/>
      <c r="FT79" s="127"/>
      <c r="FU79" s="127"/>
      <c r="FV79" s="127"/>
      <c r="FW79" s="127"/>
      <c r="FX79" s="127"/>
      <c r="FY79" s="127"/>
      <c r="FZ79" s="127"/>
      <c r="GA79" s="127"/>
      <c r="GB79" s="127"/>
      <c r="GC79" s="174"/>
      <c r="GD79" s="127"/>
      <c r="GE79" s="127"/>
      <c r="GF79" s="127"/>
      <c r="GG79" s="174"/>
      <c r="GH79" s="127"/>
      <c r="GI79" s="127"/>
      <c r="GJ79" s="127"/>
      <c r="GK79" s="174"/>
      <c r="GL79" s="127"/>
      <c r="GM79" s="127"/>
      <c r="GN79" s="127"/>
      <c r="GO79" s="127"/>
      <c r="GP79" s="127"/>
      <c r="GQ79" s="174"/>
      <c r="GR79" s="127"/>
      <c r="GS79" s="127"/>
      <c r="GT79" s="127"/>
      <c r="GU79" s="127"/>
      <c r="GV79" s="127"/>
      <c r="GW79" s="127"/>
      <c r="GX79" s="173"/>
      <c r="GY79" s="127"/>
      <c r="GZ79" s="127"/>
      <c r="HA79" s="174"/>
    </row>
    <row r="80" spans="1:209" s="58" customFormat="1" ht="18" customHeight="1">
      <c r="A80" s="127"/>
      <c r="B80" s="127"/>
      <c r="C80" s="127"/>
      <c r="D80" s="127"/>
      <c r="E80" s="127"/>
      <c r="G80" s="127"/>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127"/>
      <c r="AH80" s="127"/>
      <c r="AI80" s="127"/>
      <c r="AJ80" s="127"/>
      <c r="AK80" s="127"/>
      <c r="AL80" s="127"/>
      <c r="AM80" s="127"/>
      <c r="AN80" s="127"/>
      <c r="AO80" s="127"/>
      <c r="AP80" s="127"/>
      <c r="AQ80" s="127"/>
      <c r="AR80" s="127"/>
      <c r="AS80" s="127"/>
      <c r="AT80" s="173"/>
      <c r="AU80" s="173"/>
      <c r="AV80" s="173"/>
      <c r="AW80" s="127"/>
      <c r="AX80" s="127"/>
      <c r="AY80" s="127"/>
      <c r="AZ80" s="127"/>
      <c r="BA80" s="127"/>
      <c r="BB80" s="127"/>
      <c r="BC80" s="127"/>
      <c r="BD80" s="127"/>
      <c r="BE80" s="127"/>
      <c r="BF80" s="127"/>
      <c r="BG80" s="127"/>
      <c r="BH80" s="175"/>
      <c r="BI80" s="127"/>
      <c r="BJ80" s="175"/>
      <c r="BK80" s="127"/>
      <c r="BL80" s="175"/>
      <c r="BM80" s="127"/>
      <c r="BN80" s="127"/>
      <c r="BO80" s="127"/>
      <c r="BP80" s="127"/>
      <c r="BQ80" s="127"/>
      <c r="BR80" s="127"/>
      <c r="BS80" s="127"/>
      <c r="BT80" s="127"/>
      <c r="BU80" s="127"/>
      <c r="BV80" s="127"/>
      <c r="BW80" s="127"/>
      <c r="BX80" s="127"/>
      <c r="BY80" s="127"/>
      <c r="BZ80" s="127"/>
      <c r="CA80" s="127"/>
      <c r="CB80" s="127"/>
      <c r="CC80" s="127"/>
      <c r="CD80" s="127"/>
      <c r="CE80" s="127"/>
      <c r="CF80" s="127"/>
      <c r="CG80" s="127"/>
      <c r="CH80" s="127"/>
      <c r="CI80" s="127"/>
      <c r="CJ80" s="127"/>
      <c r="CK80" s="127"/>
      <c r="CL80" s="174"/>
      <c r="CM80" s="127"/>
      <c r="CN80" s="173"/>
      <c r="CO80" s="127"/>
      <c r="CP80" s="127"/>
      <c r="CQ80" s="127"/>
      <c r="CR80" s="127"/>
      <c r="CS80" s="127"/>
      <c r="CT80" s="127"/>
      <c r="CU80" s="127"/>
      <c r="CV80" s="127"/>
      <c r="CW80" s="127"/>
      <c r="CX80" s="127"/>
      <c r="CY80" s="127"/>
      <c r="CZ80" s="127"/>
      <c r="DA80" s="173"/>
      <c r="DB80" s="174"/>
      <c r="DC80" s="127"/>
      <c r="DD80" s="127"/>
      <c r="DE80" s="127"/>
      <c r="DF80" s="127"/>
      <c r="DG80" s="127"/>
      <c r="DH80" s="127"/>
      <c r="DI80" s="127"/>
      <c r="DJ80" s="127"/>
      <c r="DK80" s="127"/>
      <c r="DL80" s="127"/>
      <c r="DM80" s="127"/>
      <c r="DN80" s="127"/>
      <c r="DO80" s="127"/>
      <c r="DP80" s="127"/>
      <c r="DQ80" s="173"/>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c r="EN80" s="127"/>
      <c r="EO80" s="127"/>
      <c r="EP80" s="127"/>
      <c r="EQ80" s="127"/>
      <c r="ER80" s="127"/>
      <c r="ES80" s="127"/>
      <c r="ET80" s="127"/>
      <c r="EU80" s="127"/>
      <c r="EV80" s="127"/>
      <c r="EW80" s="127"/>
      <c r="EX80" s="173"/>
      <c r="EY80" s="173"/>
      <c r="EZ80" s="173"/>
      <c r="FA80" s="173"/>
      <c r="FB80" s="173"/>
      <c r="FC80" s="173"/>
      <c r="FD80" s="173"/>
      <c r="FE80" s="173"/>
      <c r="FF80" s="173"/>
      <c r="FG80" s="173"/>
      <c r="FH80" s="127"/>
      <c r="FI80" s="127"/>
      <c r="FJ80" s="127"/>
      <c r="FK80" s="174"/>
      <c r="FL80" s="127"/>
      <c r="FM80" s="127"/>
      <c r="FN80" s="127"/>
      <c r="FO80" s="127"/>
      <c r="FP80" s="127"/>
      <c r="FQ80" s="127"/>
      <c r="FR80" s="127"/>
      <c r="FS80" s="127"/>
      <c r="FT80" s="127"/>
      <c r="FU80" s="127"/>
      <c r="FV80" s="127"/>
      <c r="FW80" s="127"/>
      <c r="FX80" s="127"/>
      <c r="FY80" s="127"/>
      <c r="FZ80" s="127"/>
      <c r="GA80" s="127"/>
      <c r="GB80" s="127"/>
      <c r="GC80" s="174"/>
      <c r="GD80" s="127"/>
      <c r="GE80" s="127"/>
      <c r="GF80" s="127"/>
      <c r="GG80" s="174"/>
      <c r="GH80" s="127"/>
      <c r="GI80" s="127"/>
      <c r="GJ80" s="127"/>
      <c r="GK80" s="174"/>
      <c r="GL80" s="127"/>
      <c r="GM80" s="127"/>
      <c r="GN80" s="127"/>
      <c r="GO80" s="127"/>
      <c r="GP80" s="127"/>
      <c r="GQ80" s="174"/>
      <c r="GR80" s="127"/>
      <c r="GS80" s="127"/>
      <c r="GT80" s="127"/>
      <c r="GU80" s="127"/>
      <c r="GV80" s="127"/>
      <c r="GW80" s="127"/>
      <c r="GX80" s="173"/>
      <c r="GY80" s="127"/>
      <c r="GZ80" s="127"/>
      <c r="HA80" s="174"/>
    </row>
    <row r="81" spans="1:209" s="58" customFormat="1" ht="18" customHeight="1">
      <c r="A81" s="127"/>
      <c r="B81" s="127"/>
      <c r="C81" s="127"/>
      <c r="D81" s="127"/>
      <c r="E81" s="127"/>
      <c r="G81" s="127"/>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127"/>
      <c r="AH81" s="127"/>
      <c r="AI81" s="127"/>
      <c r="AJ81" s="127"/>
      <c r="AK81" s="127"/>
      <c r="AL81" s="127"/>
      <c r="AM81" s="127"/>
      <c r="AN81" s="127"/>
      <c r="AO81" s="127"/>
      <c r="AP81" s="127"/>
      <c r="AQ81" s="127"/>
      <c r="AR81" s="127"/>
      <c r="AS81" s="127"/>
      <c r="AT81" s="173"/>
      <c r="AU81" s="173"/>
      <c r="AV81" s="173"/>
      <c r="AW81" s="127"/>
      <c r="AX81" s="127"/>
      <c r="AY81" s="127"/>
      <c r="AZ81" s="127"/>
      <c r="BA81" s="127"/>
      <c r="BB81" s="127"/>
      <c r="BC81" s="127"/>
      <c r="BD81" s="127"/>
      <c r="BE81" s="127"/>
      <c r="BF81" s="127"/>
      <c r="BG81" s="127"/>
      <c r="BH81" s="175"/>
      <c r="BI81" s="127"/>
      <c r="BJ81" s="175"/>
      <c r="BK81" s="127"/>
      <c r="BL81" s="175"/>
      <c r="BM81" s="127"/>
      <c r="BN81" s="127"/>
      <c r="BO81" s="127"/>
      <c r="BP81" s="127"/>
      <c r="BQ81" s="127"/>
      <c r="BR81" s="127"/>
      <c r="BS81" s="127"/>
      <c r="BT81" s="127"/>
      <c r="BU81" s="127"/>
      <c r="BV81" s="127"/>
      <c r="BW81" s="127"/>
      <c r="BX81" s="127"/>
      <c r="BY81" s="127"/>
      <c r="BZ81" s="127"/>
      <c r="CA81" s="127"/>
      <c r="CB81" s="127"/>
      <c r="CC81" s="127"/>
      <c r="CD81" s="127"/>
      <c r="CE81" s="127"/>
      <c r="CF81" s="127"/>
      <c r="CG81" s="127"/>
      <c r="CH81" s="127"/>
      <c r="CI81" s="127"/>
      <c r="CJ81" s="127"/>
      <c r="CK81" s="127"/>
      <c r="CL81" s="174"/>
      <c r="CM81" s="127"/>
      <c r="CN81" s="173"/>
      <c r="CO81" s="127"/>
      <c r="CP81" s="127"/>
      <c r="CQ81" s="127"/>
      <c r="CR81" s="127"/>
      <c r="CS81" s="127"/>
      <c r="CT81" s="127"/>
      <c r="CU81" s="127"/>
      <c r="CV81" s="127"/>
      <c r="CW81" s="127"/>
      <c r="CX81" s="127"/>
      <c r="CY81" s="127"/>
      <c r="CZ81" s="127"/>
      <c r="DA81" s="173"/>
      <c r="DB81" s="174"/>
      <c r="DC81" s="127"/>
      <c r="DD81" s="127"/>
      <c r="DE81" s="127"/>
      <c r="DF81" s="127"/>
      <c r="DG81" s="127"/>
      <c r="DH81" s="127"/>
      <c r="DI81" s="127"/>
      <c r="DJ81" s="127"/>
      <c r="DK81" s="127"/>
      <c r="DL81" s="127"/>
      <c r="DM81" s="127"/>
      <c r="DN81" s="127"/>
      <c r="DO81" s="127"/>
      <c r="DP81" s="127"/>
      <c r="DQ81" s="173"/>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c r="EN81" s="127"/>
      <c r="EO81" s="127"/>
      <c r="EP81" s="127"/>
      <c r="EQ81" s="127"/>
      <c r="ER81" s="127"/>
      <c r="ES81" s="127"/>
      <c r="ET81" s="127"/>
      <c r="EU81" s="127"/>
      <c r="EV81" s="127"/>
      <c r="EW81" s="127"/>
      <c r="EX81" s="173"/>
      <c r="EY81" s="173"/>
      <c r="EZ81" s="173"/>
      <c r="FA81" s="173"/>
      <c r="FB81" s="173"/>
      <c r="FC81" s="173"/>
      <c r="FD81" s="173"/>
      <c r="FE81" s="173"/>
      <c r="FF81" s="173"/>
      <c r="FG81" s="173"/>
      <c r="FH81" s="127"/>
      <c r="FI81" s="127"/>
      <c r="FJ81" s="127"/>
      <c r="FK81" s="174"/>
      <c r="FL81" s="127"/>
      <c r="FM81" s="127"/>
      <c r="FN81" s="127"/>
      <c r="FO81" s="127"/>
      <c r="FP81" s="127"/>
      <c r="FQ81" s="127"/>
      <c r="FR81" s="127"/>
      <c r="FS81" s="127"/>
      <c r="FT81" s="127"/>
      <c r="FU81" s="127"/>
      <c r="FV81" s="127"/>
      <c r="FW81" s="127"/>
      <c r="FX81" s="127"/>
      <c r="FY81" s="127"/>
      <c r="FZ81" s="127"/>
      <c r="GA81" s="127"/>
      <c r="GB81" s="127"/>
      <c r="GC81" s="174"/>
      <c r="GD81" s="127"/>
      <c r="GE81" s="127"/>
      <c r="GF81" s="127"/>
      <c r="GG81" s="174"/>
      <c r="GH81" s="127"/>
      <c r="GI81" s="127"/>
      <c r="GJ81" s="127"/>
      <c r="GK81" s="174"/>
      <c r="GL81" s="127"/>
      <c r="GM81" s="127"/>
      <c r="GN81" s="127"/>
      <c r="GO81" s="127"/>
      <c r="GP81" s="127"/>
      <c r="GQ81" s="174"/>
      <c r="GR81" s="127"/>
      <c r="GS81" s="127"/>
      <c r="GT81" s="127"/>
      <c r="GU81" s="127"/>
      <c r="GV81" s="127"/>
      <c r="GW81" s="127"/>
      <c r="GX81" s="173"/>
      <c r="GY81" s="127"/>
      <c r="GZ81" s="127"/>
      <c r="HA81" s="174"/>
    </row>
    <row r="82" spans="1:209" s="58" customFormat="1" ht="18" customHeight="1">
      <c r="A82" s="127"/>
      <c r="B82" s="127"/>
      <c r="C82" s="127"/>
      <c r="D82" s="127"/>
      <c r="E82" s="127"/>
      <c r="G82" s="127"/>
      <c r="H82" s="127"/>
      <c r="I82" s="127"/>
      <c r="J82" s="127"/>
      <c r="K82" s="127"/>
      <c r="L82" s="127"/>
      <c r="M82" s="127"/>
      <c r="N82" s="127"/>
      <c r="O82" s="127"/>
      <c r="P82" s="127"/>
      <c r="Q82" s="127"/>
      <c r="R82" s="127"/>
      <c r="S82" s="127"/>
      <c r="T82" s="127"/>
      <c r="U82" s="127"/>
      <c r="V82" s="127"/>
      <c r="W82" s="127"/>
      <c r="X82" s="127"/>
      <c r="Y82" s="127"/>
      <c r="Z82" s="127"/>
      <c r="AA82" s="127"/>
      <c r="AB82" s="127"/>
      <c r="AC82" s="127"/>
      <c r="AD82" s="127"/>
      <c r="AE82" s="127"/>
      <c r="AF82" s="127"/>
      <c r="AG82" s="127"/>
      <c r="AH82" s="127"/>
      <c r="AI82" s="127"/>
      <c r="AJ82" s="127"/>
      <c r="AK82" s="127"/>
      <c r="AL82" s="127"/>
      <c r="AM82" s="127"/>
      <c r="AN82" s="127"/>
      <c r="AO82" s="127"/>
      <c r="AP82" s="127"/>
      <c r="AQ82" s="127"/>
      <c r="AR82" s="127"/>
      <c r="AS82" s="127"/>
      <c r="AT82" s="173"/>
      <c r="AU82" s="173"/>
      <c r="AV82" s="173"/>
      <c r="AW82" s="127"/>
      <c r="AX82" s="127"/>
      <c r="AY82" s="127"/>
      <c r="AZ82" s="127"/>
      <c r="BA82" s="127"/>
      <c r="BB82" s="127"/>
      <c r="BC82" s="127"/>
      <c r="BD82" s="127"/>
      <c r="BE82" s="127"/>
      <c r="BF82" s="127"/>
      <c r="BG82" s="127"/>
      <c r="BH82" s="175"/>
      <c r="BI82" s="127"/>
      <c r="BJ82" s="175"/>
      <c r="BK82" s="127"/>
      <c r="BL82" s="175"/>
      <c r="BM82" s="127"/>
      <c r="BN82" s="127"/>
      <c r="BO82" s="127"/>
      <c r="BP82" s="127"/>
      <c r="BQ82" s="127"/>
      <c r="BR82" s="127"/>
      <c r="BS82" s="127"/>
      <c r="BT82" s="127"/>
      <c r="BU82" s="127"/>
      <c r="BV82" s="127"/>
      <c r="BW82" s="127"/>
      <c r="BX82" s="127"/>
      <c r="BY82" s="127"/>
      <c r="BZ82" s="127"/>
      <c r="CA82" s="127"/>
      <c r="CB82" s="127"/>
      <c r="CC82" s="127"/>
      <c r="CD82" s="127"/>
      <c r="CE82" s="127"/>
      <c r="CF82" s="127"/>
      <c r="CG82" s="127"/>
      <c r="CH82" s="127"/>
      <c r="CI82" s="127"/>
      <c r="CJ82" s="127"/>
      <c r="CK82" s="127"/>
      <c r="CL82" s="174"/>
      <c r="CM82" s="127"/>
      <c r="CN82" s="173"/>
      <c r="CO82" s="127"/>
      <c r="CP82" s="127"/>
      <c r="CQ82" s="127"/>
      <c r="CR82" s="127"/>
      <c r="CS82" s="127"/>
      <c r="CT82" s="127"/>
      <c r="CU82" s="127"/>
      <c r="CV82" s="127"/>
      <c r="CW82" s="127"/>
      <c r="CX82" s="127"/>
      <c r="CY82" s="127"/>
      <c r="CZ82" s="127"/>
      <c r="DA82" s="173"/>
      <c r="DB82" s="174"/>
      <c r="DC82" s="127"/>
      <c r="DD82" s="127"/>
      <c r="DE82" s="127"/>
      <c r="DF82" s="127"/>
      <c r="DG82" s="127"/>
      <c r="DH82" s="127"/>
      <c r="DI82" s="127"/>
      <c r="DJ82" s="127"/>
      <c r="DK82" s="127"/>
      <c r="DL82" s="127"/>
      <c r="DM82" s="127"/>
      <c r="DN82" s="127"/>
      <c r="DO82" s="127"/>
      <c r="DP82" s="127"/>
      <c r="DQ82" s="173"/>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c r="EN82" s="127"/>
      <c r="EO82" s="127"/>
      <c r="EP82" s="127"/>
      <c r="EQ82" s="127"/>
      <c r="ER82" s="127"/>
      <c r="ES82" s="127"/>
      <c r="ET82" s="127"/>
      <c r="EU82" s="127"/>
      <c r="EV82" s="127"/>
      <c r="EW82" s="127"/>
      <c r="EX82" s="173"/>
      <c r="EY82" s="173"/>
      <c r="EZ82" s="173"/>
      <c r="FA82" s="173"/>
      <c r="FB82" s="173"/>
      <c r="FC82" s="173"/>
      <c r="FD82" s="173"/>
      <c r="FE82" s="173"/>
      <c r="FF82" s="173"/>
      <c r="FG82" s="173"/>
      <c r="FH82" s="127"/>
      <c r="FI82" s="127"/>
      <c r="FJ82" s="127"/>
      <c r="FK82" s="174"/>
      <c r="FL82" s="127"/>
      <c r="FM82" s="127"/>
      <c r="FN82" s="127"/>
      <c r="FO82" s="127"/>
      <c r="FP82" s="127"/>
      <c r="FQ82" s="127"/>
      <c r="FR82" s="127"/>
      <c r="FS82" s="127"/>
      <c r="FT82" s="127"/>
      <c r="FU82" s="127"/>
      <c r="FV82" s="127"/>
      <c r="FW82" s="127"/>
      <c r="FX82" s="127"/>
      <c r="FY82" s="127"/>
      <c r="FZ82" s="127"/>
      <c r="GA82" s="127"/>
      <c r="GB82" s="127"/>
      <c r="GC82" s="174"/>
      <c r="GD82" s="127"/>
      <c r="GE82" s="127"/>
      <c r="GF82" s="127"/>
      <c r="GG82" s="174"/>
      <c r="GH82" s="127"/>
      <c r="GI82" s="127"/>
      <c r="GJ82" s="127"/>
      <c r="GK82" s="174"/>
      <c r="GL82" s="127"/>
      <c r="GM82" s="127"/>
      <c r="GN82" s="127"/>
      <c r="GO82" s="127"/>
      <c r="GP82" s="127"/>
      <c r="GQ82" s="174"/>
      <c r="GR82" s="127"/>
      <c r="GS82" s="127"/>
      <c r="GT82" s="127"/>
      <c r="GU82" s="127"/>
      <c r="GV82" s="127"/>
      <c r="GW82" s="127"/>
      <c r="GX82" s="173"/>
      <c r="GY82" s="127"/>
      <c r="GZ82" s="127"/>
      <c r="HA82" s="174"/>
    </row>
    <row r="83" spans="1:209" s="58" customFormat="1" ht="18" customHeight="1">
      <c r="A83" s="127"/>
      <c r="B83" s="127"/>
      <c r="C83" s="127"/>
      <c r="D83" s="127"/>
      <c r="E83" s="127"/>
      <c r="G83" s="127"/>
      <c r="H83" s="127"/>
      <c r="I83" s="127"/>
      <c r="J83" s="127"/>
      <c r="K83" s="127"/>
      <c r="L83" s="127"/>
      <c r="M83" s="127"/>
      <c r="N83" s="127"/>
      <c r="O83" s="127"/>
      <c r="P83" s="127"/>
      <c r="Q83" s="127"/>
      <c r="R83" s="127"/>
      <c r="S83" s="127"/>
      <c r="T83" s="127"/>
      <c r="U83" s="127"/>
      <c r="V83" s="127"/>
      <c r="W83" s="127"/>
      <c r="X83" s="127"/>
      <c r="Y83" s="127"/>
      <c r="Z83" s="127"/>
      <c r="AA83" s="127"/>
      <c r="AB83" s="127"/>
      <c r="AC83" s="127"/>
      <c r="AD83" s="127"/>
      <c r="AE83" s="127"/>
      <c r="AF83" s="127"/>
      <c r="AG83" s="127"/>
      <c r="AH83" s="127"/>
      <c r="AI83" s="127"/>
      <c r="AJ83" s="127"/>
      <c r="AK83" s="127"/>
      <c r="AL83" s="127"/>
      <c r="AM83" s="127"/>
      <c r="AN83" s="127"/>
      <c r="AO83" s="127"/>
      <c r="AP83" s="127"/>
      <c r="AQ83" s="127"/>
      <c r="AR83" s="127"/>
      <c r="AS83" s="127"/>
      <c r="AT83" s="173"/>
      <c r="AU83" s="173"/>
      <c r="AV83" s="173"/>
      <c r="AW83" s="127"/>
      <c r="AX83" s="127"/>
      <c r="AY83" s="127"/>
      <c r="AZ83" s="127"/>
      <c r="BA83" s="127"/>
      <c r="BB83" s="127"/>
      <c r="BC83" s="127"/>
      <c r="BD83" s="127"/>
      <c r="BE83" s="127"/>
      <c r="BF83" s="127"/>
      <c r="BG83" s="127"/>
      <c r="BH83" s="175"/>
      <c r="BI83" s="127"/>
      <c r="BJ83" s="175"/>
      <c r="BK83" s="127"/>
      <c r="BL83" s="175"/>
      <c r="BM83" s="127"/>
      <c r="BN83" s="127"/>
      <c r="BO83" s="127"/>
      <c r="BP83" s="127"/>
      <c r="BQ83" s="127"/>
      <c r="BR83" s="127"/>
      <c r="BS83" s="127"/>
      <c r="BT83" s="127"/>
      <c r="BU83" s="127"/>
      <c r="BV83" s="127"/>
      <c r="BW83" s="127"/>
      <c r="BX83" s="127"/>
      <c r="BY83" s="127"/>
      <c r="BZ83" s="127"/>
      <c r="CA83" s="127"/>
      <c r="CB83" s="127"/>
      <c r="CC83" s="127"/>
      <c r="CD83" s="127"/>
      <c r="CE83" s="127"/>
      <c r="CF83" s="127"/>
      <c r="CG83" s="127"/>
      <c r="CH83" s="127"/>
      <c r="CI83" s="127"/>
      <c r="CJ83" s="127"/>
      <c r="CK83" s="127"/>
      <c r="CL83" s="174"/>
      <c r="CM83" s="127"/>
      <c r="CN83" s="173"/>
      <c r="CO83" s="127"/>
      <c r="CP83" s="127"/>
      <c r="CQ83" s="127"/>
      <c r="CR83" s="127"/>
      <c r="CS83" s="127"/>
      <c r="CT83" s="127"/>
      <c r="CU83" s="127"/>
      <c r="CV83" s="127"/>
      <c r="CW83" s="127"/>
      <c r="CX83" s="127"/>
      <c r="CY83" s="127"/>
      <c r="CZ83" s="127"/>
      <c r="DA83" s="173"/>
      <c r="DB83" s="174"/>
      <c r="DC83" s="127"/>
      <c r="DD83" s="127"/>
      <c r="DE83" s="127"/>
      <c r="DF83" s="127"/>
      <c r="DG83" s="127"/>
      <c r="DH83" s="127"/>
      <c r="DI83" s="127"/>
      <c r="DJ83" s="127"/>
      <c r="DK83" s="127"/>
      <c r="DL83" s="127"/>
      <c r="DM83" s="127"/>
      <c r="DN83" s="127"/>
      <c r="DO83" s="127"/>
      <c r="DP83" s="127"/>
      <c r="DQ83" s="173"/>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c r="EN83" s="127"/>
      <c r="EO83" s="127"/>
      <c r="EP83" s="127"/>
      <c r="EQ83" s="127"/>
      <c r="ER83" s="127"/>
      <c r="ES83" s="127"/>
      <c r="ET83" s="127"/>
      <c r="EU83" s="127"/>
      <c r="EV83" s="127"/>
      <c r="EW83" s="127"/>
      <c r="EX83" s="173"/>
      <c r="EY83" s="173"/>
      <c r="EZ83" s="173"/>
      <c r="FA83" s="173"/>
      <c r="FB83" s="173"/>
      <c r="FC83" s="173"/>
      <c r="FD83" s="173"/>
      <c r="FE83" s="173"/>
      <c r="FF83" s="173"/>
      <c r="FG83" s="173"/>
      <c r="FH83" s="127"/>
      <c r="FI83" s="127"/>
      <c r="FJ83" s="127"/>
      <c r="FK83" s="174"/>
      <c r="FL83" s="127"/>
      <c r="FM83" s="127"/>
      <c r="FN83" s="127"/>
      <c r="FO83" s="127"/>
      <c r="FP83" s="127"/>
      <c r="FQ83" s="127"/>
      <c r="FR83" s="127"/>
      <c r="FS83" s="127"/>
      <c r="FT83" s="127"/>
      <c r="FU83" s="127"/>
      <c r="FV83" s="127"/>
      <c r="FW83" s="127"/>
      <c r="FX83" s="127"/>
      <c r="FY83" s="127"/>
      <c r="FZ83" s="127"/>
      <c r="GA83" s="127"/>
      <c r="GB83" s="127"/>
      <c r="GC83" s="174"/>
      <c r="GD83" s="127"/>
      <c r="GE83" s="127"/>
      <c r="GF83" s="127"/>
      <c r="GG83" s="174"/>
      <c r="GH83" s="127"/>
      <c r="GI83" s="127"/>
      <c r="GJ83" s="127"/>
      <c r="GK83" s="174"/>
      <c r="GL83" s="127"/>
      <c r="GM83" s="127"/>
      <c r="GN83" s="127"/>
      <c r="GO83" s="127"/>
      <c r="GP83" s="127"/>
      <c r="GQ83" s="174"/>
      <c r="GR83" s="127"/>
      <c r="GS83" s="127"/>
      <c r="GT83" s="127"/>
      <c r="GU83" s="127"/>
      <c r="GV83" s="127"/>
      <c r="GW83" s="127"/>
      <c r="GX83" s="173"/>
      <c r="GY83" s="127"/>
      <c r="GZ83" s="127"/>
      <c r="HA83" s="174"/>
    </row>
    <row r="84" spans="1:209" s="58" customFormat="1" ht="18" customHeight="1">
      <c r="A84" s="127"/>
      <c r="B84" s="127"/>
      <c r="C84" s="127"/>
      <c r="D84" s="127"/>
      <c r="E84" s="127"/>
      <c r="G84" s="127"/>
      <c r="H84" s="127"/>
      <c r="I84" s="127"/>
      <c r="J84" s="127"/>
      <c r="K84" s="127"/>
      <c r="L84" s="127"/>
      <c r="M84" s="127"/>
      <c r="N84" s="127"/>
      <c r="O84" s="127"/>
      <c r="P84" s="127"/>
      <c r="Q84" s="127"/>
      <c r="R84" s="127"/>
      <c r="S84" s="127"/>
      <c r="T84" s="127"/>
      <c r="U84" s="127"/>
      <c r="V84" s="127"/>
      <c r="W84" s="127"/>
      <c r="X84" s="127"/>
      <c r="Y84" s="127"/>
      <c r="Z84" s="127"/>
      <c r="AA84" s="127"/>
      <c r="AB84" s="127"/>
      <c r="AC84" s="127"/>
      <c r="AD84" s="127"/>
      <c r="AE84" s="127"/>
      <c r="AF84" s="127"/>
      <c r="AG84" s="127"/>
      <c r="AH84" s="127"/>
      <c r="AI84" s="127"/>
      <c r="AJ84" s="127"/>
      <c r="AK84" s="127"/>
      <c r="AL84" s="127"/>
      <c r="AM84" s="127"/>
      <c r="AN84" s="127"/>
      <c r="AO84" s="127"/>
      <c r="AP84" s="127"/>
      <c r="AQ84" s="127"/>
      <c r="AR84" s="127"/>
      <c r="AS84" s="127"/>
      <c r="AT84" s="173"/>
      <c r="AU84" s="173"/>
      <c r="AV84" s="173"/>
      <c r="AW84" s="127"/>
      <c r="AX84" s="127"/>
      <c r="AY84" s="127"/>
      <c r="AZ84" s="127"/>
      <c r="BA84" s="127"/>
      <c r="BB84" s="127"/>
      <c r="BC84" s="127"/>
      <c r="BD84" s="127"/>
      <c r="BE84" s="127"/>
      <c r="BF84" s="127"/>
      <c r="BG84" s="127"/>
      <c r="BH84" s="175"/>
      <c r="BI84" s="127"/>
      <c r="BJ84" s="175"/>
      <c r="BK84" s="127"/>
      <c r="BL84" s="175"/>
      <c r="BM84" s="127"/>
      <c r="BN84" s="127"/>
      <c r="BO84" s="127"/>
      <c r="BP84" s="127"/>
      <c r="BQ84" s="127"/>
      <c r="BR84" s="127"/>
      <c r="BS84" s="127"/>
      <c r="BT84" s="127"/>
      <c r="BU84" s="127"/>
      <c r="BV84" s="127"/>
      <c r="BW84" s="127"/>
      <c r="BX84" s="127"/>
      <c r="BY84" s="127"/>
      <c r="BZ84" s="127"/>
      <c r="CA84" s="127"/>
      <c r="CB84" s="127"/>
      <c r="CC84" s="127"/>
      <c r="CD84" s="127"/>
      <c r="CE84" s="127"/>
      <c r="CF84" s="127"/>
      <c r="CG84" s="127"/>
      <c r="CH84" s="127"/>
      <c r="CI84" s="127"/>
      <c r="CJ84" s="127"/>
      <c r="CK84" s="127"/>
      <c r="CL84" s="174"/>
      <c r="CM84" s="127"/>
      <c r="CN84" s="173"/>
      <c r="CO84" s="127"/>
      <c r="CP84" s="127"/>
      <c r="CQ84" s="127"/>
      <c r="CR84" s="127"/>
      <c r="CS84" s="127"/>
      <c r="CT84" s="127"/>
      <c r="CU84" s="127"/>
      <c r="CV84" s="127"/>
      <c r="CW84" s="127"/>
      <c r="CX84" s="127"/>
      <c r="CY84" s="127"/>
      <c r="CZ84" s="127"/>
      <c r="DA84" s="173"/>
      <c r="DB84" s="174"/>
      <c r="DC84" s="127"/>
      <c r="DD84" s="127"/>
      <c r="DE84" s="127"/>
      <c r="DF84" s="127"/>
      <c r="DG84" s="127"/>
      <c r="DH84" s="127"/>
      <c r="DI84" s="127"/>
      <c r="DJ84" s="127"/>
      <c r="DK84" s="127"/>
      <c r="DL84" s="127"/>
      <c r="DM84" s="127"/>
      <c r="DN84" s="127"/>
      <c r="DO84" s="127"/>
      <c r="DP84" s="127"/>
      <c r="DQ84" s="173"/>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c r="EN84" s="127"/>
      <c r="EO84" s="127"/>
      <c r="EP84" s="127"/>
      <c r="EQ84" s="127"/>
      <c r="ER84" s="127"/>
      <c r="ES84" s="127"/>
      <c r="ET84" s="127"/>
      <c r="EU84" s="127"/>
      <c r="EV84" s="127"/>
      <c r="EW84" s="127"/>
      <c r="EX84" s="173"/>
      <c r="EY84" s="173"/>
      <c r="EZ84" s="173"/>
      <c r="FA84" s="173"/>
      <c r="FB84" s="173"/>
      <c r="FC84" s="173"/>
      <c r="FD84" s="173"/>
      <c r="FE84" s="173"/>
      <c r="FF84" s="173"/>
      <c r="FG84" s="173"/>
      <c r="FH84" s="127"/>
      <c r="FI84" s="127"/>
      <c r="FJ84" s="127"/>
      <c r="FK84" s="174"/>
      <c r="FL84" s="127"/>
      <c r="FM84" s="127"/>
      <c r="FN84" s="127"/>
      <c r="FO84" s="127"/>
      <c r="FP84" s="127"/>
      <c r="FQ84" s="127"/>
      <c r="FR84" s="127"/>
      <c r="FS84" s="127"/>
      <c r="FT84" s="127"/>
      <c r="FU84" s="127"/>
      <c r="FV84" s="127"/>
      <c r="FW84" s="127"/>
      <c r="FX84" s="127"/>
      <c r="FY84" s="127"/>
      <c r="FZ84" s="127"/>
      <c r="GA84" s="127"/>
      <c r="GB84" s="127"/>
      <c r="GC84" s="174"/>
      <c r="GD84" s="127"/>
      <c r="GE84" s="127"/>
      <c r="GF84" s="127"/>
      <c r="GG84" s="174"/>
      <c r="GH84" s="127"/>
      <c r="GI84" s="127"/>
      <c r="GJ84" s="127"/>
      <c r="GK84" s="174"/>
      <c r="GL84" s="127"/>
      <c r="GM84" s="127"/>
      <c r="GN84" s="127"/>
      <c r="GO84" s="127"/>
      <c r="GP84" s="127"/>
      <c r="GQ84" s="174"/>
      <c r="GR84" s="127"/>
      <c r="GS84" s="127"/>
      <c r="GT84" s="127"/>
      <c r="GU84" s="127"/>
      <c r="GV84" s="127"/>
      <c r="GW84" s="127"/>
      <c r="GX84" s="173"/>
      <c r="GY84" s="127"/>
      <c r="GZ84" s="127"/>
      <c r="HA84" s="174"/>
    </row>
    <row r="85" spans="1:209" s="58" customFormat="1" ht="18" customHeight="1">
      <c r="A85" s="127"/>
      <c r="B85" s="127"/>
      <c r="C85" s="127"/>
      <c r="D85" s="127"/>
      <c r="E85" s="127"/>
      <c r="G85" s="127"/>
      <c r="H85" s="127"/>
      <c r="I85" s="127"/>
      <c r="J85" s="127"/>
      <c r="K85" s="127"/>
      <c r="L85" s="127"/>
      <c r="M85" s="127"/>
      <c r="N85" s="127"/>
      <c r="O85" s="127"/>
      <c r="P85" s="127"/>
      <c r="Q85" s="127"/>
      <c r="R85" s="127"/>
      <c r="S85" s="127"/>
      <c r="T85" s="127"/>
      <c r="U85" s="127"/>
      <c r="V85" s="127"/>
      <c r="W85" s="127"/>
      <c r="X85" s="127"/>
      <c r="Y85" s="127"/>
      <c r="Z85" s="127"/>
      <c r="AA85" s="127"/>
      <c r="AB85" s="127"/>
      <c r="AC85" s="127"/>
      <c r="AD85" s="127"/>
      <c r="AE85" s="127"/>
      <c r="AF85" s="127"/>
      <c r="AG85" s="127"/>
      <c r="AH85" s="127"/>
      <c r="AI85" s="127"/>
      <c r="AJ85" s="127"/>
      <c r="AK85" s="127"/>
      <c r="AL85" s="127"/>
      <c r="AM85" s="127"/>
      <c r="AN85" s="127"/>
      <c r="AO85" s="127"/>
      <c r="AP85" s="127"/>
      <c r="AQ85" s="127"/>
      <c r="AR85" s="127"/>
      <c r="AS85" s="127"/>
      <c r="AT85" s="173"/>
      <c r="AU85" s="173"/>
      <c r="AV85" s="173"/>
      <c r="AW85" s="127"/>
      <c r="AX85" s="127"/>
      <c r="AY85" s="127"/>
      <c r="AZ85" s="127"/>
      <c r="BA85" s="127"/>
      <c r="BB85" s="127"/>
      <c r="BC85" s="127"/>
      <c r="BD85" s="127"/>
      <c r="BE85" s="127"/>
      <c r="BF85" s="127"/>
      <c r="BG85" s="127"/>
      <c r="BH85" s="175"/>
      <c r="BI85" s="127"/>
      <c r="BJ85" s="175"/>
      <c r="BK85" s="127"/>
      <c r="BL85" s="175"/>
      <c r="BM85" s="127"/>
      <c r="BN85" s="127"/>
      <c r="BO85" s="127"/>
      <c r="BP85" s="127"/>
      <c r="BQ85" s="127"/>
      <c r="BR85" s="127"/>
      <c r="BS85" s="127"/>
      <c r="BT85" s="127"/>
      <c r="BU85" s="127"/>
      <c r="BV85" s="127"/>
      <c r="BW85" s="127"/>
      <c r="BX85" s="127"/>
      <c r="BY85" s="127"/>
      <c r="BZ85" s="127"/>
      <c r="CA85" s="127"/>
      <c r="CB85" s="127"/>
      <c r="CC85" s="127"/>
      <c r="CD85" s="127"/>
      <c r="CE85" s="127"/>
      <c r="CF85" s="127"/>
      <c r="CG85" s="127"/>
      <c r="CH85" s="127"/>
      <c r="CI85" s="127"/>
      <c r="CJ85" s="127"/>
      <c r="CK85" s="127"/>
      <c r="CL85" s="174"/>
      <c r="CM85" s="127"/>
      <c r="CN85" s="173"/>
      <c r="CO85" s="127"/>
      <c r="CP85" s="127"/>
      <c r="CQ85" s="127"/>
      <c r="CR85" s="127"/>
      <c r="CS85" s="127"/>
      <c r="CT85" s="127"/>
      <c r="CU85" s="127"/>
      <c r="CV85" s="127"/>
      <c r="CW85" s="127"/>
      <c r="CX85" s="127"/>
      <c r="CY85" s="127"/>
      <c r="CZ85" s="127"/>
      <c r="DA85" s="173"/>
      <c r="DB85" s="174"/>
      <c r="DC85" s="127"/>
      <c r="DD85" s="127"/>
      <c r="DE85" s="127"/>
      <c r="DF85" s="127"/>
      <c r="DG85" s="127"/>
      <c r="DH85" s="127"/>
      <c r="DI85" s="127"/>
      <c r="DJ85" s="127"/>
      <c r="DK85" s="127"/>
      <c r="DL85" s="127"/>
      <c r="DM85" s="127"/>
      <c r="DN85" s="127"/>
      <c r="DO85" s="127"/>
      <c r="DP85" s="127"/>
      <c r="DQ85" s="173"/>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c r="EN85" s="127"/>
      <c r="EO85" s="127"/>
      <c r="EP85" s="127"/>
      <c r="EQ85" s="127"/>
      <c r="ER85" s="127"/>
      <c r="ES85" s="127"/>
      <c r="ET85" s="127"/>
      <c r="EU85" s="127"/>
      <c r="EV85" s="127"/>
      <c r="EW85" s="127"/>
      <c r="EX85" s="173"/>
      <c r="EY85" s="173"/>
      <c r="EZ85" s="173"/>
      <c r="FA85" s="173"/>
      <c r="FB85" s="173"/>
      <c r="FC85" s="173"/>
      <c r="FD85" s="173"/>
      <c r="FE85" s="173"/>
      <c r="FF85" s="173"/>
      <c r="FG85" s="173"/>
      <c r="FH85" s="127"/>
      <c r="FI85" s="127"/>
      <c r="FJ85" s="127"/>
      <c r="FK85" s="174"/>
      <c r="FL85" s="127"/>
      <c r="FM85" s="127"/>
      <c r="FN85" s="127"/>
      <c r="FO85" s="127"/>
      <c r="FP85" s="127"/>
      <c r="FQ85" s="127"/>
      <c r="FR85" s="127"/>
      <c r="FS85" s="127"/>
      <c r="FT85" s="127"/>
      <c r="FU85" s="127"/>
      <c r="FV85" s="127"/>
      <c r="FW85" s="127"/>
      <c r="FX85" s="127"/>
      <c r="FY85" s="127"/>
      <c r="FZ85" s="127"/>
      <c r="GA85" s="127"/>
      <c r="GB85" s="127"/>
      <c r="GC85" s="174"/>
      <c r="GD85" s="127"/>
      <c r="GE85" s="127"/>
      <c r="GF85" s="127"/>
      <c r="GG85" s="174"/>
      <c r="GH85" s="127"/>
      <c r="GI85" s="127"/>
      <c r="GJ85" s="127"/>
      <c r="GK85" s="174"/>
      <c r="GL85" s="127"/>
      <c r="GM85" s="127"/>
      <c r="GN85" s="127"/>
      <c r="GO85" s="127"/>
      <c r="GP85" s="127"/>
      <c r="GQ85" s="174"/>
      <c r="GR85" s="127"/>
      <c r="GS85" s="127"/>
      <c r="GT85" s="127"/>
      <c r="GU85" s="127"/>
      <c r="GV85" s="127"/>
      <c r="GW85" s="127"/>
      <c r="GX85" s="173"/>
      <c r="GY85" s="127"/>
      <c r="GZ85" s="127"/>
      <c r="HA85" s="174"/>
    </row>
    <row r="86" spans="1:209" s="58" customFormat="1" ht="18" customHeight="1">
      <c r="A86" s="127"/>
      <c r="B86" s="127"/>
      <c r="C86" s="127"/>
      <c r="D86" s="127"/>
      <c r="E86" s="127"/>
      <c r="G86" s="127"/>
      <c r="H86" s="127"/>
      <c r="I86" s="127"/>
      <c r="J86" s="127"/>
      <c r="K86" s="127"/>
      <c r="L86" s="127"/>
      <c r="M86" s="127"/>
      <c r="N86" s="127"/>
      <c r="O86" s="127"/>
      <c r="P86" s="127"/>
      <c r="Q86" s="127"/>
      <c r="R86" s="127"/>
      <c r="S86" s="127"/>
      <c r="T86" s="127"/>
      <c r="U86" s="127"/>
      <c r="V86" s="127"/>
      <c r="W86" s="127"/>
      <c r="X86" s="127"/>
      <c r="Y86" s="127"/>
      <c r="Z86" s="127"/>
      <c r="AA86" s="127"/>
      <c r="AB86" s="127"/>
      <c r="AC86" s="127"/>
      <c r="AD86" s="127"/>
      <c r="AE86" s="127"/>
      <c r="AF86" s="127"/>
      <c r="AG86" s="127"/>
      <c r="AH86" s="127"/>
      <c r="AI86" s="127"/>
      <c r="AJ86" s="127"/>
      <c r="AK86" s="127"/>
      <c r="AL86" s="127"/>
      <c r="AM86" s="127"/>
      <c r="AN86" s="127"/>
      <c r="AO86" s="127"/>
      <c r="AP86" s="127"/>
      <c r="AQ86" s="127"/>
      <c r="AR86" s="127"/>
      <c r="AS86" s="127"/>
      <c r="AT86" s="173"/>
      <c r="AU86" s="173"/>
      <c r="AV86" s="173"/>
      <c r="AW86" s="127"/>
      <c r="AX86" s="127"/>
      <c r="AY86" s="127"/>
      <c r="AZ86" s="127"/>
      <c r="BA86" s="127"/>
      <c r="BB86" s="127"/>
      <c r="BC86" s="127"/>
      <c r="BD86" s="127"/>
      <c r="BE86" s="127"/>
      <c r="BF86" s="127"/>
      <c r="BG86" s="127"/>
      <c r="BH86" s="175"/>
      <c r="BI86" s="127"/>
      <c r="BJ86" s="175"/>
      <c r="BK86" s="127"/>
      <c r="BL86" s="175"/>
      <c r="BM86" s="127"/>
      <c r="BN86" s="127"/>
      <c r="BO86" s="127"/>
      <c r="BP86" s="127"/>
      <c r="BQ86" s="127"/>
      <c r="BR86" s="127"/>
      <c r="BS86" s="127"/>
      <c r="BT86" s="127"/>
      <c r="BU86" s="127"/>
      <c r="BV86" s="127"/>
      <c r="BW86" s="127"/>
      <c r="BX86" s="127"/>
      <c r="BY86" s="127"/>
      <c r="BZ86" s="127"/>
      <c r="CA86" s="127"/>
      <c r="CB86" s="127"/>
      <c r="CC86" s="127"/>
      <c r="CD86" s="127"/>
      <c r="CE86" s="127"/>
      <c r="CF86" s="127"/>
      <c r="CG86" s="127"/>
      <c r="CH86" s="127"/>
      <c r="CI86" s="127"/>
      <c r="CJ86" s="127"/>
      <c r="CK86" s="127"/>
      <c r="CL86" s="174"/>
      <c r="CM86" s="127"/>
      <c r="CN86" s="173"/>
      <c r="CO86" s="127"/>
      <c r="CP86" s="127"/>
      <c r="CQ86" s="127"/>
      <c r="CR86" s="127"/>
      <c r="CS86" s="127"/>
      <c r="CT86" s="127"/>
      <c r="CU86" s="127"/>
      <c r="CV86" s="127"/>
      <c r="CW86" s="127"/>
      <c r="CX86" s="127"/>
      <c r="CY86" s="127"/>
      <c r="CZ86" s="127"/>
      <c r="DA86" s="173"/>
      <c r="DB86" s="174"/>
      <c r="DC86" s="127"/>
      <c r="DD86" s="127"/>
      <c r="DE86" s="127"/>
      <c r="DF86" s="127"/>
      <c r="DG86" s="127"/>
      <c r="DH86" s="127"/>
      <c r="DI86" s="127"/>
      <c r="DJ86" s="127"/>
      <c r="DK86" s="127"/>
      <c r="DL86" s="127"/>
      <c r="DM86" s="127"/>
      <c r="DN86" s="127"/>
      <c r="DO86" s="127"/>
      <c r="DP86" s="127"/>
      <c r="DQ86" s="173"/>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c r="EN86" s="127"/>
      <c r="EO86" s="127"/>
      <c r="EP86" s="127"/>
      <c r="EQ86" s="127"/>
      <c r="ER86" s="127"/>
      <c r="ES86" s="127"/>
      <c r="ET86" s="127"/>
      <c r="EU86" s="127"/>
      <c r="EV86" s="127"/>
      <c r="EW86" s="127"/>
      <c r="EX86" s="173"/>
      <c r="EY86" s="173"/>
      <c r="EZ86" s="173"/>
      <c r="FA86" s="173"/>
      <c r="FB86" s="173"/>
      <c r="FC86" s="173"/>
      <c r="FD86" s="173"/>
      <c r="FE86" s="173"/>
      <c r="FF86" s="173"/>
      <c r="FG86" s="173"/>
      <c r="FH86" s="127"/>
      <c r="FI86" s="127"/>
      <c r="FJ86" s="127"/>
      <c r="FK86" s="174"/>
      <c r="FL86" s="127"/>
      <c r="FM86" s="127"/>
      <c r="FN86" s="127"/>
      <c r="FO86" s="127"/>
      <c r="FP86" s="127"/>
      <c r="FQ86" s="127"/>
      <c r="FR86" s="127"/>
      <c r="FS86" s="127"/>
      <c r="FT86" s="127"/>
      <c r="FU86" s="127"/>
      <c r="FV86" s="127"/>
      <c r="FW86" s="127"/>
      <c r="FX86" s="127"/>
      <c r="FY86" s="127"/>
      <c r="FZ86" s="127"/>
      <c r="GA86" s="127"/>
      <c r="GB86" s="127"/>
      <c r="GC86" s="174"/>
      <c r="GD86" s="127"/>
      <c r="GE86" s="127"/>
      <c r="GF86" s="127"/>
      <c r="GG86" s="174"/>
      <c r="GH86" s="127"/>
      <c r="GI86" s="127"/>
      <c r="GJ86" s="127"/>
      <c r="GK86" s="174"/>
      <c r="GL86" s="127"/>
      <c r="GM86" s="127"/>
      <c r="GN86" s="127"/>
      <c r="GO86" s="127"/>
      <c r="GP86" s="127"/>
      <c r="GQ86" s="174"/>
      <c r="GR86" s="127"/>
      <c r="GS86" s="127"/>
      <c r="GT86" s="127"/>
      <c r="GU86" s="127"/>
      <c r="GV86" s="127"/>
      <c r="GW86" s="127"/>
      <c r="GX86" s="173"/>
      <c r="GY86" s="127"/>
      <c r="GZ86" s="127"/>
      <c r="HA86" s="174"/>
    </row>
    <row r="87" spans="1:209" s="58" customFormat="1" ht="18" customHeight="1">
      <c r="A87" s="127"/>
      <c r="B87" s="127"/>
      <c r="C87" s="127"/>
      <c r="D87" s="127"/>
      <c r="E87" s="127"/>
      <c r="G87" s="127"/>
      <c r="H87" s="127"/>
      <c r="I87" s="127"/>
      <c r="J87" s="127"/>
      <c r="K87" s="127"/>
      <c r="L87" s="127"/>
      <c r="M87" s="127"/>
      <c r="N87" s="127"/>
      <c r="O87" s="127"/>
      <c r="P87" s="127"/>
      <c r="Q87" s="127"/>
      <c r="R87" s="127"/>
      <c r="S87" s="127"/>
      <c r="T87" s="127"/>
      <c r="U87" s="127"/>
      <c r="V87" s="127"/>
      <c r="W87" s="127"/>
      <c r="X87" s="127"/>
      <c r="Y87" s="127"/>
      <c r="Z87" s="127"/>
      <c r="AA87" s="127"/>
      <c r="AB87" s="127"/>
      <c r="AC87" s="127"/>
      <c r="AD87" s="127"/>
      <c r="AE87" s="127"/>
      <c r="AF87" s="127"/>
      <c r="AG87" s="127"/>
      <c r="AH87" s="127"/>
      <c r="AI87" s="127"/>
      <c r="AJ87" s="127"/>
      <c r="AK87" s="127"/>
      <c r="AL87" s="127"/>
      <c r="AM87" s="127"/>
      <c r="AN87" s="127"/>
      <c r="AO87" s="127"/>
      <c r="AP87" s="127"/>
      <c r="AQ87" s="127"/>
      <c r="AR87" s="127"/>
      <c r="AS87" s="127"/>
      <c r="AT87" s="173"/>
      <c r="AU87" s="173"/>
      <c r="AV87" s="173"/>
      <c r="AW87" s="127"/>
      <c r="AX87" s="127"/>
      <c r="AY87" s="127"/>
      <c r="AZ87" s="127"/>
      <c r="BA87" s="127"/>
      <c r="BB87" s="127"/>
      <c r="BC87" s="127"/>
      <c r="BD87" s="127"/>
      <c r="BE87" s="127"/>
      <c r="BF87" s="127"/>
      <c r="BG87" s="127"/>
      <c r="BH87" s="175"/>
      <c r="BI87" s="127"/>
      <c r="BJ87" s="175"/>
      <c r="BK87" s="127"/>
      <c r="BL87" s="175"/>
      <c r="BM87" s="127"/>
      <c r="BN87" s="127"/>
      <c r="BO87" s="127"/>
      <c r="BP87" s="127"/>
      <c r="BQ87" s="127"/>
      <c r="BR87" s="127"/>
      <c r="BS87" s="127"/>
      <c r="BT87" s="127"/>
      <c r="BU87" s="127"/>
      <c r="BV87" s="127"/>
      <c r="BW87" s="127"/>
      <c r="BX87" s="127"/>
      <c r="BY87" s="127"/>
      <c r="BZ87" s="127"/>
      <c r="CA87" s="127"/>
      <c r="CB87" s="127"/>
      <c r="CC87" s="127"/>
      <c r="CD87" s="127"/>
      <c r="CE87" s="127"/>
      <c r="CF87" s="127"/>
      <c r="CG87" s="127"/>
      <c r="CH87" s="127"/>
      <c r="CI87" s="127"/>
      <c r="CJ87" s="127"/>
      <c r="CK87" s="127"/>
      <c r="CL87" s="174"/>
      <c r="CM87" s="127"/>
      <c r="CN87" s="173"/>
      <c r="CO87" s="127"/>
      <c r="CP87" s="127"/>
      <c r="CQ87" s="127"/>
      <c r="CR87" s="127"/>
      <c r="CS87" s="127"/>
      <c r="CT87" s="127"/>
      <c r="CU87" s="127"/>
      <c r="CV87" s="127"/>
      <c r="CW87" s="127"/>
      <c r="CX87" s="127"/>
      <c r="CY87" s="127"/>
      <c r="CZ87" s="127"/>
      <c r="DA87" s="173"/>
      <c r="DB87" s="174"/>
      <c r="DC87" s="127"/>
      <c r="DD87" s="127"/>
      <c r="DE87" s="127"/>
      <c r="DF87" s="127"/>
      <c r="DG87" s="127"/>
      <c r="DH87" s="127"/>
      <c r="DI87" s="127"/>
      <c r="DJ87" s="127"/>
      <c r="DK87" s="127"/>
      <c r="DL87" s="127"/>
      <c r="DM87" s="127"/>
      <c r="DN87" s="127"/>
      <c r="DO87" s="127"/>
      <c r="DP87" s="127"/>
      <c r="DQ87" s="173"/>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c r="EN87" s="127"/>
      <c r="EO87" s="127"/>
      <c r="EP87" s="127"/>
      <c r="EQ87" s="127"/>
      <c r="ER87" s="127"/>
      <c r="ES87" s="127"/>
      <c r="ET87" s="127"/>
      <c r="EU87" s="127"/>
      <c r="EV87" s="127"/>
      <c r="EW87" s="127"/>
      <c r="EX87" s="173"/>
      <c r="EY87" s="173"/>
      <c r="EZ87" s="173"/>
      <c r="FA87" s="173"/>
      <c r="FB87" s="173"/>
      <c r="FC87" s="173"/>
      <c r="FD87" s="173"/>
      <c r="FE87" s="173"/>
      <c r="FF87" s="173"/>
      <c r="FG87" s="173"/>
      <c r="FH87" s="127"/>
      <c r="FI87" s="127"/>
      <c r="FJ87" s="127"/>
      <c r="FK87" s="174"/>
      <c r="FL87" s="127"/>
      <c r="FM87" s="127"/>
      <c r="FN87" s="127"/>
      <c r="FO87" s="127"/>
      <c r="FP87" s="127"/>
      <c r="FQ87" s="127"/>
      <c r="FR87" s="127"/>
      <c r="FS87" s="127"/>
      <c r="FT87" s="127"/>
      <c r="FU87" s="127"/>
      <c r="FV87" s="127"/>
      <c r="FW87" s="127"/>
      <c r="FX87" s="127"/>
      <c r="FY87" s="127"/>
      <c r="FZ87" s="127"/>
      <c r="GA87" s="127"/>
      <c r="GB87" s="127"/>
      <c r="GC87" s="174"/>
      <c r="GD87" s="127"/>
      <c r="GE87" s="127"/>
      <c r="GF87" s="127"/>
      <c r="GG87" s="174"/>
      <c r="GH87" s="127"/>
      <c r="GI87" s="127"/>
      <c r="GJ87" s="127"/>
      <c r="GK87" s="174"/>
      <c r="GL87" s="127"/>
      <c r="GM87" s="127"/>
      <c r="GN87" s="127"/>
      <c r="GO87" s="127"/>
      <c r="GP87" s="127"/>
      <c r="GQ87" s="174"/>
      <c r="GR87" s="127"/>
      <c r="GS87" s="127"/>
      <c r="GT87" s="127"/>
      <c r="GU87" s="127"/>
      <c r="GV87" s="127"/>
      <c r="GW87" s="127"/>
      <c r="GX87" s="173"/>
      <c r="GY87" s="127"/>
      <c r="GZ87" s="127"/>
      <c r="HA87" s="174"/>
    </row>
    <row r="88" spans="1:209" s="58" customFormat="1" ht="18" customHeight="1">
      <c r="A88" s="127"/>
      <c r="B88" s="127"/>
      <c r="C88" s="127"/>
      <c r="D88" s="127"/>
      <c r="E88" s="127"/>
      <c r="G88" s="127"/>
      <c r="H88" s="127"/>
      <c r="I88" s="127"/>
      <c r="J88" s="127"/>
      <c r="K88" s="127"/>
      <c r="L88" s="127"/>
      <c r="M88" s="127"/>
      <c r="N88" s="127"/>
      <c r="O88" s="127"/>
      <c r="P88" s="127"/>
      <c r="Q88" s="127"/>
      <c r="R88" s="127"/>
      <c r="S88" s="127"/>
      <c r="T88" s="127"/>
      <c r="U88" s="127"/>
      <c r="V88" s="127"/>
      <c r="W88" s="127"/>
      <c r="X88" s="127"/>
      <c r="Y88" s="127"/>
      <c r="Z88" s="127"/>
      <c r="AA88" s="127"/>
      <c r="AB88" s="127"/>
      <c r="AC88" s="127"/>
      <c r="AD88" s="127"/>
      <c r="AE88" s="127"/>
      <c r="AF88" s="127"/>
      <c r="AG88" s="127"/>
      <c r="AH88" s="127"/>
      <c r="AI88" s="127"/>
      <c r="AJ88" s="127"/>
      <c r="AK88" s="127"/>
      <c r="AL88" s="127"/>
      <c r="AM88" s="127"/>
      <c r="AN88" s="127"/>
      <c r="AO88" s="127"/>
      <c r="AP88" s="127"/>
      <c r="AQ88" s="127"/>
      <c r="AR88" s="127"/>
      <c r="AS88" s="127"/>
      <c r="AT88" s="173"/>
      <c r="AU88" s="173"/>
      <c r="AV88" s="173"/>
      <c r="AW88" s="127"/>
      <c r="AX88" s="127"/>
      <c r="AY88" s="127"/>
      <c r="AZ88" s="127"/>
      <c r="BA88" s="127"/>
      <c r="BB88" s="127"/>
      <c r="BC88" s="127"/>
      <c r="BD88" s="127"/>
      <c r="BE88" s="127"/>
      <c r="BF88" s="127"/>
      <c r="BG88" s="127"/>
      <c r="BH88" s="175"/>
      <c r="BI88" s="127"/>
      <c r="BJ88" s="175"/>
      <c r="BK88" s="127"/>
      <c r="BL88" s="175"/>
      <c r="BM88" s="127"/>
      <c r="BN88" s="127"/>
      <c r="BO88" s="127"/>
      <c r="BP88" s="127"/>
      <c r="BQ88" s="127"/>
      <c r="BR88" s="127"/>
      <c r="BS88" s="127"/>
      <c r="BT88" s="127"/>
      <c r="BU88" s="127"/>
      <c r="BV88" s="127"/>
      <c r="BW88" s="127"/>
      <c r="BX88" s="127"/>
      <c r="BY88" s="127"/>
      <c r="BZ88" s="127"/>
      <c r="CA88" s="127"/>
      <c r="CB88" s="127"/>
      <c r="CC88" s="127"/>
      <c r="CD88" s="127"/>
      <c r="CE88" s="127"/>
      <c r="CF88" s="127"/>
      <c r="CG88" s="127"/>
      <c r="CH88" s="127"/>
      <c r="CI88" s="127"/>
      <c r="CJ88" s="127"/>
      <c r="CK88" s="127"/>
      <c r="CL88" s="174"/>
      <c r="CM88" s="127"/>
      <c r="CN88" s="173"/>
      <c r="CO88" s="127"/>
      <c r="CP88" s="127"/>
      <c r="CQ88" s="127"/>
      <c r="CR88" s="127"/>
      <c r="CS88" s="127"/>
      <c r="CT88" s="127"/>
      <c r="CU88" s="127"/>
      <c r="CV88" s="127"/>
      <c r="CW88" s="127"/>
      <c r="CX88" s="127"/>
      <c r="CY88" s="127"/>
      <c r="CZ88" s="127"/>
      <c r="DA88" s="173"/>
      <c r="DB88" s="174"/>
      <c r="DC88" s="127"/>
      <c r="DD88" s="127"/>
      <c r="DE88" s="127"/>
      <c r="DF88" s="127"/>
      <c r="DG88" s="127"/>
      <c r="DH88" s="127"/>
      <c r="DI88" s="127"/>
      <c r="DJ88" s="127"/>
      <c r="DK88" s="127"/>
      <c r="DL88" s="127"/>
      <c r="DM88" s="127"/>
      <c r="DN88" s="127"/>
      <c r="DO88" s="127"/>
      <c r="DP88" s="127"/>
      <c r="DQ88" s="173"/>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c r="EN88" s="127"/>
      <c r="EO88" s="127"/>
      <c r="EP88" s="127"/>
      <c r="EQ88" s="127"/>
      <c r="ER88" s="127"/>
      <c r="ES88" s="127"/>
      <c r="ET88" s="127"/>
      <c r="EU88" s="127"/>
      <c r="EV88" s="127"/>
      <c r="EW88" s="127"/>
      <c r="EX88" s="173"/>
      <c r="EY88" s="173"/>
      <c r="EZ88" s="173"/>
      <c r="FA88" s="173"/>
      <c r="FB88" s="173"/>
      <c r="FC88" s="173"/>
      <c r="FD88" s="173"/>
      <c r="FE88" s="173"/>
      <c r="FF88" s="173"/>
      <c r="FG88" s="173"/>
      <c r="FH88" s="127"/>
      <c r="FI88" s="127"/>
      <c r="FJ88" s="127"/>
      <c r="FK88" s="174"/>
      <c r="FL88" s="127"/>
      <c r="FM88" s="127"/>
      <c r="FN88" s="127"/>
      <c r="FO88" s="127"/>
      <c r="FP88" s="127"/>
      <c r="FQ88" s="127"/>
      <c r="FR88" s="127"/>
      <c r="FS88" s="127"/>
      <c r="FT88" s="127"/>
      <c r="FU88" s="127"/>
      <c r="FV88" s="127"/>
      <c r="FW88" s="127"/>
      <c r="FX88" s="127"/>
      <c r="FY88" s="127"/>
      <c r="FZ88" s="127"/>
      <c r="GA88" s="127"/>
      <c r="GB88" s="127"/>
      <c r="GC88" s="174"/>
      <c r="GD88" s="127"/>
      <c r="GE88" s="127"/>
      <c r="GF88" s="127"/>
      <c r="GG88" s="174"/>
      <c r="GH88" s="127"/>
      <c r="GI88" s="127"/>
      <c r="GJ88" s="127"/>
      <c r="GK88" s="174"/>
      <c r="GL88" s="127"/>
      <c r="GM88" s="127"/>
      <c r="GN88" s="127"/>
      <c r="GO88" s="127"/>
      <c r="GP88" s="127"/>
      <c r="GQ88" s="174"/>
      <c r="GR88" s="127"/>
      <c r="GS88" s="127"/>
      <c r="GT88" s="127"/>
      <c r="GU88" s="127"/>
      <c r="GV88" s="127"/>
      <c r="GW88" s="127"/>
      <c r="GX88" s="173"/>
      <c r="GY88" s="127"/>
      <c r="GZ88" s="127"/>
      <c r="HA88" s="174"/>
    </row>
    <row r="89" spans="1:209" s="58" customFormat="1" ht="18" customHeight="1">
      <c r="A89" s="127"/>
      <c r="B89" s="127"/>
      <c r="C89" s="127"/>
      <c r="D89" s="127"/>
      <c r="E89" s="127"/>
      <c r="G89" s="127"/>
      <c r="H89" s="127"/>
      <c r="I89" s="127"/>
      <c r="J89" s="127"/>
      <c r="K89" s="127"/>
      <c r="L89" s="127"/>
      <c r="M89" s="127"/>
      <c r="N89" s="127"/>
      <c r="O89" s="127"/>
      <c r="P89" s="127"/>
      <c r="Q89" s="127"/>
      <c r="R89" s="127"/>
      <c r="S89" s="127"/>
      <c r="T89" s="127"/>
      <c r="U89" s="127"/>
      <c r="V89" s="127"/>
      <c r="W89" s="127"/>
      <c r="X89" s="127"/>
      <c r="Y89" s="127"/>
      <c r="Z89" s="127"/>
      <c r="AA89" s="127"/>
      <c r="AB89" s="127"/>
      <c r="AC89" s="127"/>
      <c r="AD89" s="127"/>
      <c r="AE89" s="127"/>
      <c r="AF89" s="127"/>
      <c r="AG89" s="127"/>
      <c r="AH89" s="127"/>
      <c r="AI89" s="127"/>
      <c r="AJ89" s="127"/>
      <c r="AK89" s="127"/>
      <c r="AL89" s="127"/>
      <c r="AM89" s="127"/>
      <c r="AN89" s="127"/>
      <c r="AO89" s="127"/>
      <c r="AP89" s="127"/>
      <c r="AQ89" s="127"/>
      <c r="AR89" s="127"/>
      <c r="AS89" s="127"/>
      <c r="AT89" s="173"/>
      <c r="AU89" s="173"/>
      <c r="AV89" s="173"/>
      <c r="AW89" s="127"/>
      <c r="AX89" s="127"/>
      <c r="AY89" s="127"/>
      <c r="AZ89" s="127"/>
      <c r="BA89" s="127"/>
      <c r="BB89" s="127"/>
      <c r="BC89" s="127"/>
      <c r="BD89" s="127"/>
      <c r="BE89" s="127"/>
      <c r="BF89" s="127"/>
      <c r="BG89" s="127"/>
      <c r="BH89" s="175"/>
      <c r="BI89" s="127"/>
      <c r="BJ89" s="175"/>
      <c r="BK89" s="127"/>
      <c r="BL89" s="175"/>
      <c r="BM89" s="127"/>
      <c r="BN89" s="127"/>
      <c r="BO89" s="127"/>
      <c r="BP89" s="127"/>
      <c r="BQ89" s="127"/>
      <c r="BR89" s="127"/>
      <c r="BS89" s="127"/>
      <c r="BT89" s="127"/>
      <c r="BU89" s="127"/>
      <c r="BV89" s="127"/>
      <c r="BW89" s="127"/>
      <c r="BX89" s="127"/>
      <c r="BY89" s="127"/>
      <c r="BZ89" s="127"/>
      <c r="CA89" s="127"/>
      <c r="CB89" s="127"/>
      <c r="CC89" s="127"/>
      <c r="CD89" s="127"/>
      <c r="CE89" s="127"/>
      <c r="CF89" s="127"/>
      <c r="CG89" s="127"/>
      <c r="CH89" s="127"/>
      <c r="CI89" s="127"/>
      <c r="CJ89" s="127"/>
      <c r="CK89" s="127"/>
      <c r="CL89" s="174"/>
      <c r="CM89" s="127"/>
      <c r="CN89" s="173"/>
      <c r="CO89" s="127"/>
      <c r="CP89" s="127"/>
      <c r="CQ89" s="127"/>
      <c r="CR89" s="127"/>
      <c r="CS89" s="127"/>
      <c r="CT89" s="127"/>
      <c r="CU89" s="127"/>
      <c r="CV89" s="127"/>
      <c r="CW89" s="127"/>
      <c r="CX89" s="127"/>
      <c r="CY89" s="127"/>
      <c r="CZ89" s="127"/>
      <c r="DA89" s="173"/>
      <c r="DB89" s="174"/>
      <c r="DC89" s="127"/>
      <c r="DD89" s="127"/>
      <c r="DE89" s="127"/>
      <c r="DF89" s="127"/>
      <c r="DG89" s="127"/>
      <c r="DH89" s="127"/>
      <c r="DI89" s="127"/>
      <c r="DJ89" s="127"/>
      <c r="DK89" s="127"/>
      <c r="DL89" s="127"/>
      <c r="DM89" s="127"/>
      <c r="DN89" s="127"/>
      <c r="DO89" s="127"/>
      <c r="DP89" s="127"/>
      <c r="DQ89" s="173"/>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c r="EN89" s="127"/>
      <c r="EO89" s="127"/>
      <c r="EP89" s="127"/>
      <c r="EQ89" s="127"/>
      <c r="ER89" s="127"/>
      <c r="ES89" s="127"/>
      <c r="ET89" s="127"/>
      <c r="EU89" s="127"/>
      <c r="EV89" s="127"/>
      <c r="EW89" s="127"/>
      <c r="EX89" s="173"/>
      <c r="EY89" s="173"/>
      <c r="EZ89" s="173"/>
      <c r="FA89" s="173"/>
      <c r="FB89" s="173"/>
      <c r="FC89" s="173"/>
      <c r="FD89" s="173"/>
      <c r="FE89" s="173"/>
      <c r="FF89" s="173"/>
      <c r="FG89" s="173"/>
      <c r="FH89" s="127"/>
      <c r="FI89" s="127"/>
      <c r="FJ89" s="127"/>
      <c r="FK89" s="174"/>
      <c r="FL89" s="127"/>
      <c r="FM89" s="127"/>
      <c r="FN89" s="127"/>
      <c r="FO89" s="127"/>
      <c r="FP89" s="127"/>
      <c r="FQ89" s="127"/>
      <c r="FR89" s="127"/>
      <c r="FS89" s="127"/>
      <c r="FT89" s="127"/>
      <c r="FU89" s="127"/>
      <c r="FV89" s="127"/>
      <c r="FW89" s="127"/>
      <c r="FX89" s="127"/>
      <c r="FY89" s="127"/>
      <c r="FZ89" s="127"/>
      <c r="GA89" s="127"/>
      <c r="GB89" s="127"/>
      <c r="GC89" s="174"/>
      <c r="GD89" s="127"/>
      <c r="GE89" s="127"/>
      <c r="GF89" s="127"/>
      <c r="GG89" s="174"/>
      <c r="GH89" s="127"/>
      <c r="GI89" s="127"/>
      <c r="GJ89" s="127"/>
      <c r="GK89" s="174"/>
      <c r="GL89" s="127"/>
      <c r="GM89" s="127"/>
      <c r="GN89" s="127"/>
      <c r="GO89" s="127"/>
      <c r="GP89" s="127"/>
      <c r="GQ89" s="174"/>
      <c r="GR89" s="127"/>
      <c r="GS89" s="127"/>
      <c r="GT89" s="127"/>
      <c r="GU89" s="127"/>
      <c r="GV89" s="127"/>
      <c r="GW89" s="127"/>
      <c r="GX89" s="173"/>
      <c r="GY89" s="127"/>
      <c r="GZ89" s="127"/>
      <c r="HA89" s="174"/>
    </row>
    <row r="90" spans="1:209" s="58" customFormat="1" ht="18" customHeight="1">
      <c r="A90" s="127"/>
      <c r="B90" s="127"/>
      <c r="C90" s="127"/>
      <c r="D90" s="127"/>
      <c r="E90" s="127"/>
      <c r="G90" s="127"/>
      <c r="H90" s="127"/>
      <c r="I90" s="127"/>
      <c r="J90" s="127"/>
      <c r="K90" s="127"/>
      <c r="L90" s="127"/>
      <c r="M90" s="127"/>
      <c r="N90" s="127"/>
      <c r="O90" s="127"/>
      <c r="P90" s="127"/>
      <c r="Q90" s="127"/>
      <c r="R90" s="127"/>
      <c r="S90" s="127"/>
      <c r="T90" s="127"/>
      <c r="U90" s="127"/>
      <c r="V90" s="127"/>
      <c r="W90" s="127"/>
      <c r="X90" s="127"/>
      <c r="Y90" s="127"/>
      <c r="Z90" s="127"/>
      <c r="AA90" s="127"/>
      <c r="AB90" s="127"/>
      <c r="AC90" s="127"/>
      <c r="AD90" s="127"/>
      <c r="AE90" s="127"/>
      <c r="AF90" s="127"/>
      <c r="AG90" s="127"/>
      <c r="AH90" s="127"/>
      <c r="AI90" s="127"/>
      <c r="AJ90" s="127"/>
      <c r="AK90" s="127"/>
      <c r="AL90" s="127"/>
      <c r="AM90" s="127"/>
      <c r="AN90" s="127"/>
      <c r="AO90" s="127"/>
      <c r="AP90" s="127"/>
      <c r="AQ90" s="127"/>
      <c r="AR90" s="127"/>
      <c r="AS90" s="127"/>
      <c r="AT90" s="173"/>
      <c r="AU90" s="173"/>
      <c r="AV90" s="173"/>
      <c r="AW90" s="127"/>
      <c r="AX90" s="127"/>
      <c r="AY90" s="127"/>
      <c r="AZ90" s="127"/>
      <c r="BA90" s="127"/>
      <c r="BB90" s="127"/>
      <c r="BC90" s="127"/>
      <c r="BD90" s="127"/>
      <c r="BE90" s="127"/>
      <c r="BF90" s="127"/>
      <c r="BG90" s="127"/>
      <c r="BH90" s="175"/>
      <c r="BI90" s="127"/>
      <c r="BJ90" s="175"/>
      <c r="BK90" s="127"/>
      <c r="BL90" s="175"/>
      <c r="BM90" s="127"/>
      <c r="BN90" s="127"/>
      <c r="BO90" s="127"/>
      <c r="BP90" s="127"/>
      <c r="BQ90" s="127"/>
      <c r="BR90" s="127"/>
      <c r="BS90" s="127"/>
      <c r="BT90" s="127"/>
      <c r="BU90" s="127"/>
      <c r="BV90" s="127"/>
      <c r="BW90" s="127"/>
      <c r="BX90" s="127"/>
      <c r="BY90" s="127"/>
      <c r="BZ90" s="127"/>
      <c r="CA90" s="127"/>
      <c r="CB90" s="127"/>
      <c r="CC90" s="127"/>
      <c r="CD90" s="127"/>
      <c r="CE90" s="127"/>
      <c r="CF90" s="127"/>
      <c r="CG90" s="127"/>
      <c r="CH90" s="127"/>
      <c r="CI90" s="127"/>
      <c r="CJ90" s="127"/>
      <c r="CK90" s="127"/>
      <c r="CL90" s="174"/>
      <c r="CM90" s="127"/>
      <c r="CN90" s="173"/>
      <c r="CO90" s="127"/>
      <c r="CP90" s="127"/>
      <c r="CQ90" s="127"/>
      <c r="CR90" s="127"/>
      <c r="CS90" s="127"/>
      <c r="CT90" s="127"/>
      <c r="CU90" s="127"/>
      <c r="CV90" s="127"/>
      <c r="CW90" s="127"/>
      <c r="CX90" s="127"/>
      <c r="CY90" s="127"/>
      <c r="CZ90" s="127"/>
      <c r="DA90" s="173"/>
      <c r="DB90" s="174"/>
      <c r="DC90" s="127"/>
      <c r="DD90" s="127"/>
      <c r="DE90" s="127"/>
      <c r="DF90" s="127"/>
      <c r="DG90" s="127"/>
      <c r="DH90" s="127"/>
      <c r="DI90" s="127"/>
      <c r="DJ90" s="127"/>
      <c r="DK90" s="127"/>
      <c r="DL90" s="127"/>
      <c r="DM90" s="127"/>
      <c r="DN90" s="127"/>
      <c r="DO90" s="127"/>
      <c r="DP90" s="127"/>
      <c r="DQ90" s="173"/>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c r="EN90" s="127"/>
      <c r="EO90" s="127"/>
      <c r="EP90" s="127"/>
      <c r="EQ90" s="127"/>
      <c r="ER90" s="127"/>
      <c r="ES90" s="127"/>
      <c r="ET90" s="127"/>
      <c r="EU90" s="127"/>
      <c r="EV90" s="127"/>
      <c r="EW90" s="127"/>
      <c r="EX90" s="173"/>
      <c r="EY90" s="173"/>
      <c r="EZ90" s="173"/>
      <c r="FA90" s="173"/>
      <c r="FB90" s="173"/>
      <c r="FC90" s="173"/>
      <c r="FD90" s="173"/>
      <c r="FE90" s="173"/>
      <c r="FF90" s="173"/>
      <c r="FG90" s="173"/>
      <c r="FH90" s="127"/>
      <c r="FI90" s="127"/>
      <c r="FJ90" s="127"/>
      <c r="FK90" s="174"/>
      <c r="FL90" s="127"/>
      <c r="FM90" s="127"/>
      <c r="FN90" s="127"/>
      <c r="FO90" s="127"/>
      <c r="FP90" s="127"/>
      <c r="FQ90" s="127"/>
      <c r="FR90" s="127"/>
      <c r="FS90" s="127"/>
      <c r="FT90" s="127"/>
      <c r="FU90" s="127"/>
      <c r="FV90" s="127"/>
      <c r="FW90" s="127"/>
      <c r="FX90" s="127"/>
      <c r="FY90" s="127"/>
      <c r="FZ90" s="127"/>
      <c r="GA90" s="127"/>
      <c r="GB90" s="127"/>
      <c r="GC90" s="174"/>
      <c r="GD90" s="127"/>
      <c r="GE90" s="127"/>
      <c r="GF90" s="127"/>
      <c r="GG90" s="174"/>
      <c r="GH90" s="127"/>
      <c r="GI90" s="127"/>
      <c r="GJ90" s="127"/>
      <c r="GK90" s="174"/>
      <c r="GL90" s="127"/>
      <c r="GM90" s="127"/>
      <c r="GN90" s="127"/>
      <c r="GO90" s="127"/>
      <c r="GP90" s="127"/>
      <c r="GQ90" s="174"/>
      <c r="GR90" s="127"/>
      <c r="GS90" s="127"/>
      <c r="GT90" s="127"/>
      <c r="GU90" s="127"/>
      <c r="GV90" s="127"/>
      <c r="GW90" s="127"/>
      <c r="GX90" s="173"/>
      <c r="GY90" s="127"/>
      <c r="GZ90" s="127"/>
      <c r="HA90" s="174"/>
    </row>
    <row r="91" spans="1:209" s="58" customFormat="1" ht="18" customHeight="1">
      <c r="A91" s="127"/>
      <c r="B91" s="127"/>
      <c r="C91" s="127"/>
      <c r="D91" s="127"/>
      <c r="E91" s="127"/>
      <c r="G91" s="127"/>
      <c r="H91" s="127"/>
      <c r="I91" s="127"/>
      <c r="J91" s="127"/>
      <c r="K91" s="127"/>
      <c r="L91" s="127"/>
      <c r="M91" s="127"/>
      <c r="N91" s="127"/>
      <c r="O91" s="127"/>
      <c r="P91" s="127"/>
      <c r="Q91" s="127"/>
      <c r="R91" s="127"/>
      <c r="S91" s="127"/>
      <c r="T91" s="127"/>
      <c r="U91" s="127"/>
      <c r="V91" s="127"/>
      <c r="W91" s="127"/>
      <c r="X91" s="127"/>
      <c r="Y91" s="127"/>
      <c r="Z91" s="127"/>
      <c r="AA91" s="127"/>
      <c r="AB91" s="127"/>
      <c r="AC91" s="127"/>
      <c r="AD91" s="127"/>
      <c r="AE91" s="127"/>
      <c r="AF91" s="127"/>
      <c r="AG91" s="127"/>
      <c r="AH91" s="127"/>
      <c r="AI91" s="127"/>
      <c r="AJ91" s="127"/>
      <c r="AK91" s="127"/>
      <c r="AL91" s="127"/>
      <c r="AM91" s="127"/>
      <c r="AN91" s="127"/>
      <c r="AO91" s="127"/>
      <c r="AP91" s="127"/>
      <c r="AQ91" s="127"/>
      <c r="AR91" s="127"/>
      <c r="AS91" s="127"/>
      <c r="AT91" s="173"/>
      <c r="AU91" s="173"/>
      <c r="AV91" s="173"/>
      <c r="AW91" s="127"/>
      <c r="AX91" s="127"/>
      <c r="AY91" s="127"/>
      <c r="AZ91" s="127"/>
      <c r="BA91" s="127"/>
      <c r="BB91" s="127"/>
      <c r="BC91" s="127"/>
      <c r="BD91" s="127"/>
      <c r="BE91" s="127"/>
      <c r="BF91" s="127"/>
      <c r="BG91" s="127"/>
      <c r="BH91" s="175"/>
      <c r="BI91" s="127"/>
      <c r="BJ91" s="175"/>
      <c r="BK91" s="127"/>
      <c r="BL91" s="175"/>
      <c r="BM91" s="127"/>
      <c r="BN91" s="127"/>
      <c r="BO91" s="127"/>
      <c r="BP91" s="127"/>
      <c r="BQ91" s="127"/>
      <c r="BR91" s="127"/>
      <c r="BS91" s="127"/>
      <c r="BT91" s="127"/>
      <c r="BU91" s="127"/>
      <c r="BV91" s="127"/>
      <c r="BW91" s="127"/>
      <c r="BX91" s="127"/>
      <c r="BY91" s="127"/>
      <c r="BZ91" s="127"/>
      <c r="CA91" s="127"/>
      <c r="CB91" s="127"/>
      <c r="CC91" s="127"/>
      <c r="CD91" s="127"/>
      <c r="CE91" s="127"/>
      <c r="CF91" s="127"/>
      <c r="CG91" s="127"/>
      <c r="CH91" s="127"/>
      <c r="CI91" s="127"/>
      <c r="CJ91" s="127"/>
      <c r="CK91" s="127"/>
      <c r="CL91" s="174"/>
      <c r="CM91" s="127"/>
      <c r="CN91" s="173"/>
      <c r="CO91" s="127"/>
      <c r="CP91" s="127"/>
      <c r="CQ91" s="127"/>
      <c r="CR91" s="127"/>
      <c r="CS91" s="127"/>
      <c r="CT91" s="127"/>
      <c r="CU91" s="127"/>
      <c r="CV91" s="127"/>
      <c r="CW91" s="127"/>
      <c r="CX91" s="127"/>
      <c r="CY91" s="127"/>
      <c r="CZ91" s="127"/>
      <c r="DA91" s="173"/>
      <c r="DB91" s="174"/>
      <c r="DC91" s="127"/>
      <c r="DD91" s="127"/>
      <c r="DE91" s="127"/>
      <c r="DF91" s="127"/>
      <c r="DG91" s="127"/>
      <c r="DH91" s="127"/>
      <c r="DI91" s="127"/>
      <c r="DJ91" s="127"/>
      <c r="DK91" s="127"/>
      <c r="DL91" s="127"/>
      <c r="DM91" s="127"/>
      <c r="DN91" s="127"/>
      <c r="DO91" s="127"/>
      <c r="DP91" s="127"/>
      <c r="DQ91" s="173"/>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c r="EN91" s="127"/>
      <c r="EO91" s="127"/>
      <c r="EP91" s="127"/>
      <c r="EQ91" s="127"/>
      <c r="ER91" s="127"/>
      <c r="ES91" s="127"/>
      <c r="ET91" s="127"/>
      <c r="EU91" s="127"/>
      <c r="EV91" s="127"/>
      <c r="EW91" s="127"/>
      <c r="EX91" s="173"/>
      <c r="EY91" s="173"/>
      <c r="EZ91" s="173"/>
      <c r="FA91" s="173"/>
      <c r="FB91" s="173"/>
      <c r="FC91" s="173"/>
      <c r="FD91" s="173"/>
      <c r="FE91" s="173"/>
      <c r="FF91" s="173"/>
      <c r="FG91" s="173"/>
      <c r="FH91" s="127"/>
      <c r="FI91" s="127"/>
      <c r="FJ91" s="127"/>
      <c r="FK91" s="174"/>
      <c r="FL91" s="127"/>
      <c r="FM91" s="127"/>
      <c r="FN91" s="127"/>
      <c r="FO91" s="127"/>
      <c r="FP91" s="127"/>
      <c r="FQ91" s="127"/>
      <c r="FR91" s="127"/>
      <c r="FS91" s="127"/>
      <c r="FT91" s="127"/>
      <c r="FU91" s="127"/>
      <c r="FV91" s="127"/>
      <c r="FW91" s="127"/>
      <c r="FX91" s="127"/>
      <c r="FY91" s="127"/>
      <c r="FZ91" s="127"/>
      <c r="GA91" s="127"/>
      <c r="GB91" s="127"/>
      <c r="GC91" s="174"/>
      <c r="GD91" s="127"/>
      <c r="GE91" s="127"/>
      <c r="GF91" s="127"/>
      <c r="GG91" s="174"/>
      <c r="GH91" s="127"/>
      <c r="GI91" s="127"/>
      <c r="GJ91" s="127"/>
      <c r="GK91" s="174"/>
      <c r="GL91" s="127"/>
      <c r="GM91" s="127"/>
      <c r="GN91" s="127"/>
      <c r="GO91" s="127"/>
      <c r="GP91" s="127"/>
      <c r="GQ91" s="174"/>
      <c r="GR91" s="127"/>
      <c r="GS91" s="127"/>
      <c r="GT91" s="127"/>
      <c r="GU91" s="127"/>
      <c r="GV91" s="127"/>
      <c r="GW91" s="127"/>
      <c r="GX91" s="173"/>
      <c r="GY91" s="127"/>
      <c r="GZ91" s="127"/>
      <c r="HA91" s="174"/>
    </row>
    <row r="92" spans="1:209" s="58" customFormat="1" ht="18" customHeight="1">
      <c r="A92" s="127"/>
      <c r="B92" s="127"/>
      <c r="C92" s="127"/>
      <c r="D92" s="127"/>
      <c r="E92" s="127"/>
      <c r="G92" s="127"/>
      <c r="H92" s="127"/>
      <c r="I92" s="127"/>
      <c r="J92" s="127"/>
      <c r="K92" s="127"/>
      <c r="L92" s="127"/>
      <c r="M92" s="127"/>
      <c r="N92" s="127"/>
      <c r="O92" s="127"/>
      <c r="P92" s="127"/>
      <c r="Q92" s="127"/>
      <c r="R92" s="127"/>
      <c r="S92" s="127"/>
      <c r="T92" s="127"/>
      <c r="U92" s="127"/>
      <c r="V92" s="127"/>
      <c r="W92" s="127"/>
      <c r="X92" s="127"/>
      <c r="Y92" s="127"/>
      <c r="Z92" s="127"/>
      <c r="AA92" s="127"/>
      <c r="AB92" s="127"/>
      <c r="AC92" s="127"/>
      <c r="AD92" s="127"/>
      <c r="AE92" s="127"/>
      <c r="AF92" s="127"/>
      <c r="AG92" s="127"/>
      <c r="AH92" s="127"/>
      <c r="AI92" s="127"/>
      <c r="AJ92" s="127"/>
      <c r="AK92" s="127"/>
      <c r="AL92" s="127"/>
      <c r="AM92" s="127"/>
      <c r="AN92" s="127"/>
      <c r="AO92" s="127"/>
      <c r="AP92" s="127"/>
      <c r="AQ92" s="127"/>
      <c r="AR92" s="127"/>
      <c r="AS92" s="127"/>
      <c r="AT92" s="173"/>
      <c r="AU92" s="173"/>
      <c r="AV92" s="173"/>
      <c r="AW92" s="127"/>
      <c r="AX92" s="127"/>
      <c r="AY92" s="127"/>
      <c r="AZ92" s="127"/>
      <c r="BA92" s="127"/>
      <c r="BB92" s="127"/>
      <c r="BC92" s="127"/>
      <c r="BD92" s="127"/>
      <c r="BE92" s="127"/>
      <c r="BF92" s="127"/>
      <c r="BG92" s="127"/>
      <c r="BH92" s="175"/>
      <c r="BI92" s="127"/>
      <c r="BJ92" s="175"/>
      <c r="BK92" s="127"/>
      <c r="BL92" s="175"/>
      <c r="BM92" s="127"/>
      <c r="BN92" s="127"/>
      <c r="BO92" s="127"/>
      <c r="BP92" s="127"/>
      <c r="BQ92" s="127"/>
      <c r="BR92" s="127"/>
      <c r="BS92" s="127"/>
      <c r="BT92" s="127"/>
      <c r="BU92" s="127"/>
      <c r="BV92" s="127"/>
      <c r="BW92" s="127"/>
      <c r="BX92" s="127"/>
      <c r="BY92" s="127"/>
      <c r="BZ92" s="127"/>
      <c r="CA92" s="127"/>
      <c r="CB92" s="127"/>
      <c r="CC92" s="127"/>
      <c r="CD92" s="127"/>
      <c r="CE92" s="127"/>
      <c r="CF92" s="127"/>
      <c r="CG92" s="127"/>
      <c r="CH92" s="127"/>
      <c r="CI92" s="127"/>
      <c r="CJ92" s="127"/>
      <c r="CK92" s="127"/>
      <c r="CL92" s="174"/>
      <c r="CM92" s="127"/>
      <c r="CN92" s="173"/>
      <c r="CO92" s="127"/>
      <c r="CP92" s="127"/>
      <c r="CQ92" s="127"/>
      <c r="CR92" s="127"/>
      <c r="CS92" s="127"/>
      <c r="CT92" s="127"/>
      <c r="CU92" s="127"/>
      <c r="CV92" s="127"/>
      <c r="CW92" s="127"/>
      <c r="CX92" s="127"/>
      <c r="CY92" s="127"/>
      <c r="CZ92" s="127"/>
      <c r="DA92" s="173"/>
      <c r="DB92" s="174"/>
      <c r="DC92" s="127"/>
      <c r="DD92" s="127"/>
      <c r="DE92" s="127"/>
      <c r="DF92" s="127"/>
      <c r="DG92" s="127"/>
      <c r="DH92" s="127"/>
      <c r="DI92" s="127"/>
      <c r="DJ92" s="127"/>
      <c r="DK92" s="127"/>
      <c r="DL92" s="127"/>
      <c r="DM92" s="127"/>
      <c r="DN92" s="127"/>
      <c r="DO92" s="127"/>
      <c r="DP92" s="127"/>
      <c r="DQ92" s="173"/>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c r="EN92" s="127"/>
      <c r="EO92" s="127"/>
      <c r="EP92" s="127"/>
      <c r="EQ92" s="127"/>
      <c r="ER92" s="127"/>
      <c r="ES92" s="127"/>
      <c r="ET92" s="127"/>
      <c r="EU92" s="127"/>
      <c r="EV92" s="127"/>
      <c r="EW92" s="127"/>
      <c r="EX92" s="173"/>
      <c r="EY92" s="173"/>
      <c r="EZ92" s="173"/>
      <c r="FA92" s="173"/>
      <c r="FB92" s="173"/>
      <c r="FC92" s="173"/>
      <c r="FD92" s="173"/>
      <c r="FE92" s="173"/>
      <c r="FF92" s="173"/>
      <c r="FG92" s="173"/>
      <c r="FH92" s="127"/>
      <c r="FI92" s="127"/>
      <c r="FJ92" s="127"/>
      <c r="FK92" s="174"/>
      <c r="FL92" s="127"/>
      <c r="FM92" s="127"/>
      <c r="FN92" s="127"/>
      <c r="FO92" s="127"/>
      <c r="FP92" s="127"/>
      <c r="FQ92" s="127"/>
      <c r="FR92" s="127"/>
      <c r="FS92" s="127"/>
      <c r="FT92" s="127"/>
      <c r="FU92" s="127"/>
      <c r="FV92" s="127"/>
      <c r="FW92" s="127"/>
      <c r="FX92" s="127"/>
      <c r="FY92" s="127"/>
      <c r="FZ92" s="127"/>
      <c r="GA92" s="127"/>
      <c r="GB92" s="127"/>
      <c r="GC92" s="174"/>
      <c r="GD92" s="127"/>
      <c r="GE92" s="127"/>
      <c r="GF92" s="127"/>
      <c r="GG92" s="174"/>
      <c r="GH92" s="127"/>
      <c r="GI92" s="127"/>
      <c r="GJ92" s="127"/>
      <c r="GK92" s="174"/>
      <c r="GL92" s="127"/>
      <c r="GM92" s="127"/>
      <c r="GN92" s="127"/>
      <c r="GO92" s="127"/>
      <c r="GP92" s="127"/>
      <c r="GQ92" s="174"/>
      <c r="GR92" s="127"/>
      <c r="GS92" s="127"/>
      <c r="GT92" s="127"/>
      <c r="GU92" s="127"/>
      <c r="GV92" s="127"/>
      <c r="GW92" s="127"/>
      <c r="GX92" s="173"/>
      <c r="GY92" s="127"/>
      <c r="GZ92" s="127"/>
      <c r="HA92" s="174"/>
    </row>
    <row r="93" spans="1:209" s="58" customFormat="1" ht="18" customHeight="1">
      <c r="A93" s="127"/>
      <c r="B93" s="127"/>
      <c r="C93" s="127"/>
      <c r="D93" s="127"/>
      <c r="E93" s="127"/>
      <c r="G93" s="127"/>
      <c r="H93" s="127"/>
      <c r="I93" s="127"/>
      <c r="J93" s="127"/>
      <c r="K93" s="127"/>
      <c r="L93" s="127"/>
      <c r="M93" s="127"/>
      <c r="N93" s="127"/>
      <c r="O93" s="127"/>
      <c r="P93" s="127"/>
      <c r="Q93" s="127"/>
      <c r="R93" s="127"/>
      <c r="S93" s="127"/>
      <c r="T93" s="127"/>
      <c r="U93" s="127"/>
      <c r="V93" s="127"/>
      <c r="W93" s="127"/>
      <c r="X93" s="127"/>
      <c r="Y93" s="127"/>
      <c r="Z93" s="127"/>
      <c r="AA93" s="127"/>
      <c r="AB93" s="127"/>
      <c r="AC93" s="127"/>
      <c r="AD93" s="127"/>
      <c r="AE93" s="127"/>
      <c r="AF93" s="127"/>
      <c r="AG93" s="127"/>
      <c r="AH93" s="127"/>
      <c r="AI93" s="127"/>
      <c r="AJ93" s="127"/>
      <c r="AK93" s="127"/>
      <c r="AL93" s="127"/>
      <c r="AM93" s="127"/>
      <c r="AN93" s="127"/>
      <c r="AO93" s="127"/>
      <c r="AP93" s="127"/>
      <c r="AQ93" s="127"/>
      <c r="AR93" s="127"/>
      <c r="AS93" s="127"/>
      <c r="AT93" s="173"/>
      <c r="AU93" s="173"/>
      <c r="AV93" s="173"/>
      <c r="AW93" s="127"/>
      <c r="AX93" s="127"/>
      <c r="AY93" s="127"/>
      <c r="AZ93" s="127"/>
      <c r="BA93" s="127"/>
      <c r="BB93" s="127"/>
      <c r="BC93" s="127"/>
      <c r="BD93" s="127"/>
      <c r="BE93" s="127"/>
      <c r="BF93" s="127"/>
      <c r="BG93" s="127"/>
      <c r="BH93" s="175"/>
      <c r="BI93" s="127"/>
      <c r="BJ93" s="175"/>
      <c r="BK93" s="127"/>
      <c r="BL93" s="175"/>
      <c r="BM93" s="127"/>
      <c r="BN93" s="127"/>
      <c r="BO93" s="127"/>
      <c r="BP93" s="127"/>
      <c r="BQ93" s="127"/>
      <c r="BR93" s="127"/>
      <c r="BS93" s="127"/>
      <c r="BT93" s="127"/>
      <c r="BU93" s="127"/>
      <c r="BV93" s="127"/>
      <c r="BW93" s="127"/>
      <c r="BX93" s="127"/>
      <c r="BY93" s="127"/>
      <c r="BZ93" s="127"/>
      <c r="CA93" s="127"/>
      <c r="CB93" s="127"/>
      <c r="CC93" s="127"/>
      <c r="CD93" s="127"/>
      <c r="CE93" s="127"/>
      <c r="CF93" s="127"/>
      <c r="CG93" s="127"/>
      <c r="CH93" s="127"/>
      <c r="CI93" s="127"/>
      <c r="CJ93" s="127"/>
      <c r="CK93" s="127"/>
      <c r="CL93" s="174"/>
      <c r="CM93" s="127"/>
      <c r="CN93" s="173"/>
      <c r="CO93" s="127"/>
      <c r="CP93" s="127"/>
      <c r="CQ93" s="127"/>
      <c r="CR93" s="127"/>
      <c r="CS93" s="127"/>
      <c r="CT93" s="127"/>
      <c r="CU93" s="127"/>
      <c r="CV93" s="127"/>
      <c r="CW93" s="127"/>
      <c r="CX93" s="127"/>
      <c r="CY93" s="127"/>
      <c r="CZ93" s="127"/>
      <c r="DA93" s="173"/>
      <c r="DB93" s="174"/>
      <c r="DC93" s="127"/>
      <c r="DD93" s="127"/>
      <c r="DE93" s="127"/>
      <c r="DF93" s="127"/>
      <c r="DG93" s="127"/>
      <c r="DH93" s="127"/>
      <c r="DI93" s="127"/>
      <c r="DJ93" s="127"/>
      <c r="DK93" s="127"/>
      <c r="DL93" s="127"/>
      <c r="DM93" s="127"/>
      <c r="DN93" s="127"/>
      <c r="DO93" s="127"/>
      <c r="DP93" s="127"/>
      <c r="DQ93" s="173"/>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c r="EN93" s="127"/>
      <c r="EO93" s="127"/>
      <c r="EP93" s="127"/>
      <c r="EQ93" s="127"/>
      <c r="ER93" s="127"/>
      <c r="ES93" s="127"/>
      <c r="ET93" s="127"/>
      <c r="EU93" s="127"/>
      <c r="EV93" s="127"/>
      <c r="EW93" s="127"/>
      <c r="EX93" s="173"/>
      <c r="EY93" s="173"/>
      <c r="EZ93" s="173"/>
      <c r="FA93" s="173"/>
      <c r="FB93" s="173"/>
      <c r="FC93" s="173"/>
      <c r="FD93" s="173"/>
      <c r="FE93" s="173"/>
      <c r="FF93" s="173"/>
      <c r="FG93" s="173"/>
      <c r="FH93" s="127"/>
      <c r="FI93" s="127"/>
      <c r="FJ93" s="127"/>
      <c r="FK93" s="174"/>
      <c r="FL93" s="127"/>
      <c r="FM93" s="127"/>
      <c r="FN93" s="127"/>
      <c r="FO93" s="127"/>
      <c r="FP93" s="127"/>
      <c r="FQ93" s="127"/>
      <c r="FR93" s="127"/>
      <c r="FS93" s="127"/>
      <c r="FT93" s="127"/>
      <c r="FU93" s="127"/>
      <c r="FV93" s="127"/>
      <c r="FW93" s="127"/>
      <c r="FX93" s="127"/>
      <c r="FY93" s="127"/>
      <c r="FZ93" s="127"/>
      <c r="GA93" s="127"/>
      <c r="GB93" s="127"/>
      <c r="GC93" s="174"/>
      <c r="GD93" s="127"/>
      <c r="GE93" s="127"/>
      <c r="GF93" s="127"/>
      <c r="GG93" s="174"/>
      <c r="GH93" s="127"/>
      <c r="GI93" s="127"/>
      <c r="GJ93" s="127"/>
      <c r="GK93" s="174"/>
      <c r="GL93" s="127"/>
      <c r="GM93" s="127"/>
      <c r="GN93" s="127"/>
      <c r="GO93" s="127"/>
      <c r="GP93" s="127"/>
      <c r="GQ93" s="174"/>
      <c r="GR93" s="127"/>
      <c r="GS93" s="127"/>
      <c r="GT93" s="127"/>
      <c r="GU93" s="127"/>
      <c r="GV93" s="127"/>
      <c r="GW93" s="127"/>
      <c r="GX93" s="173"/>
      <c r="GY93" s="127"/>
      <c r="GZ93" s="127"/>
      <c r="HA93" s="174"/>
    </row>
    <row r="94" spans="1:209" s="58" customFormat="1" ht="18" customHeight="1">
      <c r="A94" s="127"/>
      <c r="B94" s="127"/>
      <c r="C94" s="127"/>
      <c r="D94" s="127"/>
      <c r="E94" s="127"/>
      <c r="G94" s="127"/>
      <c r="H94" s="127"/>
      <c r="I94" s="127"/>
      <c r="J94" s="127"/>
      <c r="K94" s="127"/>
      <c r="L94" s="127"/>
      <c r="M94" s="127"/>
      <c r="N94" s="127"/>
      <c r="O94" s="127"/>
      <c r="P94" s="127"/>
      <c r="Q94" s="127"/>
      <c r="R94" s="127"/>
      <c r="S94" s="127"/>
      <c r="T94" s="127"/>
      <c r="U94" s="127"/>
      <c r="V94" s="127"/>
      <c r="W94" s="127"/>
      <c r="X94" s="127"/>
      <c r="Y94" s="127"/>
      <c r="Z94" s="127"/>
      <c r="AA94" s="127"/>
      <c r="AB94" s="127"/>
      <c r="AC94" s="127"/>
      <c r="AD94" s="127"/>
      <c r="AE94" s="127"/>
      <c r="AF94" s="127"/>
      <c r="AG94" s="127"/>
      <c r="AH94" s="127"/>
      <c r="AI94" s="127"/>
      <c r="AJ94" s="127"/>
      <c r="AK94" s="127"/>
      <c r="AL94" s="127"/>
      <c r="AM94" s="127"/>
      <c r="AN94" s="127"/>
      <c r="AO94" s="127"/>
      <c r="AP94" s="127"/>
      <c r="AQ94" s="127"/>
      <c r="AR94" s="127"/>
      <c r="AS94" s="127"/>
      <c r="AT94" s="173"/>
      <c r="AU94" s="173"/>
      <c r="AV94" s="173"/>
      <c r="AW94" s="127"/>
      <c r="AX94" s="127"/>
      <c r="AY94" s="127"/>
      <c r="AZ94" s="127"/>
      <c r="BA94" s="127"/>
      <c r="BB94" s="127"/>
      <c r="BC94" s="127"/>
      <c r="BD94" s="127"/>
      <c r="BE94" s="127"/>
      <c r="BF94" s="127"/>
      <c r="BG94" s="127"/>
      <c r="BH94" s="175"/>
      <c r="BI94" s="127"/>
      <c r="BJ94" s="175"/>
      <c r="BK94" s="127"/>
      <c r="BL94" s="175"/>
      <c r="BM94" s="127"/>
      <c r="BN94" s="127"/>
      <c r="BO94" s="127"/>
      <c r="BP94" s="127"/>
      <c r="BQ94" s="127"/>
      <c r="BR94" s="127"/>
      <c r="BS94" s="127"/>
      <c r="BT94" s="127"/>
      <c r="BU94" s="127"/>
      <c r="BV94" s="127"/>
      <c r="BW94" s="127"/>
      <c r="BX94" s="127"/>
      <c r="BY94" s="127"/>
      <c r="BZ94" s="127"/>
      <c r="CA94" s="127"/>
      <c r="CB94" s="127"/>
      <c r="CC94" s="127"/>
      <c r="CD94" s="127"/>
      <c r="CE94" s="127"/>
      <c r="CF94" s="127"/>
      <c r="CG94" s="127"/>
      <c r="CH94" s="127"/>
      <c r="CI94" s="127"/>
      <c r="CJ94" s="127"/>
      <c r="CK94" s="127"/>
      <c r="CL94" s="174"/>
      <c r="CM94" s="127"/>
      <c r="CN94" s="173"/>
      <c r="CO94" s="127"/>
      <c r="CP94" s="127"/>
      <c r="CQ94" s="127"/>
      <c r="CR94" s="127"/>
      <c r="CS94" s="127"/>
      <c r="CT94" s="127"/>
      <c r="CU94" s="127"/>
      <c r="CV94" s="127"/>
      <c r="CW94" s="127"/>
      <c r="CX94" s="127"/>
      <c r="CY94" s="127"/>
      <c r="CZ94" s="127"/>
      <c r="DA94" s="173"/>
      <c r="DB94" s="174"/>
      <c r="DC94" s="127"/>
      <c r="DD94" s="127"/>
      <c r="DE94" s="127"/>
      <c r="DF94" s="127"/>
      <c r="DG94" s="127"/>
      <c r="DH94" s="127"/>
      <c r="DI94" s="127"/>
      <c r="DJ94" s="127"/>
      <c r="DK94" s="127"/>
      <c r="DL94" s="127"/>
      <c r="DM94" s="127"/>
      <c r="DN94" s="127"/>
      <c r="DO94" s="127"/>
      <c r="DP94" s="127"/>
      <c r="DQ94" s="173"/>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c r="EN94" s="127"/>
      <c r="EO94" s="127"/>
      <c r="EP94" s="127"/>
      <c r="EQ94" s="127"/>
      <c r="ER94" s="127"/>
      <c r="ES94" s="127"/>
      <c r="ET94" s="127"/>
      <c r="EU94" s="127"/>
      <c r="EV94" s="127"/>
      <c r="EW94" s="127"/>
      <c r="EX94" s="173"/>
      <c r="EY94" s="173"/>
      <c r="EZ94" s="173"/>
      <c r="FA94" s="173"/>
      <c r="FB94" s="173"/>
      <c r="FC94" s="173"/>
      <c r="FD94" s="173"/>
      <c r="FE94" s="173"/>
      <c r="FF94" s="173"/>
      <c r="FG94" s="173"/>
      <c r="FH94" s="127"/>
      <c r="FI94" s="127"/>
      <c r="FJ94" s="127"/>
      <c r="FK94" s="174"/>
      <c r="FL94" s="127"/>
      <c r="FM94" s="127"/>
      <c r="FN94" s="127"/>
      <c r="FO94" s="127"/>
      <c r="FP94" s="127"/>
      <c r="FQ94" s="127"/>
      <c r="FR94" s="127"/>
      <c r="FS94" s="127"/>
      <c r="FT94" s="127"/>
      <c r="FU94" s="127"/>
      <c r="FV94" s="127"/>
      <c r="FW94" s="127"/>
      <c r="FX94" s="127"/>
      <c r="FY94" s="127"/>
      <c r="FZ94" s="127"/>
      <c r="GA94" s="127"/>
      <c r="GB94" s="127"/>
      <c r="GC94" s="174"/>
      <c r="GD94" s="127"/>
      <c r="GE94" s="127"/>
      <c r="GF94" s="127"/>
      <c r="GG94" s="174"/>
      <c r="GH94" s="127"/>
      <c r="GI94" s="127"/>
      <c r="GJ94" s="127"/>
      <c r="GK94" s="174"/>
      <c r="GL94" s="127"/>
      <c r="GM94" s="127"/>
      <c r="GN94" s="127"/>
      <c r="GO94" s="127"/>
      <c r="GP94" s="127"/>
      <c r="GQ94" s="174"/>
      <c r="GR94" s="127"/>
      <c r="GS94" s="127"/>
      <c r="GT94" s="127"/>
      <c r="GU94" s="127"/>
      <c r="GV94" s="127"/>
      <c r="GW94" s="127"/>
      <c r="GX94" s="173"/>
      <c r="GY94" s="127"/>
      <c r="GZ94" s="127"/>
      <c r="HA94" s="174"/>
    </row>
    <row r="95" spans="1:209" s="58" customFormat="1" ht="18" customHeight="1">
      <c r="A95" s="127"/>
      <c r="B95" s="127"/>
      <c r="C95" s="127"/>
      <c r="D95" s="127"/>
      <c r="E95" s="127"/>
      <c r="G95" s="127"/>
      <c r="H95" s="127"/>
      <c r="I95" s="127"/>
      <c r="J95" s="127"/>
      <c r="K95" s="127"/>
      <c r="L95" s="127"/>
      <c r="M95" s="127"/>
      <c r="N95" s="127"/>
      <c r="O95" s="127"/>
      <c r="P95" s="127"/>
      <c r="Q95" s="127"/>
      <c r="R95" s="127"/>
      <c r="S95" s="127"/>
      <c r="T95" s="127"/>
      <c r="U95" s="127"/>
      <c r="V95" s="127"/>
      <c r="W95" s="127"/>
      <c r="X95" s="127"/>
      <c r="Y95" s="127"/>
      <c r="Z95" s="127"/>
      <c r="AA95" s="127"/>
      <c r="AB95" s="127"/>
      <c r="AC95" s="127"/>
      <c r="AD95" s="127"/>
      <c r="AE95" s="127"/>
      <c r="AF95" s="127"/>
      <c r="AG95" s="127"/>
      <c r="AH95" s="127"/>
      <c r="AI95" s="127"/>
      <c r="AJ95" s="127"/>
      <c r="AK95" s="127"/>
      <c r="AL95" s="127"/>
      <c r="AM95" s="127"/>
      <c r="AN95" s="127"/>
      <c r="AO95" s="127"/>
      <c r="AP95" s="127"/>
      <c r="AQ95" s="127"/>
      <c r="AR95" s="127"/>
      <c r="AS95" s="127"/>
      <c r="AT95" s="173"/>
      <c r="AU95" s="173"/>
      <c r="AV95" s="173"/>
      <c r="AW95" s="127"/>
      <c r="AX95" s="127"/>
      <c r="AY95" s="127"/>
      <c r="AZ95" s="127"/>
      <c r="BA95" s="127"/>
      <c r="BB95" s="127"/>
      <c r="BC95" s="127"/>
      <c r="BD95" s="127"/>
      <c r="BE95" s="127"/>
      <c r="BF95" s="127"/>
      <c r="BG95" s="127"/>
      <c r="BH95" s="175"/>
      <c r="BI95" s="127"/>
      <c r="BJ95" s="175"/>
      <c r="BK95" s="127"/>
      <c r="BL95" s="175"/>
      <c r="BM95" s="127"/>
      <c r="BN95" s="127"/>
      <c r="BO95" s="127"/>
      <c r="BP95" s="127"/>
      <c r="BQ95" s="127"/>
      <c r="BR95" s="127"/>
      <c r="BS95" s="127"/>
      <c r="BT95" s="127"/>
      <c r="BU95" s="127"/>
      <c r="BV95" s="127"/>
      <c r="BW95" s="127"/>
      <c r="BX95" s="127"/>
      <c r="BY95" s="127"/>
      <c r="BZ95" s="127"/>
      <c r="CA95" s="127"/>
      <c r="CB95" s="127"/>
      <c r="CC95" s="127"/>
      <c r="CD95" s="127"/>
      <c r="CE95" s="127"/>
      <c r="CF95" s="127"/>
      <c r="CG95" s="127"/>
      <c r="CH95" s="127"/>
      <c r="CI95" s="127"/>
      <c r="CJ95" s="127"/>
      <c r="CK95" s="127"/>
      <c r="CL95" s="174"/>
      <c r="CM95" s="127"/>
      <c r="CN95" s="173"/>
      <c r="CO95" s="127"/>
      <c r="CP95" s="127"/>
      <c r="CQ95" s="127"/>
      <c r="CR95" s="127"/>
      <c r="CS95" s="127"/>
      <c r="CT95" s="127"/>
      <c r="CU95" s="127"/>
      <c r="CV95" s="127"/>
      <c r="CW95" s="127"/>
      <c r="CX95" s="127"/>
      <c r="CY95" s="127"/>
      <c r="CZ95" s="127"/>
      <c r="DA95" s="173"/>
      <c r="DB95" s="174"/>
      <c r="DC95" s="127"/>
      <c r="DD95" s="127"/>
      <c r="DE95" s="127"/>
      <c r="DF95" s="127"/>
      <c r="DG95" s="127"/>
      <c r="DH95" s="127"/>
      <c r="DI95" s="127"/>
      <c r="DJ95" s="127"/>
      <c r="DK95" s="127"/>
      <c r="DL95" s="127"/>
      <c r="DM95" s="127"/>
      <c r="DN95" s="127"/>
      <c r="DO95" s="127"/>
      <c r="DP95" s="127"/>
      <c r="DQ95" s="173"/>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c r="EN95" s="127"/>
      <c r="EO95" s="127"/>
      <c r="EP95" s="127"/>
      <c r="EQ95" s="127"/>
      <c r="ER95" s="127"/>
      <c r="ES95" s="127"/>
      <c r="ET95" s="127"/>
      <c r="EU95" s="127"/>
      <c r="EV95" s="127"/>
      <c r="EW95" s="127"/>
      <c r="EX95" s="173"/>
      <c r="EY95" s="173"/>
      <c r="EZ95" s="173"/>
      <c r="FA95" s="173"/>
      <c r="FB95" s="173"/>
      <c r="FC95" s="173"/>
      <c r="FD95" s="173"/>
      <c r="FE95" s="173"/>
      <c r="FF95" s="173"/>
      <c r="FG95" s="173"/>
      <c r="FH95" s="127"/>
      <c r="FI95" s="127"/>
      <c r="FJ95" s="127"/>
      <c r="FK95" s="174"/>
      <c r="FL95" s="127"/>
      <c r="FM95" s="127"/>
      <c r="FN95" s="127"/>
      <c r="FO95" s="127"/>
      <c r="FP95" s="127"/>
      <c r="FQ95" s="127"/>
      <c r="FR95" s="127"/>
      <c r="FS95" s="127"/>
      <c r="FT95" s="127"/>
      <c r="FU95" s="127"/>
      <c r="FV95" s="127"/>
      <c r="FW95" s="127"/>
      <c r="FX95" s="127"/>
      <c r="FY95" s="127"/>
      <c r="FZ95" s="127"/>
      <c r="GA95" s="127"/>
      <c r="GB95" s="127"/>
      <c r="GC95" s="174"/>
      <c r="GD95" s="127"/>
      <c r="GE95" s="127"/>
      <c r="GF95" s="127"/>
      <c r="GG95" s="174"/>
      <c r="GH95" s="127"/>
      <c r="GI95" s="127"/>
      <c r="GJ95" s="127"/>
      <c r="GK95" s="174"/>
      <c r="GL95" s="127"/>
      <c r="GM95" s="127"/>
      <c r="GN95" s="127"/>
      <c r="GO95" s="127"/>
      <c r="GP95" s="127"/>
      <c r="GQ95" s="174"/>
      <c r="GR95" s="127"/>
      <c r="GS95" s="127"/>
      <c r="GT95" s="127"/>
      <c r="GU95" s="127"/>
      <c r="GV95" s="127"/>
      <c r="GW95" s="127"/>
      <c r="GX95" s="173"/>
      <c r="GY95" s="127"/>
      <c r="GZ95" s="127"/>
      <c r="HA95" s="174"/>
    </row>
    <row r="96" spans="1:209" s="58" customFormat="1" ht="18" customHeight="1">
      <c r="A96" s="127"/>
      <c r="B96" s="127"/>
      <c r="C96" s="127"/>
      <c r="D96" s="127"/>
      <c r="E96" s="127"/>
      <c r="G96" s="127"/>
      <c r="H96" s="127"/>
      <c r="I96" s="127"/>
      <c r="J96" s="127"/>
      <c r="K96" s="127"/>
      <c r="L96" s="127"/>
      <c r="M96" s="127"/>
      <c r="N96" s="127"/>
      <c r="O96" s="127"/>
      <c r="P96" s="127"/>
      <c r="Q96" s="127"/>
      <c r="R96" s="127"/>
      <c r="S96" s="127"/>
      <c r="T96" s="127"/>
      <c r="U96" s="127"/>
      <c r="V96" s="127"/>
      <c r="W96" s="127"/>
      <c r="X96" s="127"/>
      <c r="Y96" s="127"/>
      <c r="Z96" s="127"/>
      <c r="AA96" s="127"/>
      <c r="AB96" s="127"/>
      <c r="AC96" s="127"/>
      <c r="AD96" s="127"/>
      <c r="AE96" s="127"/>
      <c r="AF96" s="127"/>
      <c r="AG96" s="127"/>
      <c r="AH96" s="127"/>
      <c r="AI96" s="127"/>
      <c r="AJ96" s="127"/>
      <c r="AK96" s="127"/>
      <c r="AL96" s="127"/>
      <c r="AM96" s="127"/>
      <c r="AN96" s="127"/>
      <c r="AO96" s="127"/>
      <c r="AP96" s="127"/>
      <c r="AQ96" s="127"/>
      <c r="AR96" s="127"/>
      <c r="AS96" s="127"/>
      <c r="AT96" s="173"/>
      <c r="AU96" s="173"/>
      <c r="AV96" s="173"/>
      <c r="AW96" s="127"/>
      <c r="AX96" s="127"/>
      <c r="AY96" s="127"/>
      <c r="AZ96" s="127"/>
      <c r="BA96" s="127"/>
      <c r="BB96" s="127"/>
      <c r="BC96" s="127"/>
      <c r="BD96" s="127"/>
      <c r="BE96" s="127"/>
      <c r="BF96" s="127"/>
      <c r="BG96" s="127"/>
      <c r="BH96" s="175"/>
      <c r="BI96" s="127"/>
      <c r="BJ96" s="175"/>
      <c r="BK96" s="127"/>
      <c r="BL96" s="175"/>
      <c r="BM96" s="127"/>
      <c r="BN96" s="127"/>
      <c r="BO96" s="127"/>
      <c r="BP96" s="127"/>
      <c r="BQ96" s="127"/>
      <c r="BR96" s="127"/>
      <c r="BS96" s="127"/>
      <c r="BT96" s="127"/>
      <c r="BU96" s="127"/>
      <c r="BV96" s="127"/>
      <c r="BW96" s="127"/>
      <c r="BX96" s="127"/>
      <c r="BY96" s="127"/>
      <c r="BZ96" s="127"/>
      <c r="CA96" s="127"/>
      <c r="CB96" s="127"/>
      <c r="CC96" s="127"/>
      <c r="CD96" s="127"/>
      <c r="CE96" s="127"/>
      <c r="CF96" s="127"/>
      <c r="CG96" s="127"/>
      <c r="CH96" s="127"/>
      <c r="CI96" s="127"/>
      <c r="CJ96" s="127"/>
      <c r="CK96" s="127"/>
      <c r="CL96" s="174"/>
      <c r="CM96" s="127"/>
      <c r="CN96" s="173"/>
      <c r="CO96" s="127"/>
      <c r="CP96" s="127"/>
      <c r="CQ96" s="127"/>
      <c r="CR96" s="127"/>
      <c r="CS96" s="127"/>
      <c r="CT96" s="127"/>
      <c r="CU96" s="127"/>
      <c r="CV96" s="127"/>
      <c r="CW96" s="127"/>
      <c r="CX96" s="127"/>
      <c r="CY96" s="127"/>
      <c r="CZ96" s="127"/>
      <c r="DA96" s="173"/>
      <c r="DB96" s="174"/>
      <c r="DC96" s="127"/>
      <c r="DD96" s="127"/>
      <c r="DE96" s="127"/>
      <c r="DF96" s="127"/>
      <c r="DG96" s="127"/>
      <c r="DH96" s="127"/>
      <c r="DI96" s="127"/>
      <c r="DJ96" s="127"/>
      <c r="DK96" s="127"/>
      <c r="DL96" s="127"/>
      <c r="DM96" s="127"/>
      <c r="DN96" s="127"/>
      <c r="DO96" s="127"/>
      <c r="DP96" s="127"/>
      <c r="DQ96" s="173"/>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c r="EN96" s="127"/>
      <c r="EO96" s="127"/>
      <c r="EP96" s="127"/>
      <c r="EQ96" s="127"/>
      <c r="ER96" s="127"/>
      <c r="ES96" s="127"/>
      <c r="ET96" s="127"/>
      <c r="EU96" s="127"/>
      <c r="EV96" s="127"/>
      <c r="EW96" s="127"/>
      <c r="EX96" s="173"/>
      <c r="EY96" s="173"/>
      <c r="EZ96" s="173"/>
      <c r="FA96" s="173"/>
      <c r="FB96" s="173"/>
      <c r="FC96" s="173"/>
      <c r="FD96" s="173"/>
      <c r="FE96" s="173"/>
      <c r="FF96" s="173"/>
      <c r="FG96" s="173"/>
      <c r="FH96" s="127"/>
      <c r="FI96" s="127"/>
      <c r="FJ96" s="127"/>
      <c r="FK96" s="174"/>
      <c r="FL96" s="127"/>
      <c r="FM96" s="127"/>
      <c r="FN96" s="127"/>
      <c r="FO96" s="127"/>
      <c r="FP96" s="127"/>
      <c r="FQ96" s="127"/>
      <c r="FR96" s="127"/>
      <c r="FS96" s="127"/>
      <c r="FT96" s="127"/>
      <c r="FU96" s="127"/>
      <c r="FV96" s="127"/>
      <c r="FW96" s="127"/>
      <c r="FX96" s="127"/>
      <c r="FY96" s="127"/>
      <c r="FZ96" s="127"/>
      <c r="GA96" s="127"/>
      <c r="GB96" s="127"/>
      <c r="GC96" s="174"/>
      <c r="GD96" s="127"/>
      <c r="GE96" s="127"/>
      <c r="GF96" s="127"/>
      <c r="GG96" s="174"/>
      <c r="GH96" s="127"/>
      <c r="GI96" s="127"/>
      <c r="GJ96" s="127"/>
      <c r="GK96" s="174"/>
      <c r="GL96" s="127"/>
      <c r="GM96" s="127"/>
      <c r="GN96" s="127"/>
      <c r="GO96" s="127"/>
      <c r="GP96" s="127"/>
      <c r="GQ96" s="174"/>
      <c r="GR96" s="127"/>
      <c r="GS96" s="127"/>
      <c r="GT96" s="127"/>
      <c r="GU96" s="127"/>
      <c r="GV96" s="127"/>
      <c r="GW96" s="127"/>
      <c r="GX96" s="173"/>
      <c r="GY96" s="127"/>
      <c r="GZ96" s="127"/>
      <c r="HA96" s="174"/>
    </row>
    <row r="97" spans="1:209" s="58" customFormat="1" ht="18" customHeight="1">
      <c r="A97" s="127"/>
      <c r="B97" s="127"/>
      <c r="C97" s="127"/>
      <c r="D97" s="127"/>
      <c r="E97" s="127"/>
      <c r="G97" s="127"/>
      <c r="H97" s="127"/>
      <c r="I97" s="127"/>
      <c r="J97" s="127"/>
      <c r="K97" s="127"/>
      <c r="L97" s="127"/>
      <c r="M97" s="127"/>
      <c r="N97" s="127"/>
      <c r="O97" s="127"/>
      <c r="P97" s="127"/>
      <c r="Q97" s="127"/>
      <c r="R97" s="127"/>
      <c r="S97" s="127"/>
      <c r="T97" s="127"/>
      <c r="U97" s="127"/>
      <c r="V97" s="127"/>
      <c r="W97" s="127"/>
      <c r="X97" s="127"/>
      <c r="Y97" s="127"/>
      <c r="Z97" s="127"/>
      <c r="AA97" s="127"/>
      <c r="AB97" s="127"/>
      <c r="AC97" s="127"/>
      <c r="AD97" s="127"/>
      <c r="AE97" s="127"/>
      <c r="AF97" s="127"/>
      <c r="AG97" s="127"/>
      <c r="AH97" s="127"/>
      <c r="AI97" s="127"/>
      <c r="AJ97" s="127"/>
      <c r="AK97" s="127"/>
      <c r="AL97" s="127"/>
      <c r="AM97" s="127"/>
      <c r="AN97" s="127"/>
      <c r="AO97" s="127"/>
      <c r="AP97" s="127"/>
      <c r="AQ97" s="127"/>
      <c r="AR97" s="127"/>
      <c r="AS97" s="127"/>
      <c r="AT97" s="173"/>
      <c r="AU97" s="173"/>
      <c r="AV97" s="173"/>
      <c r="AW97" s="127"/>
      <c r="AX97" s="127"/>
      <c r="AY97" s="127"/>
      <c r="AZ97" s="127"/>
      <c r="BA97" s="127"/>
      <c r="BB97" s="127"/>
      <c r="BC97" s="127"/>
      <c r="BD97" s="127"/>
      <c r="BE97" s="127"/>
      <c r="BF97" s="127"/>
      <c r="BG97" s="127"/>
      <c r="BH97" s="175"/>
      <c r="BI97" s="127"/>
      <c r="BJ97" s="175"/>
      <c r="BK97" s="127"/>
      <c r="BL97" s="175"/>
      <c r="BM97" s="127"/>
      <c r="BN97" s="127"/>
      <c r="BO97" s="127"/>
      <c r="BP97" s="127"/>
      <c r="BQ97" s="127"/>
      <c r="BR97" s="127"/>
      <c r="BS97" s="127"/>
      <c r="BT97" s="127"/>
      <c r="BU97" s="127"/>
      <c r="BV97" s="127"/>
      <c r="BW97" s="127"/>
      <c r="BX97" s="127"/>
      <c r="BY97" s="127"/>
      <c r="BZ97" s="127"/>
      <c r="CA97" s="127"/>
      <c r="CB97" s="127"/>
      <c r="CC97" s="127"/>
      <c r="CD97" s="127"/>
      <c r="CE97" s="127"/>
      <c r="CF97" s="127"/>
      <c r="CG97" s="127"/>
      <c r="CH97" s="127"/>
      <c r="CI97" s="127"/>
      <c r="CJ97" s="127"/>
      <c r="CK97" s="127"/>
      <c r="CL97" s="174"/>
      <c r="CM97" s="127"/>
      <c r="CN97" s="173"/>
      <c r="CO97" s="127"/>
      <c r="CP97" s="127"/>
      <c r="CQ97" s="127"/>
      <c r="CR97" s="127"/>
      <c r="CS97" s="127"/>
      <c r="CT97" s="127"/>
      <c r="CU97" s="127"/>
      <c r="CV97" s="127"/>
      <c r="CW97" s="127"/>
      <c r="CX97" s="127"/>
      <c r="CY97" s="127"/>
      <c r="CZ97" s="127"/>
      <c r="DA97" s="173"/>
      <c r="DB97" s="174"/>
      <c r="DC97" s="127"/>
      <c r="DD97" s="127"/>
      <c r="DE97" s="127"/>
      <c r="DF97" s="127"/>
      <c r="DG97" s="127"/>
      <c r="DH97" s="127"/>
      <c r="DI97" s="127"/>
      <c r="DJ97" s="127"/>
      <c r="DK97" s="127"/>
      <c r="DL97" s="127"/>
      <c r="DM97" s="127"/>
      <c r="DN97" s="127"/>
      <c r="DO97" s="127"/>
      <c r="DP97" s="127"/>
      <c r="DQ97" s="173"/>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c r="EN97" s="127"/>
      <c r="EO97" s="127"/>
      <c r="EP97" s="127"/>
      <c r="EQ97" s="127"/>
      <c r="ER97" s="127"/>
      <c r="ES97" s="127"/>
      <c r="ET97" s="127"/>
      <c r="EU97" s="127"/>
      <c r="EV97" s="127"/>
      <c r="EW97" s="127"/>
      <c r="EX97" s="173"/>
      <c r="EY97" s="173"/>
      <c r="EZ97" s="173"/>
      <c r="FA97" s="173"/>
      <c r="FB97" s="173"/>
      <c r="FC97" s="173"/>
      <c r="FD97" s="173"/>
      <c r="FE97" s="173"/>
      <c r="FF97" s="173"/>
      <c r="FG97" s="173"/>
      <c r="FH97" s="127"/>
      <c r="FI97" s="127"/>
      <c r="FJ97" s="127"/>
      <c r="FK97" s="174"/>
      <c r="FL97" s="127"/>
      <c r="FM97" s="127"/>
      <c r="FN97" s="127"/>
      <c r="FO97" s="127"/>
      <c r="FP97" s="127"/>
      <c r="FQ97" s="127"/>
      <c r="FR97" s="127"/>
      <c r="FS97" s="127"/>
      <c r="FT97" s="127"/>
      <c r="FU97" s="127"/>
      <c r="FV97" s="127"/>
      <c r="FW97" s="127"/>
      <c r="FX97" s="127"/>
      <c r="FY97" s="127"/>
      <c r="FZ97" s="127"/>
      <c r="GA97" s="127"/>
      <c r="GB97" s="127"/>
      <c r="GC97" s="174"/>
      <c r="GD97" s="127"/>
      <c r="GE97" s="127"/>
      <c r="GF97" s="127"/>
      <c r="GG97" s="174"/>
      <c r="GH97" s="127"/>
      <c r="GI97" s="127"/>
      <c r="GJ97" s="127"/>
      <c r="GK97" s="174"/>
      <c r="GL97" s="127"/>
      <c r="GM97" s="127"/>
      <c r="GN97" s="127"/>
      <c r="GO97" s="127"/>
      <c r="GP97" s="127"/>
      <c r="GQ97" s="174"/>
      <c r="GR97" s="127"/>
      <c r="GS97" s="127"/>
      <c r="GT97" s="127"/>
      <c r="GU97" s="127"/>
      <c r="GV97" s="127"/>
      <c r="GW97" s="127"/>
      <c r="GX97" s="173"/>
      <c r="GY97" s="127"/>
      <c r="GZ97" s="127"/>
      <c r="HA97" s="174"/>
    </row>
    <row r="98" spans="1:209" s="58" customFormat="1" ht="18" customHeight="1">
      <c r="A98" s="127"/>
      <c r="B98" s="127"/>
      <c r="C98" s="127"/>
      <c r="D98" s="127"/>
      <c r="E98" s="127"/>
      <c r="G98" s="127"/>
      <c r="H98" s="127"/>
      <c r="I98" s="127"/>
      <c r="J98" s="127"/>
      <c r="K98" s="127"/>
      <c r="L98" s="127"/>
      <c r="M98" s="127"/>
      <c r="N98" s="127"/>
      <c r="O98" s="127"/>
      <c r="P98" s="127"/>
      <c r="Q98" s="127"/>
      <c r="R98" s="127"/>
      <c r="S98" s="127"/>
      <c r="T98" s="127"/>
      <c r="U98" s="127"/>
      <c r="V98" s="127"/>
      <c r="W98" s="127"/>
      <c r="X98" s="127"/>
      <c r="Y98" s="127"/>
      <c r="Z98" s="127"/>
      <c r="AA98" s="127"/>
      <c r="AB98" s="127"/>
      <c r="AC98" s="127"/>
      <c r="AD98" s="127"/>
      <c r="AE98" s="127"/>
      <c r="AF98" s="127"/>
      <c r="AG98" s="127"/>
      <c r="AH98" s="127"/>
      <c r="AI98" s="127"/>
      <c r="AJ98" s="127"/>
      <c r="AK98" s="127"/>
      <c r="AL98" s="127"/>
      <c r="AM98" s="127"/>
      <c r="AN98" s="127"/>
      <c r="AO98" s="127"/>
      <c r="AP98" s="127"/>
      <c r="AQ98" s="127"/>
      <c r="AR98" s="127"/>
      <c r="AS98" s="127"/>
      <c r="AT98" s="173"/>
      <c r="AU98" s="173"/>
      <c r="AV98" s="173"/>
      <c r="AW98" s="127"/>
      <c r="AX98" s="127"/>
      <c r="AY98" s="127"/>
      <c r="AZ98" s="127"/>
      <c r="BA98" s="127"/>
      <c r="BB98" s="127"/>
      <c r="BC98" s="127"/>
      <c r="BD98" s="127"/>
      <c r="BE98" s="127"/>
      <c r="BF98" s="127"/>
      <c r="BG98" s="127"/>
      <c r="BH98" s="175"/>
      <c r="BI98" s="127"/>
      <c r="BJ98" s="175"/>
      <c r="BK98" s="127"/>
      <c r="BL98" s="175"/>
      <c r="BM98" s="127"/>
      <c r="BN98" s="127"/>
      <c r="BO98" s="127"/>
      <c r="BP98" s="127"/>
      <c r="BQ98" s="127"/>
      <c r="BR98" s="127"/>
      <c r="BS98" s="127"/>
      <c r="BT98" s="127"/>
      <c r="BU98" s="127"/>
      <c r="BV98" s="127"/>
      <c r="BW98" s="127"/>
      <c r="BX98" s="127"/>
      <c r="BY98" s="127"/>
      <c r="BZ98" s="127"/>
      <c r="CA98" s="127"/>
      <c r="CB98" s="127"/>
      <c r="CC98" s="127"/>
      <c r="CD98" s="127"/>
      <c r="CE98" s="127"/>
      <c r="CF98" s="127"/>
      <c r="CG98" s="127"/>
      <c r="CH98" s="127"/>
      <c r="CI98" s="127"/>
      <c r="CJ98" s="127"/>
      <c r="CK98" s="127"/>
      <c r="CL98" s="174"/>
      <c r="CM98" s="127"/>
      <c r="CN98" s="173"/>
      <c r="CO98" s="127"/>
      <c r="CP98" s="127"/>
      <c r="CQ98" s="127"/>
      <c r="CR98" s="127"/>
      <c r="CS98" s="127"/>
      <c r="CT98" s="127"/>
      <c r="CU98" s="127"/>
      <c r="CV98" s="127"/>
      <c r="CW98" s="127"/>
      <c r="CX98" s="127"/>
      <c r="CY98" s="127"/>
      <c r="CZ98" s="127"/>
      <c r="DA98" s="173"/>
      <c r="DB98" s="174"/>
      <c r="DC98" s="127"/>
      <c r="DD98" s="127"/>
      <c r="DE98" s="127"/>
      <c r="DF98" s="127"/>
      <c r="DG98" s="127"/>
      <c r="DH98" s="127"/>
      <c r="DI98" s="127"/>
      <c r="DJ98" s="127"/>
      <c r="DK98" s="127"/>
      <c r="DL98" s="127"/>
      <c r="DM98" s="127"/>
      <c r="DN98" s="127"/>
      <c r="DO98" s="127"/>
      <c r="DP98" s="127"/>
      <c r="DQ98" s="173"/>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c r="EN98" s="127"/>
      <c r="EO98" s="127"/>
      <c r="EP98" s="127"/>
      <c r="EQ98" s="127"/>
      <c r="ER98" s="127"/>
      <c r="ES98" s="127"/>
      <c r="ET98" s="127"/>
      <c r="EU98" s="127"/>
      <c r="EV98" s="127"/>
      <c r="EW98" s="127"/>
      <c r="EX98" s="173"/>
      <c r="EY98" s="173"/>
      <c r="EZ98" s="173"/>
      <c r="FA98" s="173"/>
      <c r="FB98" s="173"/>
      <c r="FC98" s="173"/>
      <c r="FD98" s="173"/>
      <c r="FE98" s="173"/>
      <c r="FF98" s="173"/>
      <c r="FG98" s="173"/>
      <c r="FH98" s="127"/>
      <c r="FI98" s="127"/>
      <c r="FJ98" s="127"/>
      <c r="FK98" s="174"/>
      <c r="FL98" s="127"/>
      <c r="FM98" s="127"/>
      <c r="FN98" s="127"/>
      <c r="FO98" s="127"/>
      <c r="FP98" s="127"/>
      <c r="FQ98" s="127"/>
      <c r="FR98" s="127"/>
      <c r="FS98" s="127"/>
      <c r="FT98" s="127"/>
      <c r="FU98" s="127"/>
      <c r="FV98" s="127"/>
      <c r="FW98" s="127"/>
      <c r="FX98" s="127"/>
      <c r="FY98" s="127"/>
      <c r="FZ98" s="127"/>
      <c r="GA98" s="127"/>
      <c r="GB98" s="127"/>
      <c r="GC98" s="174"/>
      <c r="GD98" s="127"/>
      <c r="GE98" s="127"/>
      <c r="GF98" s="127"/>
      <c r="GG98" s="174"/>
      <c r="GH98" s="127"/>
      <c r="GI98" s="127"/>
      <c r="GJ98" s="127"/>
      <c r="GK98" s="174"/>
      <c r="GL98" s="127"/>
      <c r="GM98" s="127"/>
      <c r="GN98" s="127"/>
      <c r="GO98" s="127"/>
      <c r="GP98" s="127"/>
      <c r="GQ98" s="174"/>
      <c r="GR98" s="127"/>
      <c r="GS98" s="127"/>
      <c r="GT98" s="127"/>
      <c r="GU98" s="127"/>
      <c r="GV98" s="127"/>
      <c r="GW98" s="127"/>
      <c r="GX98" s="173"/>
      <c r="GY98" s="127"/>
      <c r="GZ98" s="127"/>
      <c r="HA98" s="174"/>
    </row>
    <row r="99" spans="1:209" s="58" customFormat="1" ht="18" customHeight="1">
      <c r="A99" s="127"/>
      <c r="B99" s="127"/>
      <c r="C99" s="127"/>
      <c r="D99" s="127"/>
      <c r="E99" s="127"/>
      <c r="G99" s="127"/>
      <c r="H99" s="127"/>
      <c r="I99" s="127"/>
      <c r="J99" s="127"/>
      <c r="K99" s="127"/>
      <c r="L99" s="127"/>
      <c r="M99" s="127"/>
      <c r="N99" s="127"/>
      <c r="O99" s="127"/>
      <c r="P99" s="127"/>
      <c r="Q99" s="127"/>
      <c r="R99" s="127"/>
      <c r="S99" s="127"/>
      <c r="T99" s="127"/>
      <c r="U99" s="127"/>
      <c r="V99" s="127"/>
      <c r="W99" s="127"/>
      <c r="X99" s="127"/>
      <c r="Y99" s="127"/>
      <c r="Z99" s="127"/>
      <c r="AA99" s="127"/>
      <c r="AB99" s="127"/>
      <c r="AC99" s="127"/>
      <c r="AD99" s="127"/>
      <c r="AE99" s="127"/>
      <c r="AF99" s="127"/>
      <c r="AG99" s="127"/>
      <c r="AH99" s="127"/>
      <c r="AI99" s="127"/>
      <c r="AJ99" s="127"/>
      <c r="AK99" s="127"/>
      <c r="AL99" s="127"/>
      <c r="AM99" s="127"/>
      <c r="AN99" s="127"/>
      <c r="AO99" s="127"/>
      <c r="AP99" s="127"/>
      <c r="AQ99" s="127"/>
      <c r="AR99" s="127"/>
      <c r="AS99" s="127"/>
      <c r="AT99" s="173"/>
      <c r="AU99" s="173"/>
      <c r="AV99" s="173"/>
      <c r="AW99" s="127"/>
      <c r="AX99" s="127"/>
      <c r="AY99" s="127"/>
      <c r="AZ99" s="127"/>
      <c r="BA99" s="127"/>
      <c r="BB99" s="127"/>
      <c r="BC99" s="127"/>
      <c r="BD99" s="127"/>
      <c r="BE99" s="127"/>
      <c r="BF99" s="127"/>
      <c r="BG99" s="127"/>
      <c r="BH99" s="175"/>
      <c r="BI99" s="127"/>
      <c r="BJ99" s="175"/>
      <c r="BK99" s="127"/>
      <c r="BL99" s="175"/>
      <c r="BM99" s="127"/>
      <c r="BN99" s="127"/>
      <c r="BO99" s="127"/>
      <c r="BP99" s="127"/>
      <c r="BQ99" s="127"/>
      <c r="BR99" s="127"/>
      <c r="BS99" s="127"/>
      <c r="BT99" s="127"/>
      <c r="BU99" s="127"/>
      <c r="BV99" s="127"/>
      <c r="BW99" s="127"/>
      <c r="BX99" s="127"/>
      <c r="BY99" s="127"/>
      <c r="BZ99" s="127"/>
      <c r="CA99" s="127"/>
      <c r="CB99" s="127"/>
      <c r="CC99" s="127"/>
      <c r="CD99" s="127"/>
      <c r="CE99" s="127"/>
      <c r="CF99" s="127"/>
      <c r="CG99" s="127"/>
      <c r="CH99" s="127"/>
      <c r="CI99" s="127"/>
      <c r="CJ99" s="127"/>
      <c r="CK99" s="127"/>
      <c r="CL99" s="174"/>
      <c r="CM99" s="127"/>
      <c r="CN99" s="173"/>
      <c r="CO99" s="127"/>
      <c r="CP99" s="127"/>
      <c r="CQ99" s="127"/>
      <c r="CR99" s="127"/>
      <c r="CS99" s="127"/>
      <c r="CT99" s="127"/>
      <c r="CU99" s="127"/>
      <c r="CV99" s="127"/>
      <c r="CW99" s="127"/>
      <c r="CX99" s="127"/>
      <c r="CY99" s="127"/>
      <c r="CZ99" s="127"/>
      <c r="DA99" s="173"/>
      <c r="DB99" s="174"/>
      <c r="DC99" s="127"/>
      <c r="DD99" s="127"/>
      <c r="DE99" s="127"/>
      <c r="DF99" s="127"/>
      <c r="DG99" s="127"/>
      <c r="DH99" s="127"/>
      <c r="DI99" s="127"/>
      <c r="DJ99" s="127"/>
      <c r="DK99" s="127"/>
      <c r="DL99" s="127"/>
      <c r="DM99" s="127"/>
      <c r="DN99" s="127"/>
      <c r="DO99" s="127"/>
      <c r="DP99" s="127"/>
      <c r="DQ99" s="173"/>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c r="EN99" s="127"/>
      <c r="EO99" s="127"/>
      <c r="EP99" s="127"/>
      <c r="EQ99" s="127"/>
      <c r="ER99" s="127"/>
      <c r="ES99" s="127"/>
      <c r="ET99" s="127"/>
      <c r="EU99" s="127"/>
      <c r="EV99" s="127"/>
      <c r="EW99" s="127"/>
      <c r="EX99" s="173"/>
      <c r="EY99" s="173"/>
      <c r="EZ99" s="173"/>
      <c r="FA99" s="173"/>
      <c r="FB99" s="173"/>
      <c r="FC99" s="173"/>
      <c r="FD99" s="173"/>
      <c r="FE99" s="173"/>
      <c r="FF99" s="173"/>
      <c r="FG99" s="173"/>
      <c r="FH99" s="127"/>
      <c r="FI99" s="127"/>
      <c r="FJ99" s="127"/>
      <c r="FK99" s="174"/>
      <c r="FL99" s="127"/>
      <c r="FM99" s="127"/>
      <c r="FN99" s="127"/>
      <c r="FO99" s="127"/>
      <c r="FP99" s="127"/>
      <c r="FQ99" s="127"/>
      <c r="FR99" s="127"/>
      <c r="FS99" s="127"/>
      <c r="FT99" s="127"/>
      <c r="FU99" s="127"/>
      <c r="FV99" s="127"/>
      <c r="FW99" s="127"/>
      <c r="FX99" s="127"/>
      <c r="FY99" s="127"/>
      <c r="FZ99" s="127"/>
      <c r="GA99" s="127"/>
      <c r="GB99" s="127"/>
      <c r="GC99" s="174"/>
      <c r="GD99" s="127"/>
      <c r="GE99" s="127"/>
      <c r="GF99" s="127"/>
      <c r="GG99" s="174"/>
      <c r="GH99" s="127"/>
      <c r="GI99" s="127"/>
      <c r="GJ99" s="127"/>
      <c r="GK99" s="174"/>
      <c r="GL99" s="127"/>
      <c r="GM99" s="127"/>
      <c r="GN99" s="127"/>
      <c r="GO99" s="127"/>
      <c r="GP99" s="127"/>
      <c r="GQ99" s="174"/>
      <c r="GR99" s="127"/>
      <c r="GS99" s="127"/>
      <c r="GT99" s="127"/>
      <c r="GU99" s="127"/>
      <c r="GV99" s="127"/>
      <c r="GW99" s="127"/>
      <c r="GX99" s="173"/>
      <c r="GY99" s="127"/>
      <c r="GZ99" s="127"/>
      <c r="HA99" s="174"/>
    </row>
    <row r="100" spans="1:209" s="58" customFormat="1" ht="18" customHeight="1">
      <c r="A100" s="127"/>
      <c r="B100" s="127"/>
      <c r="C100" s="127"/>
      <c r="D100" s="127"/>
      <c r="E100" s="127"/>
      <c r="G100" s="127"/>
      <c r="H100" s="127"/>
      <c r="I100" s="127"/>
      <c r="J100" s="127"/>
      <c r="K100" s="127"/>
      <c r="L100" s="127"/>
      <c r="M100" s="127"/>
      <c r="N100" s="127"/>
      <c r="O100" s="127"/>
      <c r="P100" s="127"/>
      <c r="Q100" s="127"/>
      <c r="R100" s="127"/>
      <c r="S100" s="127"/>
      <c r="T100" s="127"/>
      <c r="U100" s="127"/>
      <c r="V100" s="127"/>
      <c r="W100" s="127"/>
      <c r="X100" s="127"/>
      <c r="Y100" s="127"/>
      <c r="Z100" s="127"/>
      <c r="AA100" s="127"/>
      <c r="AB100" s="127"/>
      <c r="AC100" s="127"/>
      <c r="AD100" s="127"/>
      <c r="AE100" s="127"/>
      <c r="AF100" s="127"/>
      <c r="AG100" s="127"/>
      <c r="AH100" s="127"/>
      <c r="AI100" s="127"/>
      <c r="AJ100" s="127"/>
      <c r="AK100" s="127"/>
      <c r="AL100" s="127"/>
      <c r="AM100" s="127"/>
      <c r="AN100" s="127"/>
      <c r="AO100" s="127"/>
      <c r="AP100" s="127"/>
      <c r="AQ100" s="127"/>
      <c r="AR100" s="127"/>
      <c r="AS100" s="127"/>
      <c r="AT100" s="173"/>
      <c r="AU100" s="173"/>
      <c r="AV100" s="173"/>
      <c r="AW100" s="127"/>
      <c r="AX100" s="127"/>
      <c r="AY100" s="127"/>
      <c r="AZ100" s="127"/>
      <c r="BA100" s="127"/>
      <c r="BB100" s="127"/>
      <c r="BC100" s="127"/>
      <c r="BD100" s="127"/>
      <c r="BE100" s="127"/>
      <c r="BF100" s="127"/>
      <c r="BG100" s="127"/>
      <c r="BH100" s="175"/>
      <c r="BI100" s="127"/>
      <c r="BJ100" s="175"/>
      <c r="BK100" s="127"/>
      <c r="BL100" s="175"/>
      <c r="BM100" s="127"/>
      <c r="BN100" s="127"/>
      <c r="BO100" s="127"/>
      <c r="BP100" s="127"/>
      <c r="BQ100" s="127"/>
      <c r="BR100" s="127"/>
      <c r="BS100" s="127"/>
      <c r="BT100" s="127"/>
      <c r="BU100" s="127"/>
      <c r="BV100" s="127"/>
      <c r="BW100" s="127"/>
      <c r="BX100" s="127"/>
      <c r="BY100" s="127"/>
      <c r="BZ100" s="127"/>
      <c r="CA100" s="127"/>
      <c r="CB100" s="127"/>
      <c r="CC100" s="127"/>
      <c r="CD100" s="127"/>
      <c r="CE100" s="127"/>
      <c r="CF100" s="127"/>
      <c r="CG100" s="127"/>
      <c r="CH100" s="127"/>
      <c r="CI100" s="127"/>
      <c r="CJ100" s="127"/>
      <c r="CK100" s="127"/>
      <c r="CL100" s="174"/>
      <c r="CM100" s="127"/>
      <c r="CN100" s="173"/>
      <c r="CO100" s="127"/>
      <c r="CP100" s="127"/>
      <c r="CQ100" s="127"/>
      <c r="CR100" s="127"/>
      <c r="CS100" s="127"/>
      <c r="CT100" s="127"/>
      <c r="CU100" s="127"/>
      <c r="CV100" s="127"/>
      <c r="CW100" s="127"/>
      <c r="CX100" s="127"/>
      <c r="CY100" s="127"/>
      <c r="CZ100" s="127"/>
      <c r="DA100" s="173"/>
      <c r="DB100" s="174"/>
      <c r="DC100" s="127"/>
      <c r="DD100" s="127"/>
      <c r="DE100" s="127"/>
      <c r="DF100" s="127"/>
      <c r="DG100" s="127"/>
      <c r="DH100" s="127"/>
      <c r="DI100" s="127"/>
      <c r="DJ100" s="127"/>
      <c r="DK100" s="127"/>
      <c r="DL100" s="127"/>
      <c r="DM100" s="127"/>
      <c r="DN100" s="127"/>
      <c r="DO100" s="127"/>
      <c r="DP100" s="127"/>
      <c r="DQ100" s="173"/>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c r="EN100" s="127"/>
      <c r="EO100" s="127"/>
      <c r="EP100" s="127"/>
      <c r="EQ100" s="127"/>
      <c r="ER100" s="127"/>
      <c r="ES100" s="127"/>
      <c r="ET100" s="127"/>
      <c r="EU100" s="127"/>
      <c r="EV100" s="127"/>
      <c r="EW100" s="127"/>
      <c r="EX100" s="173"/>
      <c r="EY100" s="173"/>
      <c r="EZ100" s="173"/>
      <c r="FA100" s="173"/>
      <c r="FB100" s="173"/>
      <c r="FC100" s="173"/>
      <c r="FD100" s="173"/>
      <c r="FE100" s="173"/>
      <c r="FF100" s="173"/>
      <c r="FG100" s="173"/>
      <c r="FH100" s="127"/>
      <c r="FI100" s="127"/>
      <c r="FJ100" s="127"/>
      <c r="FK100" s="174"/>
      <c r="FL100" s="127"/>
      <c r="FM100" s="127"/>
      <c r="FN100" s="127"/>
      <c r="FO100" s="127"/>
      <c r="FP100" s="127"/>
      <c r="FQ100" s="127"/>
      <c r="FR100" s="127"/>
      <c r="FS100" s="127"/>
      <c r="FT100" s="127"/>
      <c r="FU100" s="127"/>
      <c r="FV100" s="127"/>
      <c r="FW100" s="127"/>
      <c r="FX100" s="127"/>
      <c r="FY100" s="127"/>
      <c r="FZ100" s="127"/>
      <c r="GA100" s="127"/>
      <c r="GB100" s="127"/>
      <c r="GC100" s="174"/>
      <c r="GD100" s="127"/>
      <c r="GE100" s="127"/>
      <c r="GF100" s="127"/>
      <c r="GG100" s="174"/>
      <c r="GH100" s="127"/>
      <c r="GI100" s="127"/>
      <c r="GJ100" s="127"/>
      <c r="GK100" s="174"/>
      <c r="GL100" s="127"/>
      <c r="GM100" s="127"/>
      <c r="GN100" s="127"/>
      <c r="GO100" s="127"/>
      <c r="GP100" s="127"/>
      <c r="GQ100" s="174"/>
      <c r="GR100" s="127"/>
      <c r="GS100" s="127"/>
      <c r="GT100" s="127"/>
      <c r="GU100" s="127"/>
      <c r="GV100" s="127"/>
      <c r="GW100" s="127"/>
      <c r="GX100" s="173"/>
      <c r="GY100" s="127"/>
      <c r="GZ100" s="127"/>
      <c r="HA100" s="174"/>
    </row>
    <row r="101" spans="1:209" s="58" customFormat="1" ht="18" customHeight="1">
      <c r="A101" s="127"/>
      <c r="B101" s="127"/>
      <c r="C101" s="127"/>
      <c r="D101" s="127"/>
      <c r="E101" s="127"/>
      <c r="G101" s="127"/>
      <c r="H101" s="127"/>
      <c r="I101" s="127"/>
      <c r="J101" s="127"/>
      <c r="K101" s="127"/>
      <c r="L101" s="127"/>
      <c r="M101" s="127"/>
      <c r="N101" s="127"/>
      <c r="O101" s="127"/>
      <c r="P101" s="127"/>
      <c r="Q101" s="127"/>
      <c r="R101" s="127"/>
      <c r="S101" s="127"/>
      <c r="T101" s="127"/>
      <c r="U101" s="127"/>
      <c r="V101" s="127"/>
      <c r="W101" s="127"/>
      <c r="X101" s="127"/>
      <c r="Y101" s="127"/>
      <c r="Z101" s="127"/>
      <c r="AA101" s="127"/>
      <c r="AB101" s="127"/>
      <c r="AC101" s="127"/>
      <c r="AD101" s="127"/>
      <c r="AE101" s="127"/>
      <c r="AF101" s="127"/>
      <c r="AG101" s="127"/>
      <c r="AH101" s="127"/>
      <c r="AI101" s="127"/>
      <c r="AJ101" s="127"/>
      <c r="AK101" s="127"/>
      <c r="AL101" s="127"/>
      <c r="AM101" s="127"/>
      <c r="AN101" s="127"/>
      <c r="AO101" s="127"/>
      <c r="AP101" s="127"/>
      <c r="AQ101" s="127"/>
      <c r="AR101" s="127"/>
      <c r="AS101" s="127"/>
      <c r="AT101" s="173"/>
      <c r="AU101" s="173"/>
      <c r="AV101" s="173"/>
      <c r="AW101" s="127"/>
      <c r="AX101" s="127"/>
      <c r="AY101" s="127"/>
      <c r="AZ101" s="127"/>
      <c r="BA101" s="127"/>
      <c r="BB101" s="127"/>
      <c r="BC101" s="127"/>
      <c r="BD101" s="127"/>
      <c r="BE101" s="127"/>
      <c r="BF101" s="127"/>
      <c r="BG101" s="127"/>
      <c r="BH101" s="175"/>
      <c r="BI101" s="127"/>
      <c r="BJ101" s="175"/>
      <c r="BK101" s="127"/>
      <c r="BL101" s="175"/>
      <c r="BM101" s="127"/>
      <c r="BN101" s="127"/>
      <c r="BO101" s="127"/>
      <c r="BP101" s="127"/>
      <c r="BQ101" s="127"/>
      <c r="BR101" s="127"/>
      <c r="BS101" s="127"/>
      <c r="BT101" s="127"/>
      <c r="BU101" s="127"/>
      <c r="BV101" s="127"/>
      <c r="BW101" s="127"/>
      <c r="BX101" s="127"/>
      <c r="BY101" s="127"/>
      <c r="BZ101" s="127"/>
      <c r="CA101" s="127"/>
      <c r="CB101" s="127"/>
      <c r="CC101" s="127"/>
      <c r="CD101" s="127"/>
      <c r="CE101" s="127"/>
      <c r="CF101" s="127"/>
      <c r="CG101" s="127"/>
      <c r="CH101" s="127"/>
      <c r="CI101" s="127"/>
      <c r="CJ101" s="127"/>
      <c r="CK101" s="127"/>
      <c r="CL101" s="174"/>
      <c r="CM101" s="127"/>
      <c r="CN101" s="173"/>
      <c r="CO101" s="127"/>
      <c r="CP101" s="127"/>
      <c r="CQ101" s="127"/>
      <c r="CR101" s="127"/>
      <c r="CS101" s="127"/>
      <c r="CT101" s="127"/>
      <c r="CU101" s="127"/>
      <c r="CV101" s="127"/>
      <c r="CW101" s="127"/>
      <c r="CX101" s="127"/>
      <c r="CY101" s="127"/>
      <c r="CZ101" s="127"/>
      <c r="DA101" s="173"/>
      <c r="DB101" s="174"/>
      <c r="DC101" s="127"/>
      <c r="DD101" s="127"/>
      <c r="DE101" s="127"/>
      <c r="DF101" s="127"/>
      <c r="DG101" s="127"/>
      <c r="DH101" s="127"/>
      <c r="DI101" s="127"/>
      <c r="DJ101" s="127"/>
      <c r="DK101" s="127"/>
      <c r="DL101" s="127"/>
      <c r="DM101" s="127"/>
      <c r="DN101" s="127"/>
      <c r="DO101" s="127"/>
      <c r="DP101" s="127"/>
      <c r="DQ101" s="173"/>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c r="EN101" s="127"/>
      <c r="EO101" s="127"/>
      <c r="EP101" s="127"/>
      <c r="EQ101" s="127"/>
      <c r="ER101" s="127"/>
      <c r="ES101" s="127"/>
      <c r="ET101" s="127"/>
      <c r="EU101" s="127"/>
      <c r="EV101" s="127"/>
      <c r="EW101" s="127"/>
      <c r="EX101" s="173"/>
      <c r="EY101" s="173"/>
      <c r="EZ101" s="173"/>
      <c r="FA101" s="173"/>
      <c r="FB101" s="173"/>
      <c r="FC101" s="173"/>
      <c r="FD101" s="173"/>
      <c r="FE101" s="173"/>
      <c r="FF101" s="173"/>
      <c r="FG101" s="173"/>
      <c r="FH101" s="127"/>
      <c r="FI101" s="127"/>
      <c r="FJ101" s="127"/>
      <c r="FK101" s="174"/>
      <c r="FL101" s="127"/>
      <c r="FM101" s="127"/>
      <c r="FN101" s="127"/>
      <c r="FO101" s="127"/>
      <c r="FP101" s="127"/>
      <c r="FQ101" s="127"/>
      <c r="FR101" s="127"/>
      <c r="FS101" s="127"/>
      <c r="FT101" s="127"/>
      <c r="FU101" s="127"/>
      <c r="FV101" s="127"/>
      <c r="FW101" s="127"/>
      <c r="FX101" s="127"/>
      <c r="FY101" s="127"/>
      <c r="FZ101" s="127"/>
      <c r="GA101" s="127"/>
      <c r="GB101" s="127"/>
      <c r="GC101" s="174"/>
      <c r="GD101" s="127"/>
      <c r="GE101" s="127"/>
      <c r="GF101" s="127"/>
      <c r="GG101" s="174"/>
      <c r="GH101" s="127"/>
      <c r="GI101" s="127"/>
      <c r="GJ101" s="127"/>
      <c r="GK101" s="174"/>
      <c r="GL101" s="127"/>
      <c r="GM101" s="127"/>
      <c r="GN101" s="127"/>
      <c r="GO101" s="127"/>
      <c r="GP101" s="127"/>
      <c r="GQ101" s="174"/>
      <c r="GR101" s="127"/>
      <c r="GS101" s="127"/>
      <c r="GT101" s="127"/>
      <c r="GU101" s="127"/>
      <c r="GV101" s="127"/>
      <c r="GW101" s="127"/>
      <c r="GX101" s="173"/>
      <c r="GY101" s="127"/>
      <c r="GZ101" s="127"/>
      <c r="HA101" s="174"/>
    </row>
    <row r="102" spans="1:209" s="58" customFormat="1" ht="18" customHeight="1">
      <c r="A102" s="127"/>
      <c r="B102" s="127"/>
      <c r="C102" s="127"/>
      <c r="D102" s="127"/>
      <c r="E102" s="127"/>
      <c r="G102" s="127"/>
      <c r="H102" s="127"/>
      <c r="I102" s="127"/>
      <c r="J102" s="127"/>
      <c r="K102" s="127"/>
      <c r="L102" s="127"/>
      <c r="M102" s="127"/>
      <c r="N102" s="127"/>
      <c r="O102" s="127"/>
      <c r="P102" s="127"/>
      <c r="Q102" s="127"/>
      <c r="R102" s="127"/>
      <c r="S102" s="127"/>
      <c r="T102" s="127"/>
      <c r="U102" s="127"/>
      <c r="V102" s="127"/>
      <c r="W102" s="127"/>
      <c r="X102" s="127"/>
      <c r="Y102" s="127"/>
      <c r="Z102" s="127"/>
      <c r="AA102" s="127"/>
      <c r="AB102" s="127"/>
      <c r="AC102" s="127"/>
      <c r="AD102" s="127"/>
      <c r="AE102" s="127"/>
      <c r="AF102" s="127"/>
      <c r="AG102" s="127"/>
      <c r="AH102" s="127"/>
      <c r="AI102" s="127"/>
      <c r="AJ102" s="127"/>
      <c r="AK102" s="127"/>
      <c r="AL102" s="127"/>
      <c r="AM102" s="127"/>
      <c r="AN102" s="127"/>
      <c r="AO102" s="127"/>
      <c r="AP102" s="127"/>
      <c r="AQ102" s="127"/>
      <c r="AR102" s="127"/>
      <c r="AS102" s="127"/>
      <c r="AT102" s="173"/>
      <c r="AU102" s="173"/>
      <c r="AV102" s="173"/>
      <c r="AW102" s="127"/>
      <c r="AX102" s="127"/>
      <c r="AY102" s="127"/>
      <c r="AZ102" s="127"/>
      <c r="BA102" s="127"/>
      <c r="BB102" s="127"/>
      <c r="BC102" s="127"/>
      <c r="BD102" s="127"/>
      <c r="BE102" s="127"/>
      <c r="BF102" s="127"/>
      <c r="BG102" s="127"/>
      <c r="BH102" s="175"/>
      <c r="BI102" s="127"/>
      <c r="BJ102" s="175"/>
      <c r="BK102" s="127"/>
      <c r="BL102" s="175"/>
      <c r="BM102" s="127"/>
      <c r="BN102" s="127"/>
      <c r="BO102" s="127"/>
      <c r="BP102" s="127"/>
      <c r="BQ102" s="127"/>
      <c r="BR102" s="127"/>
      <c r="BS102" s="127"/>
      <c r="BT102" s="127"/>
      <c r="BU102" s="127"/>
      <c r="BV102" s="127"/>
      <c r="BW102" s="127"/>
      <c r="BX102" s="127"/>
      <c r="BY102" s="127"/>
      <c r="BZ102" s="127"/>
      <c r="CA102" s="127"/>
      <c r="CB102" s="127"/>
      <c r="CC102" s="127"/>
      <c r="CD102" s="127"/>
      <c r="CE102" s="127"/>
      <c r="CF102" s="127"/>
      <c r="CG102" s="127"/>
      <c r="CH102" s="127"/>
      <c r="CI102" s="127"/>
      <c r="CJ102" s="127"/>
      <c r="CK102" s="127"/>
      <c r="CL102" s="174"/>
      <c r="CM102" s="127"/>
      <c r="CN102" s="173"/>
      <c r="CO102" s="127"/>
      <c r="CP102" s="127"/>
      <c r="CQ102" s="127"/>
      <c r="CR102" s="127"/>
      <c r="CS102" s="127"/>
      <c r="CT102" s="127"/>
      <c r="CU102" s="127"/>
      <c r="CV102" s="127"/>
      <c r="CW102" s="127"/>
      <c r="CX102" s="127"/>
      <c r="CY102" s="127"/>
      <c r="CZ102" s="127"/>
      <c r="DA102" s="173"/>
      <c r="DB102" s="174"/>
      <c r="DC102" s="127"/>
      <c r="DD102" s="127"/>
      <c r="DE102" s="127"/>
      <c r="DF102" s="127"/>
      <c r="DG102" s="127"/>
      <c r="DH102" s="127"/>
      <c r="DI102" s="127"/>
      <c r="DJ102" s="127"/>
      <c r="DK102" s="127"/>
      <c r="DL102" s="127"/>
      <c r="DM102" s="127"/>
      <c r="DN102" s="127"/>
      <c r="DO102" s="127"/>
      <c r="DP102" s="127"/>
      <c r="DQ102" s="173"/>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c r="EN102" s="127"/>
      <c r="EO102" s="127"/>
      <c r="EP102" s="127"/>
      <c r="EQ102" s="127"/>
      <c r="ER102" s="127"/>
      <c r="ES102" s="127"/>
      <c r="ET102" s="127"/>
      <c r="EU102" s="127"/>
      <c r="EV102" s="127"/>
      <c r="EW102" s="127"/>
      <c r="EX102" s="173"/>
      <c r="EY102" s="173"/>
      <c r="EZ102" s="173"/>
      <c r="FA102" s="173"/>
      <c r="FB102" s="173"/>
      <c r="FC102" s="173"/>
      <c r="FD102" s="173"/>
      <c r="FE102" s="173"/>
      <c r="FF102" s="173"/>
      <c r="FG102" s="173"/>
      <c r="FH102" s="127"/>
      <c r="FI102" s="127"/>
      <c r="FJ102" s="127"/>
      <c r="FK102" s="174"/>
      <c r="FL102" s="127"/>
      <c r="FM102" s="127"/>
      <c r="FN102" s="127"/>
      <c r="FO102" s="127"/>
      <c r="FP102" s="127"/>
      <c r="FQ102" s="127"/>
      <c r="FR102" s="127"/>
      <c r="FS102" s="127"/>
      <c r="FT102" s="127"/>
      <c r="FU102" s="127"/>
      <c r="FV102" s="127"/>
      <c r="FW102" s="127"/>
      <c r="FX102" s="127"/>
      <c r="FY102" s="127"/>
      <c r="FZ102" s="127"/>
      <c r="GA102" s="127"/>
      <c r="GB102" s="127"/>
      <c r="GC102" s="174"/>
      <c r="GD102" s="127"/>
      <c r="GE102" s="127"/>
      <c r="GF102" s="127"/>
      <c r="GG102" s="174"/>
      <c r="GH102" s="127"/>
      <c r="GI102" s="127"/>
      <c r="GJ102" s="127"/>
      <c r="GK102" s="174"/>
      <c r="GL102" s="127"/>
      <c r="GM102" s="127"/>
      <c r="GN102" s="127"/>
      <c r="GO102" s="127"/>
      <c r="GP102" s="127"/>
      <c r="GQ102" s="174"/>
      <c r="GR102" s="127"/>
      <c r="GS102" s="127"/>
      <c r="GT102" s="127"/>
      <c r="GU102" s="127"/>
      <c r="GV102" s="127"/>
      <c r="GW102" s="127"/>
      <c r="GX102" s="173"/>
      <c r="GY102" s="127"/>
      <c r="GZ102" s="127"/>
      <c r="HA102" s="174"/>
    </row>
    <row r="103" spans="1:209" s="58" customFormat="1" ht="18" customHeight="1">
      <c r="A103" s="127"/>
      <c r="B103" s="127"/>
      <c r="C103" s="127"/>
      <c r="D103" s="127"/>
      <c r="E103" s="127"/>
      <c r="G103" s="127"/>
      <c r="H103" s="127"/>
      <c r="I103" s="127"/>
      <c r="J103" s="127"/>
      <c r="K103" s="127"/>
      <c r="L103" s="127"/>
      <c r="M103" s="127"/>
      <c r="N103" s="127"/>
      <c r="O103" s="127"/>
      <c r="P103" s="127"/>
      <c r="Q103" s="127"/>
      <c r="R103" s="127"/>
      <c r="S103" s="127"/>
      <c r="T103" s="127"/>
      <c r="U103" s="127"/>
      <c r="V103" s="127"/>
      <c r="W103" s="127"/>
      <c r="X103" s="127"/>
      <c r="Y103" s="127"/>
      <c r="Z103" s="127"/>
      <c r="AA103" s="127"/>
      <c r="AB103" s="127"/>
      <c r="AC103" s="127"/>
      <c r="AD103" s="127"/>
      <c r="AE103" s="127"/>
      <c r="AF103" s="127"/>
      <c r="AG103" s="127"/>
      <c r="AH103" s="127"/>
      <c r="AI103" s="127"/>
      <c r="AJ103" s="127"/>
      <c r="AK103" s="127"/>
      <c r="AL103" s="127"/>
      <c r="AM103" s="127"/>
      <c r="AN103" s="127"/>
      <c r="AO103" s="127"/>
      <c r="AP103" s="127"/>
      <c r="AQ103" s="127"/>
      <c r="AR103" s="127"/>
      <c r="AS103" s="127"/>
      <c r="AT103" s="173"/>
      <c r="AU103" s="173"/>
      <c r="AV103" s="173"/>
      <c r="AW103" s="127"/>
      <c r="AX103" s="127"/>
      <c r="AY103" s="127"/>
      <c r="AZ103" s="127"/>
      <c r="BA103" s="127"/>
      <c r="BB103" s="127"/>
      <c r="BC103" s="127"/>
      <c r="BD103" s="127"/>
      <c r="BE103" s="127"/>
      <c r="BF103" s="127"/>
      <c r="BG103" s="127"/>
      <c r="BH103" s="175"/>
      <c r="BI103" s="127"/>
      <c r="BJ103" s="175"/>
      <c r="BK103" s="127"/>
      <c r="BL103" s="175"/>
      <c r="BM103" s="127"/>
      <c r="BN103" s="127"/>
      <c r="BO103" s="127"/>
      <c r="BP103" s="127"/>
      <c r="BQ103" s="127"/>
      <c r="BR103" s="127"/>
      <c r="BS103" s="127"/>
      <c r="BT103" s="127"/>
      <c r="BU103" s="127"/>
      <c r="BV103" s="127"/>
      <c r="BW103" s="127"/>
      <c r="BX103" s="127"/>
      <c r="BY103" s="127"/>
      <c r="BZ103" s="127"/>
      <c r="CA103" s="127"/>
      <c r="CB103" s="127"/>
      <c r="CC103" s="127"/>
      <c r="CD103" s="127"/>
      <c r="CE103" s="127"/>
      <c r="CF103" s="127"/>
      <c r="CG103" s="127"/>
      <c r="CH103" s="127"/>
      <c r="CI103" s="127"/>
      <c r="CJ103" s="127"/>
      <c r="CK103" s="127"/>
      <c r="CL103" s="174"/>
      <c r="CM103" s="127"/>
      <c r="CN103" s="173"/>
      <c r="CO103" s="127"/>
      <c r="CP103" s="127"/>
      <c r="CQ103" s="127"/>
      <c r="CR103" s="127"/>
      <c r="CS103" s="127"/>
      <c r="CT103" s="127"/>
      <c r="CU103" s="127"/>
      <c r="CV103" s="127"/>
      <c r="CW103" s="127"/>
      <c r="CX103" s="127"/>
      <c r="CY103" s="127"/>
      <c r="CZ103" s="127"/>
      <c r="DA103" s="173"/>
      <c r="DB103" s="174"/>
      <c r="DC103" s="127"/>
      <c r="DD103" s="127"/>
      <c r="DE103" s="127"/>
      <c r="DF103" s="127"/>
      <c r="DG103" s="127"/>
      <c r="DH103" s="127"/>
      <c r="DI103" s="127"/>
      <c r="DJ103" s="127"/>
      <c r="DK103" s="127"/>
      <c r="DL103" s="127"/>
      <c r="DM103" s="127"/>
      <c r="DN103" s="127"/>
      <c r="DO103" s="127"/>
      <c r="DP103" s="127"/>
      <c r="DQ103" s="173"/>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c r="EN103" s="127"/>
      <c r="EO103" s="127"/>
      <c r="EP103" s="127"/>
      <c r="EQ103" s="127"/>
      <c r="ER103" s="127"/>
      <c r="ES103" s="127"/>
      <c r="ET103" s="127"/>
      <c r="EU103" s="127"/>
      <c r="EV103" s="127"/>
      <c r="EW103" s="127"/>
      <c r="EX103" s="173"/>
      <c r="EY103" s="173"/>
      <c r="EZ103" s="173"/>
      <c r="FA103" s="173"/>
      <c r="FB103" s="173"/>
      <c r="FC103" s="173"/>
      <c r="FD103" s="173"/>
      <c r="FE103" s="173"/>
      <c r="FF103" s="173"/>
      <c r="FG103" s="173"/>
      <c r="FH103" s="127"/>
      <c r="FI103" s="127"/>
      <c r="FJ103" s="127"/>
      <c r="FK103" s="174"/>
      <c r="FL103" s="127"/>
      <c r="FM103" s="127"/>
      <c r="FN103" s="127"/>
      <c r="FO103" s="127"/>
      <c r="FP103" s="127"/>
      <c r="FQ103" s="127"/>
      <c r="FR103" s="127"/>
      <c r="FS103" s="127"/>
      <c r="FT103" s="127"/>
      <c r="FU103" s="127"/>
      <c r="FV103" s="127"/>
      <c r="FW103" s="127"/>
      <c r="FX103" s="127"/>
      <c r="FY103" s="127"/>
      <c r="FZ103" s="127"/>
      <c r="GA103" s="127"/>
      <c r="GB103" s="127"/>
      <c r="GC103" s="174"/>
      <c r="GD103" s="127"/>
      <c r="GE103" s="127"/>
      <c r="GF103" s="127"/>
      <c r="GG103" s="174"/>
      <c r="GH103" s="127"/>
      <c r="GI103" s="127"/>
      <c r="GJ103" s="127"/>
      <c r="GK103" s="174"/>
      <c r="GL103" s="127"/>
      <c r="GM103" s="127"/>
      <c r="GN103" s="127"/>
      <c r="GO103" s="127"/>
      <c r="GP103" s="127"/>
      <c r="GQ103" s="174"/>
      <c r="GR103" s="127"/>
      <c r="GS103" s="127"/>
      <c r="GT103" s="127"/>
      <c r="GU103" s="127"/>
      <c r="GV103" s="127"/>
      <c r="GW103" s="127"/>
      <c r="GX103" s="173"/>
      <c r="GY103" s="127"/>
      <c r="GZ103" s="127"/>
      <c r="HA103" s="174"/>
    </row>
    <row r="104" spans="1:209" s="58" customFormat="1" ht="18" customHeight="1">
      <c r="A104" s="127"/>
      <c r="B104" s="127"/>
      <c r="C104" s="127"/>
      <c r="D104" s="127"/>
      <c r="E104" s="127"/>
      <c r="G104" s="127"/>
      <c r="H104" s="127"/>
      <c r="I104" s="127"/>
      <c r="J104" s="127"/>
      <c r="K104" s="127"/>
      <c r="L104" s="127"/>
      <c r="M104" s="127"/>
      <c r="N104" s="127"/>
      <c r="O104" s="127"/>
      <c r="P104" s="127"/>
      <c r="Q104" s="127"/>
      <c r="R104" s="127"/>
      <c r="S104" s="127"/>
      <c r="T104" s="127"/>
      <c r="U104" s="127"/>
      <c r="V104" s="127"/>
      <c r="W104" s="127"/>
      <c r="X104" s="127"/>
      <c r="Y104" s="127"/>
      <c r="Z104" s="127"/>
      <c r="AA104" s="127"/>
      <c r="AB104" s="127"/>
      <c r="AC104" s="127"/>
      <c r="AD104" s="127"/>
      <c r="AE104" s="127"/>
      <c r="AF104" s="127"/>
      <c r="AG104" s="127"/>
      <c r="AH104" s="127"/>
      <c r="AI104" s="127"/>
      <c r="AJ104" s="127"/>
      <c r="AK104" s="127"/>
      <c r="AL104" s="127"/>
      <c r="AM104" s="127"/>
      <c r="AN104" s="127"/>
      <c r="AO104" s="127"/>
      <c r="AP104" s="127"/>
      <c r="AQ104" s="127"/>
      <c r="AR104" s="127"/>
      <c r="AS104" s="127"/>
      <c r="AT104" s="173"/>
      <c r="AU104" s="173"/>
      <c r="AV104" s="173"/>
      <c r="AW104" s="127"/>
      <c r="AX104" s="127"/>
      <c r="AY104" s="127"/>
      <c r="AZ104" s="127"/>
      <c r="BA104" s="127"/>
      <c r="BB104" s="127"/>
      <c r="BC104" s="127"/>
      <c r="BD104" s="127"/>
      <c r="BE104" s="127"/>
      <c r="BF104" s="127"/>
      <c r="BG104" s="127"/>
      <c r="BH104" s="175"/>
      <c r="BI104" s="127"/>
      <c r="BJ104" s="175"/>
      <c r="BK104" s="127"/>
      <c r="BL104" s="175"/>
      <c r="BM104" s="127"/>
      <c r="BN104" s="127"/>
      <c r="BO104" s="127"/>
      <c r="BP104" s="127"/>
      <c r="BQ104" s="127"/>
      <c r="BR104" s="127"/>
      <c r="BS104" s="127"/>
      <c r="BT104" s="127"/>
      <c r="BU104" s="127"/>
      <c r="BV104" s="127"/>
      <c r="BW104" s="127"/>
      <c r="BX104" s="127"/>
      <c r="BY104" s="127"/>
      <c r="BZ104" s="127"/>
      <c r="CA104" s="127"/>
      <c r="CB104" s="127"/>
      <c r="CC104" s="127"/>
      <c r="CD104" s="127"/>
      <c r="CE104" s="127"/>
      <c r="CF104" s="127"/>
      <c r="CG104" s="127"/>
      <c r="CH104" s="127"/>
      <c r="CI104" s="127"/>
      <c r="CJ104" s="127"/>
      <c r="CK104" s="127"/>
      <c r="CL104" s="174"/>
      <c r="CM104" s="127"/>
      <c r="CN104" s="173"/>
      <c r="CO104" s="127"/>
      <c r="CP104" s="127"/>
      <c r="CQ104" s="127"/>
      <c r="CR104" s="127"/>
      <c r="CS104" s="127"/>
      <c r="CT104" s="127"/>
      <c r="CU104" s="127"/>
      <c r="CV104" s="127"/>
      <c r="CW104" s="127"/>
      <c r="CX104" s="127"/>
      <c r="CY104" s="127"/>
      <c r="CZ104" s="127"/>
      <c r="DA104" s="173"/>
      <c r="DB104" s="174"/>
      <c r="DC104" s="127"/>
      <c r="DD104" s="127"/>
      <c r="DE104" s="127"/>
      <c r="DF104" s="127"/>
      <c r="DG104" s="127"/>
      <c r="DH104" s="127"/>
      <c r="DI104" s="127"/>
      <c r="DJ104" s="127"/>
      <c r="DK104" s="127"/>
      <c r="DL104" s="127"/>
      <c r="DM104" s="127"/>
      <c r="DN104" s="127"/>
      <c r="DO104" s="127"/>
      <c r="DP104" s="127"/>
      <c r="DQ104" s="173"/>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c r="EN104" s="127"/>
      <c r="EO104" s="127"/>
      <c r="EP104" s="127"/>
      <c r="EQ104" s="127"/>
      <c r="ER104" s="127"/>
      <c r="ES104" s="127"/>
      <c r="ET104" s="127"/>
      <c r="EU104" s="127"/>
      <c r="EV104" s="127"/>
      <c r="EW104" s="127"/>
      <c r="EX104" s="173"/>
      <c r="EY104" s="173"/>
      <c r="EZ104" s="173"/>
      <c r="FA104" s="173"/>
      <c r="FB104" s="173"/>
      <c r="FC104" s="173"/>
      <c r="FD104" s="173"/>
      <c r="FE104" s="173"/>
      <c r="FF104" s="173"/>
      <c r="FG104" s="173"/>
      <c r="FH104" s="127"/>
      <c r="FI104" s="127"/>
      <c r="FJ104" s="127"/>
      <c r="FK104" s="174"/>
      <c r="FL104" s="127"/>
      <c r="FM104" s="127"/>
      <c r="FN104" s="127"/>
      <c r="FO104" s="127"/>
      <c r="FP104" s="127"/>
      <c r="FQ104" s="127"/>
      <c r="FR104" s="127"/>
      <c r="FS104" s="127"/>
      <c r="FT104" s="127"/>
      <c r="FU104" s="127"/>
      <c r="FV104" s="127"/>
      <c r="FW104" s="127"/>
      <c r="FX104" s="127"/>
      <c r="FY104" s="127"/>
      <c r="FZ104" s="127"/>
      <c r="GA104" s="127"/>
      <c r="GB104" s="127"/>
      <c r="GC104" s="174"/>
      <c r="GD104" s="127"/>
      <c r="GE104" s="127"/>
      <c r="GF104" s="127"/>
      <c r="GG104" s="174"/>
      <c r="GH104" s="127"/>
      <c r="GI104" s="127"/>
      <c r="GJ104" s="127"/>
      <c r="GK104" s="174"/>
      <c r="GL104" s="127"/>
      <c r="GM104" s="127"/>
      <c r="GN104" s="127"/>
      <c r="GO104" s="127"/>
      <c r="GP104" s="127"/>
      <c r="GQ104" s="174"/>
      <c r="GR104" s="127"/>
      <c r="GS104" s="127"/>
      <c r="GT104" s="127"/>
      <c r="GU104" s="127"/>
      <c r="GV104" s="127"/>
      <c r="GW104" s="127"/>
      <c r="GX104" s="173"/>
      <c r="GY104" s="127"/>
      <c r="GZ104" s="127"/>
      <c r="HA104" s="174"/>
    </row>
    <row r="105" spans="1:209" s="58" customFormat="1" ht="18" customHeight="1">
      <c r="A105" s="127"/>
      <c r="B105" s="127"/>
      <c r="C105" s="127"/>
      <c r="D105" s="127"/>
      <c r="E105" s="127"/>
      <c r="G105" s="127"/>
      <c r="H105" s="127"/>
      <c r="I105" s="127"/>
      <c r="J105" s="127"/>
      <c r="K105" s="127"/>
      <c r="L105" s="127"/>
      <c r="M105" s="127"/>
      <c r="N105" s="127"/>
      <c r="O105" s="127"/>
      <c r="P105" s="127"/>
      <c r="Q105" s="127"/>
      <c r="R105" s="127"/>
      <c r="S105" s="127"/>
      <c r="T105" s="127"/>
      <c r="U105" s="127"/>
      <c r="V105" s="127"/>
      <c r="W105" s="127"/>
      <c r="X105" s="127"/>
      <c r="Y105" s="127"/>
      <c r="Z105" s="127"/>
      <c r="AA105" s="127"/>
      <c r="AB105" s="127"/>
      <c r="AC105" s="127"/>
      <c r="AD105" s="127"/>
      <c r="AE105" s="127"/>
      <c r="AF105" s="127"/>
      <c r="AG105" s="127"/>
      <c r="AH105" s="127"/>
      <c r="AI105" s="127"/>
      <c r="AJ105" s="127"/>
      <c r="AK105" s="127"/>
      <c r="AL105" s="127"/>
      <c r="AM105" s="127"/>
      <c r="AN105" s="127"/>
      <c r="AO105" s="127"/>
      <c r="AP105" s="127"/>
      <c r="AQ105" s="127"/>
      <c r="AR105" s="127"/>
      <c r="AS105" s="127"/>
      <c r="AT105" s="173"/>
      <c r="AU105" s="173"/>
      <c r="AV105" s="173"/>
      <c r="AW105" s="127"/>
      <c r="AX105" s="127"/>
      <c r="AY105" s="127"/>
      <c r="AZ105" s="127"/>
      <c r="BA105" s="127"/>
      <c r="BB105" s="127"/>
      <c r="BC105" s="127"/>
      <c r="BD105" s="127"/>
      <c r="BE105" s="127"/>
      <c r="BF105" s="127"/>
      <c r="BG105" s="127"/>
      <c r="BH105" s="175"/>
      <c r="BI105" s="127"/>
      <c r="BJ105" s="175"/>
      <c r="BK105" s="127"/>
      <c r="BL105" s="175"/>
      <c r="BM105" s="127"/>
      <c r="BN105" s="127"/>
      <c r="BO105" s="127"/>
      <c r="BP105" s="127"/>
      <c r="BQ105" s="127"/>
      <c r="BR105" s="127"/>
      <c r="BS105" s="127"/>
      <c r="BT105" s="127"/>
      <c r="BU105" s="127"/>
      <c r="BV105" s="127"/>
      <c r="BW105" s="127"/>
      <c r="BX105" s="127"/>
      <c r="BY105" s="127"/>
      <c r="BZ105" s="127"/>
      <c r="CA105" s="127"/>
      <c r="CB105" s="127"/>
      <c r="CC105" s="127"/>
      <c r="CD105" s="127"/>
      <c r="CE105" s="127"/>
      <c r="CF105" s="127"/>
      <c r="CG105" s="127"/>
      <c r="CH105" s="127"/>
      <c r="CI105" s="127"/>
      <c r="CJ105" s="127"/>
      <c r="CK105" s="127"/>
      <c r="CL105" s="174"/>
      <c r="CM105" s="127"/>
      <c r="CN105" s="173"/>
      <c r="CO105" s="127"/>
      <c r="CP105" s="127"/>
      <c r="CQ105" s="127"/>
      <c r="CR105" s="127"/>
      <c r="CS105" s="127"/>
      <c r="CT105" s="127"/>
      <c r="CU105" s="127"/>
      <c r="CV105" s="127"/>
      <c r="CW105" s="127"/>
      <c r="CX105" s="127"/>
      <c r="CY105" s="127"/>
      <c r="CZ105" s="127"/>
      <c r="DA105" s="173"/>
      <c r="DB105" s="174"/>
      <c r="DC105" s="127"/>
      <c r="DD105" s="127"/>
      <c r="DE105" s="127"/>
      <c r="DF105" s="127"/>
      <c r="DG105" s="127"/>
      <c r="DH105" s="127"/>
      <c r="DI105" s="127"/>
      <c r="DJ105" s="127"/>
      <c r="DK105" s="127"/>
      <c r="DL105" s="127"/>
      <c r="DM105" s="127"/>
      <c r="DN105" s="127"/>
      <c r="DO105" s="127"/>
      <c r="DP105" s="127"/>
      <c r="DQ105" s="173"/>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c r="EN105" s="127"/>
      <c r="EO105" s="127"/>
      <c r="EP105" s="127"/>
      <c r="EQ105" s="127"/>
      <c r="ER105" s="127"/>
      <c r="ES105" s="127"/>
      <c r="ET105" s="127"/>
      <c r="EU105" s="127"/>
      <c r="EV105" s="127"/>
      <c r="EW105" s="127"/>
      <c r="EX105" s="173"/>
      <c r="EY105" s="173"/>
      <c r="EZ105" s="173"/>
      <c r="FA105" s="173"/>
      <c r="FB105" s="173"/>
      <c r="FC105" s="173"/>
      <c r="FD105" s="173"/>
      <c r="FE105" s="173"/>
      <c r="FF105" s="173"/>
      <c r="FG105" s="173"/>
      <c r="FH105" s="127"/>
      <c r="FI105" s="127"/>
      <c r="FJ105" s="127"/>
      <c r="FK105" s="174"/>
      <c r="FL105" s="127"/>
      <c r="FM105" s="127"/>
      <c r="FN105" s="127"/>
      <c r="FO105" s="127"/>
      <c r="FP105" s="127"/>
      <c r="FQ105" s="127"/>
      <c r="FR105" s="127"/>
      <c r="FS105" s="127"/>
      <c r="FT105" s="127"/>
      <c r="FU105" s="127"/>
      <c r="FV105" s="127"/>
      <c r="FW105" s="127"/>
      <c r="FX105" s="127"/>
      <c r="FY105" s="127"/>
      <c r="FZ105" s="127"/>
      <c r="GA105" s="127"/>
      <c r="GB105" s="127"/>
      <c r="GC105" s="174"/>
      <c r="GD105" s="127"/>
      <c r="GE105" s="127"/>
      <c r="GF105" s="127"/>
      <c r="GG105" s="174"/>
      <c r="GH105" s="127"/>
      <c r="GI105" s="127"/>
      <c r="GJ105" s="127"/>
      <c r="GK105" s="174"/>
      <c r="GL105" s="127"/>
      <c r="GM105" s="127"/>
      <c r="GN105" s="127"/>
      <c r="GO105" s="127"/>
      <c r="GP105" s="127"/>
      <c r="GQ105" s="174"/>
      <c r="GR105" s="127"/>
      <c r="GS105" s="127"/>
      <c r="GT105" s="127"/>
      <c r="GU105" s="127"/>
      <c r="GV105" s="127"/>
      <c r="GW105" s="127"/>
      <c r="GX105" s="173"/>
      <c r="GY105" s="127"/>
      <c r="GZ105" s="127"/>
      <c r="HA105" s="174"/>
    </row>
    <row r="106" spans="1:209" s="58" customFormat="1" ht="18" customHeight="1">
      <c r="A106" s="127"/>
      <c r="B106" s="127"/>
      <c r="C106" s="127"/>
      <c r="D106" s="127"/>
      <c r="E106" s="127"/>
      <c r="G106" s="127"/>
      <c r="H106" s="127"/>
      <c r="I106" s="127"/>
      <c r="J106" s="127"/>
      <c r="K106" s="127"/>
      <c r="L106" s="127"/>
      <c r="M106" s="127"/>
      <c r="N106" s="127"/>
      <c r="O106" s="127"/>
      <c r="P106" s="127"/>
      <c r="Q106" s="127"/>
      <c r="R106" s="127"/>
      <c r="S106" s="127"/>
      <c r="T106" s="127"/>
      <c r="U106" s="127"/>
      <c r="V106" s="127"/>
      <c r="W106" s="127"/>
      <c r="X106" s="127"/>
      <c r="Y106" s="127"/>
      <c r="Z106" s="127"/>
      <c r="AA106" s="127"/>
      <c r="AB106" s="127"/>
      <c r="AC106" s="127"/>
      <c r="AD106" s="127"/>
      <c r="AE106" s="127"/>
      <c r="AF106" s="127"/>
      <c r="AG106" s="127"/>
      <c r="AH106" s="127"/>
      <c r="AI106" s="127"/>
      <c r="AJ106" s="127"/>
      <c r="AK106" s="127"/>
      <c r="AL106" s="127"/>
      <c r="AM106" s="127"/>
      <c r="AN106" s="127"/>
      <c r="AO106" s="127"/>
      <c r="AP106" s="127"/>
      <c r="AQ106" s="127"/>
      <c r="AR106" s="127"/>
      <c r="AS106" s="127"/>
      <c r="AT106" s="173"/>
      <c r="AU106" s="173"/>
      <c r="AV106" s="173"/>
      <c r="AW106" s="127"/>
      <c r="AX106" s="127"/>
      <c r="AY106" s="127"/>
      <c r="AZ106" s="127"/>
      <c r="BA106" s="127"/>
      <c r="BB106" s="127"/>
      <c r="BC106" s="127"/>
      <c r="BD106" s="127"/>
      <c r="BE106" s="127"/>
      <c r="BF106" s="127"/>
      <c r="BG106" s="127"/>
      <c r="BH106" s="175"/>
      <c r="BI106" s="127"/>
      <c r="BJ106" s="175"/>
      <c r="BK106" s="127"/>
      <c r="BL106" s="175"/>
      <c r="BM106" s="127"/>
      <c r="BN106" s="127"/>
      <c r="BO106" s="127"/>
      <c r="BP106" s="127"/>
      <c r="BQ106" s="127"/>
      <c r="BR106" s="127"/>
      <c r="BS106" s="127"/>
      <c r="BT106" s="127"/>
      <c r="BU106" s="127"/>
      <c r="BV106" s="127"/>
      <c r="BW106" s="127"/>
      <c r="BX106" s="127"/>
      <c r="BY106" s="127"/>
      <c r="BZ106" s="127"/>
      <c r="CA106" s="127"/>
      <c r="CB106" s="127"/>
      <c r="CC106" s="127"/>
      <c r="CD106" s="127"/>
      <c r="CE106" s="127"/>
      <c r="CF106" s="127"/>
      <c r="CG106" s="127"/>
      <c r="CH106" s="127"/>
      <c r="CI106" s="127"/>
      <c r="CJ106" s="127"/>
      <c r="CK106" s="127"/>
      <c r="CL106" s="174"/>
      <c r="CM106" s="127"/>
      <c r="CN106" s="173"/>
      <c r="CO106" s="127"/>
      <c r="CP106" s="127"/>
      <c r="CQ106" s="127"/>
      <c r="CR106" s="127"/>
      <c r="CS106" s="127"/>
      <c r="CT106" s="127"/>
      <c r="CU106" s="127"/>
      <c r="CV106" s="127"/>
      <c r="CW106" s="127"/>
      <c r="CX106" s="127"/>
      <c r="CY106" s="127"/>
      <c r="CZ106" s="127"/>
      <c r="DA106" s="173"/>
      <c r="DB106" s="174"/>
      <c r="DC106" s="127"/>
      <c r="DD106" s="127"/>
      <c r="DE106" s="127"/>
      <c r="DF106" s="127"/>
      <c r="DG106" s="127"/>
      <c r="DH106" s="127"/>
      <c r="DI106" s="127"/>
      <c r="DJ106" s="127"/>
      <c r="DK106" s="127"/>
      <c r="DL106" s="127"/>
      <c r="DM106" s="127"/>
      <c r="DN106" s="127"/>
      <c r="DO106" s="127"/>
      <c r="DP106" s="127"/>
      <c r="DQ106" s="173"/>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c r="EN106" s="127"/>
      <c r="EO106" s="127"/>
      <c r="EP106" s="127"/>
      <c r="EQ106" s="127"/>
      <c r="ER106" s="127"/>
      <c r="ES106" s="127"/>
      <c r="ET106" s="127"/>
      <c r="EU106" s="127"/>
      <c r="EV106" s="127"/>
      <c r="EW106" s="127"/>
      <c r="EX106" s="173"/>
      <c r="EY106" s="173"/>
      <c r="EZ106" s="173"/>
      <c r="FA106" s="173"/>
      <c r="FB106" s="173"/>
      <c r="FC106" s="173"/>
      <c r="FD106" s="173"/>
      <c r="FE106" s="173"/>
      <c r="FF106" s="173"/>
      <c r="FG106" s="173"/>
      <c r="FH106" s="127"/>
      <c r="FI106" s="127"/>
      <c r="FJ106" s="127"/>
      <c r="FK106" s="174"/>
      <c r="FL106" s="127"/>
      <c r="FM106" s="127"/>
      <c r="FN106" s="127"/>
      <c r="FO106" s="127"/>
      <c r="FP106" s="127"/>
      <c r="FQ106" s="127"/>
      <c r="FR106" s="127"/>
      <c r="FS106" s="127"/>
      <c r="FT106" s="127"/>
      <c r="FU106" s="127"/>
      <c r="FV106" s="127"/>
      <c r="FW106" s="127"/>
      <c r="FX106" s="127"/>
      <c r="FY106" s="127"/>
      <c r="FZ106" s="127"/>
      <c r="GA106" s="127"/>
      <c r="GB106" s="127"/>
      <c r="GC106" s="174"/>
      <c r="GD106" s="127"/>
      <c r="GE106" s="127"/>
      <c r="GF106" s="127"/>
      <c r="GG106" s="174"/>
      <c r="GH106" s="127"/>
      <c r="GI106" s="127"/>
      <c r="GJ106" s="127"/>
      <c r="GK106" s="174"/>
      <c r="GL106" s="127"/>
      <c r="GM106" s="127"/>
      <c r="GN106" s="127"/>
      <c r="GO106" s="127"/>
      <c r="GP106" s="127"/>
      <c r="GQ106" s="174"/>
      <c r="GR106" s="127"/>
      <c r="GS106" s="127"/>
      <c r="GT106" s="127"/>
      <c r="GU106" s="127"/>
      <c r="GV106" s="127"/>
      <c r="GW106" s="127"/>
      <c r="GX106" s="173"/>
      <c r="GY106" s="127"/>
      <c r="GZ106" s="127"/>
      <c r="HA106" s="174"/>
    </row>
    <row r="107" spans="1:209" s="58" customFormat="1" ht="18" customHeight="1">
      <c r="A107" s="127"/>
      <c r="B107" s="127"/>
      <c r="C107" s="127"/>
      <c r="D107" s="127"/>
      <c r="E107" s="127"/>
      <c r="G107" s="127"/>
      <c r="H107" s="127"/>
      <c r="I107" s="127"/>
      <c r="J107" s="127"/>
      <c r="K107" s="127"/>
      <c r="L107" s="127"/>
      <c r="M107" s="127"/>
      <c r="N107" s="127"/>
      <c r="O107" s="127"/>
      <c r="P107" s="127"/>
      <c r="Q107" s="127"/>
      <c r="R107" s="127"/>
      <c r="S107" s="127"/>
      <c r="T107" s="127"/>
      <c r="U107" s="127"/>
      <c r="V107" s="127"/>
      <c r="W107" s="127"/>
      <c r="X107" s="127"/>
      <c r="Y107" s="127"/>
      <c r="Z107" s="127"/>
      <c r="AA107" s="127"/>
      <c r="AB107" s="127"/>
      <c r="AC107" s="127"/>
      <c r="AD107" s="127"/>
      <c r="AE107" s="127"/>
      <c r="AF107" s="127"/>
      <c r="AG107" s="127"/>
      <c r="AH107" s="127"/>
      <c r="AI107" s="127"/>
      <c r="AJ107" s="127"/>
      <c r="AK107" s="127"/>
      <c r="AL107" s="127"/>
      <c r="AM107" s="127"/>
      <c r="AN107" s="127"/>
      <c r="AO107" s="127"/>
      <c r="AP107" s="127"/>
      <c r="AQ107" s="127"/>
      <c r="AR107" s="127"/>
      <c r="AS107" s="127"/>
      <c r="AT107" s="173"/>
      <c r="AU107" s="173"/>
      <c r="AV107" s="173"/>
      <c r="AW107" s="127"/>
      <c r="AX107" s="127"/>
      <c r="AY107" s="127"/>
      <c r="AZ107" s="127"/>
      <c r="BA107" s="127"/>
      <c r="BB107" s="127"/>
      <c r="BC107" s="127"/>
      <c r="BD107" s="127"/>
      <c r="BE107" s="127"/>
      <c r="BF107" s="127"/>
      <c r="BG107" s="127"/>
      <c r="BH107" s="175"/>
      <c r="BI107" s="127"/>
      <c r="BJ107" s="175"/>
      <c r="BK107" s="127"/>
      <c r="BL107" s="175"/>
      <c r="BM107" s="127"/>
      <c r="BN107" s="127"/>
      <c r="BO107" s="127"/>
      <c r="BP107" s="127"/>
      <c r="BQ107" s="127"/>
      <c r="BR107" s="127"/>
      <c r="BS107" s="127"/>
      <c r="BT107" s="127"/>
      <c r="BU107" s="127"/>
      <c r="BV107" s="127"/>
      <c r="BW107" s="127"/>
      <c r="BX107" s="127"/>
      <c r="BY107" s="127"/>
      <c r="BZ107" s="127"/>
      <c r="CA107" s="127"/>
      <c r="CB107" s="127"/>
      <c r="CC107" s="127"/>
      <c r="CD107" s="127"/>
      <c r="CE107" s="127"/>
      <c r="CF107" s="127"/>
      <c r="CG107" s="127"/>
      <c r="CH107" s="127"/>
      <c r="CI107" s="127"/>
      <c r="CJ107" s="127"/>
      <c r="CK107" s="127"/>
      <c r="CL107" s="174"/>
      <c r="CM107" s="127"/>
      <c r="CN107" s="173"/>
      <c r="CO107" s="127"/>
      <c r="CP107" s="127"/>
      <c r="CQ107" s="127"/>
      <c r="CR107" s="127"/>
      <c r="CS107" s="127"/>
      <c r="CT107" s="127"/>
      <c r="CU107" s="127"/>
      <c r="CV107" s="127"/>
      <c r="CW107" s="127"/>
      <c r="CX107" s="127"/>
      <c r="CY107" s="127"/>
      <c r="CZ107" s="127"/>
      <c r="DA107" s="173"/>
      <c r="DB107" s="174"/>
      <c r="DC107" s="127"/>
      <c r="DD107" s="127"/>
      <c r="DE107" s="127"/>
      <c r="DF107" s="127"/>
      <c r="DG107" s="127"/>
      <c r="DH107" s="127"/>
      <c r="DI107" s="127"/>
      <c r="DJ107" s="127"/>
      <c r="DK107" s="127"/>
      <c r="DL107" s="127"/>
      <c r="DM107" s="127"/>
      <c r="DN107" s="127"/>
      <c r="DO107" s="127"/>
      <c r="DP107" s="127"/>
      <c r="DQ107" s="173"/>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c r="EN107" s="127"/>
      <c r="EO107" s="127"/>
      <c r="EP107" s="127"/>
      <c r="EQ107" s="127"/>
      <c r="ER107" s="127"/>
      <c r="ES107" s="127"/>
      <c r="ET107" s="127"/>
      <c r="EU107" s="127"/>
      <c r="EV107" s="127"/>
      <c r="EW107" s="127"/>
      <c r="EX107" s="173"/>
      <c r="EY107" s="173"/>
      <c r="EZ107" s="173"/>
      <c r="FA107" s="173"/>
      <c r="FB107" s="173"/>
      <c r="FC107" s="173"/>
      <c r="FD107" s="173"/>
      <c r="FE107" s="173"/>
      <c r="FF107" s="173"/>
      <c r="FG107" s="173"/>
      <c r="FH107" s="127"/>
      <c r="FI107" s="127"/>
      <c r="FJ107" s="127"/>
      <c r="FK107" s="174"/>
      <c r="FL107" s="127"/>
      <c r="FM107" s="127"/>
      <c r="FN107" s="127"/>
      <c r="FO107" s="127"/>
      <c r="FP107" s="127"/>
      <c r="FQ107" s="127"/>
      <c r="FR107" s="127"/>
      <c r="FS107" s="127"/>
      <c r="FT107" s="127"/>
      <c r="FU107" s="127"/>
      <c r="FV107" s="127"/>
      <c r="FW107" s="127"/>
      <c r="FX107" s="127"/>
      <c r="FY107" s="127"/>
      <c r="FZ107" s="127"/>
      <c r="GA107" s="127"/>
      <c r="GB107" s="127"/>
      <c r="GC107" s="174"/>
      <c r="GD107" s="127"/>
      <c r="GE107" s="127"/>
      <c r="GF107" s="127"/>
      <c r="GG107" s="174"/>
      <c r="GH107" s="127"/>
      <c r="GI107" s="127"/>
      <c r="GJ107" s="127"/>
      <c r="GK107" s="174"/>
      <c r="GL107" s="127"/>
      <c r="GM107" s="127"/>
      <c r="GN107" s="127"/>
      <c r="GO107" s="127"/>
      <c r="GP107" s="127"/>
      <c r="GQ107" s="174"/>
      <c r="GR107" s="127"/>
      <c r="GS107" s="127"/>
      <c r="GT107" s="127"/>
      <c r="GU107" s="127"/>
      <c r="GV107" s="127"/>
      <c r="GW107" s="127"/>
      <c r="GX107" s="173"/>
      <c r="GY107" s="127"/>
      <c r="GZ107" s="127"/>
      <c r="HA107" s="174"/>
    </row>
    <row r="108" spans="1:209" s="58" customFormat="1" ht="18" customHeight="1">
      <c r="A108" s="127"/>
      <c r="B108" s="127"/>
      <c r="C108" s="127"/>
      <c r="D108" s="127"/>
      <c r="E108" s="127"/>
      <c r="G108" s="127"/>
      <c r="H108" s="127"/>
      <c r="I108" s="127"/>
      <c r="J108" s="127"/>
      <c r="K108" s="127"/>
      <c r="L108" s="127"/>
      <c r="M108" s="127"/>
      <c r="N108" s="127"/>
      <c r="O108" s="127"/>
      <c r="P108" s="127"/>
      <c r="Q108" s="127"/>
      <c r="R108" s="127"/>
      <c r="S108" s="127"/>
      <c r="T108" s="127"/>
      <c r="U108" s="127"/>
      <c r="V108" s="127"/>
      <c r="W108" s="127"/>
      <c r="X108" s="127"/>
      <c r="Y108" s="127"/>
      <c r="Z108" s="127"/>
      <c r="AA108" s="127"/>
      <c r="AB108" s="127"/>
      <c r="AC108" s="127"/>
      <c r="AD108" s="127"/>
      <c r="AE108" s="127"/>
      <c r="AF108" s="127"/>
      <c r="AG108" s="127"/>
      <c r="AH108" s="127"/>
      <c r="AI108" s="127"/>
      <c r="AJ108" s="127"/>
      <c r="AK108" s="127"/>
      <c r="AL108" s="127"/>
      <c r="AM108" s="127"/>
      <c r="AN108" s="127"/>
      <c r="AO108" s="127"/>
      <c r="AP108" s="127"/>
      <c r="AQ108" s="127"/>
      <c r="AR108" s="127"/>
      <c r="AS108" s="127"/>
      <c r="AT108" s="173"/>
      <c r="AU108" s="173"/>
      <c r="AV108" s="173"/>
      <c r="AW108" s="127"/>
      <c r="AX108" s="127"/>
      <c r="AY108" s="127"/>
      <c r="AZ108" s="127"/>
      <c r="BA108" s="127"/>
      <c r="BB108" s="127"/>
      <c r="BC108" s="127"/>
      <c r="BD108" s="127"/>
      <c r="BE108" s="127"/>
      <c r="BF108" s="127"/>
      <c r="BG108" s="127"/>
      <c r="BH108" s="175"/>
      <c r="BI108" s="127"/>
      <c r="BJ108" s="175"/>
      <c r="BK108" s="127"/>
      <c r="BL108" s="175"/>
      <c r="BM108" s="127"/>
      <c r="BN108" s="127"/>
      <c r="BO108" s="127"/>
      <c r="BP108" s="127"/>
      <c r="BQ108" s="127"/>
      <c r="BR108" s="127"/>
      <c r="BS108" s="127"/>
      <c r="BT108" s="127"/>
      <c r="BU108" s="127"/>
      <c r="BV108" s="127"/>
      <c r="BW108" s="127"/>
      <c r="BX108" s="127"/>
      <c r="BY108" s="127"/>
      <c r="BZ108" s="127"/>
      <c r="CA108" s="127"/>
      <c r="CB108" s="127"/>
      <c r="CC108" s="127"/>
      <c r="CD108" s="127"/>
      <c r="CE108" s="127"/>
      <c r="CF108" s="127"/>
      <c r="CG108" s="127"/>
      <c r="CH108" s="127"/>
      <c r="CI108" s="127"/>
      <c r="CJ108" s="127"/>
      <c r="CK108" s="127"/>
      <c r="CL108" s="174"/>
      <c r="CM108" s="127"/>
      <c r="CN108" s="173"/>
      <c r="CO108" s="127"/>
      <c r="CP108" s="127"/>
      <c r="CQ108" s="127"/>
      <c r="CR108" s="127"/>
      <c r="CS108" s="127"/>
      <c r="CT108" s="127"/>
      <c r="CU108" s="127"/>
      <c r="CV108" s="127"/>
      <c r="CW108" s="127"/>
      <c r="CX108" s="127"/>
      <c r="CY108" s="127"/>
      <c r="CZ108" s="127"/>
      <c r="DA108" s="173"/>
      <c r="DB108" s="174"/>
      <c r="DC108" s="127"/>
      <c r="DD108" s="127"/>
      <c r="DE108" s="127"/>
      <c r="DF108" s="127"/>
      <c r="DG108" s="127"/>
      <c r="DH108" s="127"/>
      <c r="DI108" s="127"/>
      <c r="DJ108" s="127"/>
      <c r="DK108" s="127"/>
      <c r="DL108" s="127"/>
      <c r="DM108" s="127"/>
      <c r="DN108" s="127"/>
      <c r="DO108" s="127"/>
      <c r="DP108" s="127"/>
      <c r="DQ108" s="173"/>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c r="EN108" s="127"/>
      <c r="EO108" s="127"/>
      <c r="EP108" s="127"/>
      <c r="EQ108" s="127"/>
      <c r="ER108" s="127"/>
      <c r="ES108" s="127"/>
      <c r="ET108" s="127"/>
      <c r="EU108" s="127"/>
      <c r="EV108" s="127"/>
      <c r="EW108" s="127"/>
      <c r="EX108" s="173"/>
      <c r="EY108" s="173"/>
      <c r="EZ108" s="173"/>
      <c r="FA108" s="173"/>
      <c r="FB108" s="173"/>
      <c r="FC108" s="173"/>
      <c r="FD108" s="173"/>
      <c r="FE108" s="173"/>
      <c r="FF108" s="173"/>
      <c r="FG108" s="173"/>
      <c r="FH108" s="127"/>
      <c r="FI108" s="127"/>
      <c r="FJ108" s="127"/>
      <c r="FK108" s="174"/>
      <c r="FL108" s="127"/>
      <c r="FM108" s="127"/>
      <c r="FN108" s="127"/>
      <c r="FO108" s="127"/>
      <c r="FP108" s="127"/>
      <c r="FQ108" s="127"/>
      <c r="FR108" s="127"/>
      <c r="FS108" s="127"/>
      <c r="FT108" s="127"/>
      <c r="FU108" s="127"/>
      <c r="FV108" s="127"/>
      <c r="FW108" s="127"/>
      <c r="FX108" s="127"/>
      <c r="FY108" s="127"/>
      <c r="FZ108" s="127"/>
      <c r="GA108" s="127"/>
      <c r="GB108" s="127"/>
      <c r="GC108" s="174"/>
      <c r="GD108" s="127"/>
      <c r="GE108" s="127"/>
      <c r="GF108" s="127"/>
      <c r="GG108" s="174"/>
      <c r="GH108" s="127"/>
      <c r="GI108" s="127"/>
      <c r="GJ108" s="127"/>
      <c r="GK108" s="174"/>
      <c r="GL108" s="127"/>
      <c r="GM108" s="127"/>
      <c r="GN108" s="127"/>
      <c r="GO108" s="127"/>
      <c r="GP108" s="127"/>
      <c r="GQ108" s="174"/>
      <c r="GR108" s="127"/>
      <c r="GS108" s="127"/>
      <c r="GT108" s="127"/>
      <c r="GU108" s="127"/>
      <c r="GV108" s="127"/>
      <c r="GW108" s="127"/>
      <c r="GX108" s="173"/>
      <c r="GY108" s="127"/>
      <c r="GZ108" s="127"/>
      <c r="HA108" s="174"/>
    </row>
    <row r="109" spans="1:209" s="58" customFormat="1" ht="18" customHeight="1">
      <c r="A109" s="127"/>
      <c r="B109" s="127"/>
      <c r="C109" s="127"/>
      <c r="D109" s="127"/>
      <c r="E109" s="127"/>
      <c r="G109" s="127"/>
      <c r="H109" s="127"/>
      <c r="I109" s="127"/>
      <c r="J109" s="127"/>
      <c r="K109" s="127"/>
      <c r="L109" s="127"/>
      <c r="M109" s="127"/>
      <c r="N109" s="127"/>
      <c r="O109" s="127"/>
      <c r="P109" s="127"/>
      <c r="Q109" s="127"/>
      <c r="R109" s="127"/>
      <c r="S109" s="127"/>
      <c r="T109" s="127"/>
      <c r="U109" s="127"/>
      <c r="V109" s="127"/>
      <c r="W109" s="127"/>
      <c r="X109" s="127"/>
      <c r="Y109" s="127"/>
      <c r="Z109" s="127"/>
      <c r="AA109" s="127"/>
      <c r="AB109" s="127"/>
      <c r="AC109" s="127"/>
      <c r="AD109" s="127"/>
      <c r="AE109" s="127"/>
      <c r="AF109" s="127"/>
      <c r="AG109" s="127"/>
      <c r="AH109" s="127"/>
      <c r="AI109" s="127"/>
      <c r="AJ109" s="127"/>
      <c r="AK109" s="127"/>
      <c r="AL109" s="127"/>
      <c r="AM109" s="127"/>
      <c r="AN109" s="127"/>
      <c r="AO109" s="127"/>
      <c r="AP109" s="127"/>
      <c r="AQ109" s="127"/>
      <c r="AR109" s="127"/>
      <c r="AS109" s="127"/>
      <c r="AT109" s="173"/>
      <c r="AU109" s="173"/>
      <c r="AV109" s="173"/>
      <c r="AW109" s="127"/>
      <c r="AX109" s="127"/>
      <c r="AY109" s="127"/>
      <c r="AZ109" s="127"/>
      <c r="BA109" s="127"/>
      <c r="BB109" s="127"/>
      <c r="BC109" s="127"/>
      <c r="BD109" s="127"/>
      <c r="BE109" s="127"/>
      <c r="BF109" s="127"/>
      <c r="BG109" s="127"/>
      <c r="BH109" s="175"/>
      <c r="BI109" s="127"/>
      <c r="BJ109" s="175"/>
      <c r="BK109" s="127"/>
      <c r="BL109" s="175"/>
      <c r="BM109" s="127"/>
      <c r="BN109" s="127"/>
      <c r="BO109" s="127"/>
      <c r="BP109" s="127"/>
      <c r="BQ109" s="127"/>
      <c r="BR109" s="127"/>
      <c r="BS109" s="127"/>
      <c r="BT109" s="127"/>
      <c r="BU109" s="127"/>
      <c r="BV109" s="127"/>
      <c r="BW109" s="127"/>
      <c r="BX109" s="127"/>
      <c r="BY109" s="127"/>
      <c r="BZ109" s="127"/>
      <c r="CA109" s="127"/>
      <c r="CB109" s="127"/>
      <c r="CC109" s="127"/>
      <c r="CD109" s="127"/>
      <c r="CE109" s="127"/>
      <c r="CF109" s="127"/>
      <c r="CG109" s="127"/>
      <c r="CH109" s="127"/>
      <c r="CI109" s="127"/>
      <c r="CJ109" s="127"/>
      <c r="CK109" s="127"/>
      <c r="CL109" s="174"/>
      <c r="CM109" s="127"/>
      <c r="CN109" s="173"/>
      <c r="CO109" s="127"/>
      <c r="CP109" s="127"/>
      <c r="CQ109" s="127"/>
      <c r="CR109" s="127"/>
      <c r="CS109" s="127"/>
      <c r="CT109" s="127"/>
      <c r="CU109" s="127"/>
      <c r="CV109" s="127"/>
      <c r="CW109" s="127"/>
      <c r="CX109" s="127"/>
      <c r="CY109" s="127"/>
      <c r="CZ109" s="127"/>
      <c r="DA109" s="173"/>
      <c r="DB109" s="174"/>
      <c r="DC109" s="127"/>
      <c r="DD109" s="127"/>
      <c r="DE109" s="127"/>
      <c r="DF109" s="127"/>
      <c r="DG109" s="127"/>
      <c r="DH109" s="127"/>
      <c r="DI109" s="127"/>
      <c r="DJ109" s="127"/>
      <c r="DK109" s="127"/>
      <c r="DL109" s="127"/>
      <c r="DM109" s="127"/>
      <c r="DN109" s="127"/>
      <c r="DO109" s="127"/>
      <c r="DP109" s="127"/>
      <c r="DQ109" s="173"/>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c r="EN109" s="127"/>
      <c r="EO109" s="127"/>
      <c r="EP109" s="127"/>
      <c r="EQ109" s="127"/>
      <c r="ER109" s="127"/>
      <c r="ES109" s="127"/>
      <c r="ET109" s="127"/>
      <c r="EU109" s="127"/>
      <c r="EV109" s="127"/>
      <c r="EW109" s="127"/>
      <c r="EX109" s="173"/>
      <c r="EY109" s="173"/>
      <c r="EZ109" s="173"/>
      <c r="FA109" s="173"/>
      <c r="FB109" s="173"/>
      <c r="FC109" s="173"/>
      <c r="FD109" s="173"/>
      <c r="FE109" s="173"/>
      <c r="FF109" s="173"/>
      <c r="FG109" s="173"/>
      <c r="FH109" s="127"/>
      <c r="FI109" s="127"/>
      <c r="FJ109" s="127"/>
      <c r="FK109" s="174"/>
      <c r="FL109" s="127"/>
      <c r="FM109" s="127"/>
      <c r="FN109" s="127"/>
      <c r="FO109" s="127"/>
      <c r="FP109" s="127"/>
      <c r="FQ109" s="127"/>
      <c r="FR109" s="127"/>
      <c r="FS109" s="127"/>
      <c r="FT109" s="127"/>
      <c r="FU109" s="127"/>
      <c r="FV109" s="127"/>
      <c r="FW109" s="127"/>
      <c r="FX109" s="127"/>
      <c r="FY109" s="127"/>
      <c r="FZ109" s="127"/>
      <c r="GA109" s="127"/>
      <c r="GB109" s="127"/>
      <c r="GC109" s="174"/>
      <c r="GD109" s="127"/>
      <c r="GE109" s="127"/>
      <c r="GF109" s="127"/>
      <c r="GG109" s="174"/>
      <c r="GH109" s="127"/>
      <c r="GI109" s="127"/>
      <c r="GJ109" s="127"/>
      <c r="GK109" s="174"/>
      <c r="GL109" s="127"/>
      <c r="GM109" s="127"/>
      <c r="GN109" s="127"/>
      <c r="GO109" s="127"/>
      <c r="GP109" s="127"/>
      <c r="GQ109" s="174"/>
      <c r="GR109" s="127"/>
      <c r="GS109" s="127"/>
      <c r="GT109" s="127"/>
      <c r="GU109" s="127"/>
      <c r="GV109" s="127"/>
      <c r="GW109" s="127"/>
      <c r="GX109" s="173"/>
      <c r="GY109" s="127"/>
      <c r="GZ109" s="127"/>
      <c r="HA109" s="174"/>
    </row>
    <row r="110" spans="1:209" s="58" customFormat="1" ht="18" customHeight="1">
      <c r="A110" s="127"/>
      <c r="B110" s="127"/>
      <c r="C110" s="127"/>
      <c r="D110" s="127"/>
      <c r="E110" s="127"/>
      <c r="G110" s="127"/>
      <c r="H110" s="127"/>
      <c r="I110" s="127"/>
      <c r="J110" s="127"/>
      <c r="K110" s="127"/>
      <c r="L110" s="127"/>
      <c r="M110" s="127"/>
      <c r="N110" s="127"/>
      <c r="O110" s="127"/>
      <c r="P110" s="127"/>
      <c r="Q110" s="127"/>
      <c r="R110" s="127"/>
      <c r="S110" s="127"/>
      <c r="T110" s="127"/>
      <c r="U110" s="127"/>
      <c r="V110" s="127"/>
      <c r="W110" s="127"/>
      <c r="X110" s="127"/>
      <c r="Y110" s="127"/>
      <c r="Z110" s="127"/>
      <c r="AA110" s="127"/>
      <c r="AB110" s="127"/>
      <c r="AC110" s="127"/>
      <c r="AD110" s="127"/>
      <c r="AE110" s="127"/>
      <c r="AF110" s="127"/>
      <c r="AG110" s="127"/>
      <c r="AH110" s="127"/>
      <c r="AI110" s="127"/>
      <c r="AJ110" s="127"/>
      <c r="AK110" s="127"/>
      <c r="AL110" s="127"/>
      <c r="AM110" s="127"/>
      <c r="AN110" s="127"/>
      <c r="AO110" s="127"/>
      <c r="AP110" s="127"/>
      <c r="AQ110" s="127"/>
      <c r="AR110" s="127"/>
      <c r="AS110" s="127"/>
      <c r="AT110" s="173"/>
      <c r="AU110" s="173"/>
      <c r="AV110" s="173"/>
      <c r="AW110" s="127"/>
      <c r="AX110" s="127"/>
      <c r="AY110" s="127"/>
      <c r="AZ110" s="127"/>
      <c r="BA110" s="127"/>
      <c r="BB110" s="127"/>
      <c r="BC110" s="127"/>
      <c r="BD110" s="127"/>
      <c r="BE110" s="127"/>
      <c r="BF110" s="127"/>
      <c r="BG110" s="127"/>
      <c r="BH110" s="175"/>
      <c r="BI110" s="127"/>
      <c r="BJ110" s="175"/>
      <c r="BK110" s="127"/>
      <c r="BL110" s="175"/>
      <c r="BM110" s="127"/>
      <c r="BN110" s="127"/>
      <c r="BO110" s="127"/>
      <c r="BP110" s="127"/>
      <c r="BQ110" s="127"/>
      <c r="BR110" s="127"/>
      <c r="BS110" s="127"/>
      <c r="BT110" s="127"/>
      <c r="BU110" s="127"/>
      <c r="BV110" s="127"/>
      <c r="BW110" s="127"/>
      <c r="BX110" s="127"/>
      <c r="BY110" s="127"/>
      <c r="BZ110" s="127"/>
      <c r="CA110" s="127"/>
      <c r="CB110" s="127"/>
      <c r="CC110" s="127"/>
      <c r="CD110" s="127"/>
      <c r="CE110" s="127"/>
      <c r="CF110" s="127"/>
      <c r="CG110" s="127"/>
      <c r="CH110" s="127"/>
      <c r="CI110" s="127"/>
      <c r="CJ110" s="127"/>
      <c r="CK110" s="127"/>
      <c r="CL110" s="174"/>
      <c r="CM110" s="127"/>
      <c r="CN110" s="173"/>
      <c r="CO110" s="127"/>
      <c r="CP110" s="127"/>
      <c r="CQ110" s="127"/>
      <c r="CR110" s="127"/>
      <c r="CS110" s="127"/>
      <c r="CT110" s="127"/>
      <c r="CU110" s="127"/>
      <c r="CV110" s="127"/>
      <c r="CW110" s="127"/>
      <c r="CX110" s="127"/>
      <c r="CY110" s="127"/>
      <c r="CZ110" s="127"/>
      <c r="DA110" s="173"/>
      <c r="DB110" s="174"/>
      <c r="DC110" s="127"/>
      <c r="DD110" s="127"/>
      <c r="DE110" s="127"/>
      <c r="DF110" s="127"/>
      <c r="DG110" s="127"/>
      <c r="DH110" s="127"/>
      <c r="DI110" s="127"/>
      <c r="DJ110" s="127"/>
      <c r="DK110" s="127"/>
      <c r="DL110" s="127"/>
      <c r="DM110" s="127"/>
      <c r="DN110" s="127"/>
      <c r="DO110" s="127"/>
      <c r="DP110" s="127"/>
      <c r="DQ110" s="173"/>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c r="EN110" s="127"/>
      <c r="EO110" s="127"/>
      <c r="EP110" s="127"/>
      <c r="EQ110" s="127"/>
      <c r="ER110" s="127"/>
      <c r="ES110" s="127"/>
      <c r="ET110" s="127"/>
      <c r="EU110" s="127"/>
      <c r="EV110" s="127"/>
      <c r="EW110" s="127"/>
      <c r="EX110" s="173"/>
      <c r="EY110" s="173"/>
      <c r="EZ110" s="173"/>
      <c r="FA110" s="173"/>
      <c r="FB110" s="173"/>
      <c r="FC110" s="173"/>
      <c r="FD110" s="173"/>
      <c r="FE110" s="173"/>
      <c r="FF110" s="173"/>
      <c r="FG110" s="173"/>
      <c r="FH110" s="127"/>
      <c r="FI110" s="127"/>
      <c r="FJ110" s="127"/>
      <c r="FK110" s="174"/>
      <c r="FL110" s="127"/>
      <c r="FM110" s="127"/>
      <c r="FN110" s="127"/>
      <c r="FO110" s="127"/>
      <c r="FP110" s="127"/>
      <c r="FQ110" s="127"/>
      <c r="FR110" s="127"/>
      <c r="FS110" s="127"/>
      <c r="FT110" s="127"/>
      <c r="FU110" s="127"/>
      <c r="FV110" s="127"/>
      <c r="FW110" s="127"/>
      <c r="FX110" s="127"/>
      <c r="FY110" s="127"/>
      <c r="FZ110" s="127"/>
      <c r="GA110" s="127"/>
      <c r="GB110" s="127"/>
      <c r="GC110" s="174"/>
      <c r="GD110" s="127"/>
      <c r="GE110" s="127"/>
      <c r="GF110" s="127"/>
      <c r="GG110" s="174"/>
      <c r="GH110" s="127"/>
      <c r="GI110" s="127"/>
      <c r="GJ110" s="127"/>
      <c r="GK110" s="174"/>
      <c r="GL110" s="127"/>
      <c r="GM110" s="127"/>
      <c r="GN110" s="127"/>
      <c r="GO110" s="127"/>
      <c r="GP110" s="127"/>
      <c r="GQ110" s="174"/>
      <c r="GR110" s="127"/>
      <c r="GS110" s="127"/>
      <c r="GT110" s="127"/>
      <c r="GU110" s="127"/>
      <c r="GV110" s="127"/>
      <c r="GW110" s="127"/>
      <c r="GX110" s="173"/>
      <c r="GY110" s="127"/>
      <c r="GZ110" s="127"/>
      <c r="HA110" s="174"/>
    </row>
    <row r="111" spans="1:209" s="58" customFormat="1" ht="18" customHeight="1">
      <c r="A111" s="127"/>
      <c r="B111" s="127"/>
      <c r="C111" s="127"/>
      <c r="D111" s="127"/>
      <c r="E111" s="127"/>
      <c r="G111" s="127"/>
      <c r="H111" s="127"/>
      <c r="I111" s="127"/>
      <c r="J111" s="127"/>
      <c r="K111" s="127"/>
      <c r="L111" s="127"/>
      <c r="M111" s="127"/>
      <c r="N111" s="127"/>
      <c r="O111" s="127"/>
      <c r="P111" s="127"/>
      <c r="Q111" s="127"/>
      <c r="R111" s="127"/>
      <c r="S111" s="127"/>
      <c r="T111" s="127"/>
      <c r="U111" s="127"/>
      <c r="V111" s="127"/>
      <c r="W111" s="127"/>
      <c r="X111" s="127"/>
      <c r="Y111" s="127"/>
      <c r="Z111" s="127"/>
      <c r="AA111" s="127"/>
      <c r="AB111" s="127"/>
      <c r="AC111" s="127"/>
      <c r="AD111" s="127"/>
      <c r="AE111" s="127"/>
      <c r="AF111" s="127"/>
      <c r="AG111" s="127"/>
      <c r="AH111" s="127"/>
      <c r="AI111" s="127"/>
      <c r="AJ111" s="127"/>
      <c r="AK111" s="127"/>
      <c r="AL111" s="127"/>
      <c r="AM111" s="127"/>
      <c r="AN111" s="127"/>
      <c r="AO111" s="127"/>
      <c r="AP111" s="127"/>
      <c r="AQ111" s="127"/>
      <c r="AR111" s="127"/>
      <c r="AS111" s="127"/>
      <c r="AT111" s="173"/>
      <c r="AU111" s="173"/>
      <c r="AV111" s="173"/>
      <c r="AW111" s="127"/>
      <c r="AX111" s="127"/>
      <c r="AY111" s="127"/>
      <c r="AZ111" s="127"/>
      <c r="BA111" s="127"/>
      <c r="BB111" s="127"/>
      <c r="BC111" s="127"/>
      <c r="BD111" s="127"/>
      <c r="BE111" s="127"/>
      <c r="BF111" s="127"/>
      <c r="BG111" s="127"/>
      <c r="BH111" s="175"/>
      <c r="BI111" s="127"/>
      <c r="BJ111" s="175"/>
      <c r="BK111" s="127"/>
      <c r="BL111" s="175"/>
      <c r="BM111" s="127"/>
      <c r="BN111" s="127"/>
      <c r="BO111" s="127"/>
      <c r="BP111" s="127"/>
      <c r="BQ111" s="127"/>
      <c r="BR111" s="127"/>
      <c r="BS111" s="127"/>
      <c r="BT111" s="127"/>
      <c r="BU111" s="127"/>
      <c r="BV111" s="127"/>
      <c r="BW111" s="127"/>
      <c r="BX111" s="127"/>
      <c r="BY111" s="127"/>
      <c r="BZ111" s="127"/>
      <c r="CA111" s="127"/>
      <c r="CB111" s="127"/>
      <c r="CC111" s="127"/>
      <c r="CD111" s="127"/>
      <c r="CE111" s="127"/>
      <c r="CF111" s="127"/>
      <c r="CG111" s="127"/>
      <c r="CH111" s="127"/>
      <c r="CI111" s="127"/>
      <c r="CJ111" s="127"/>
      <c r="CK111" s="127"/>
      <c r="CL111" s="174"/>
      <c r="CM111" s="127"/>
      <c r="CN111" s="173"/>
      <c r="CO111" s="127"/>
      <c r="CP111" s="127"/>
      <c r="CQ111" s="127"/>
      <c r="CR111" s="127"/>
      <c r="CS111" s="127"/>
      <c r="CT111" s="127"/>
      <c r="CU111" s="127"/>
      <c r="CV111" s="127"/>
      <c r="CW111" s="127"/>
      <c r="CX111" s="127"/>
      <c r="CY111" s="127"/>
      <c r="CZ111" s="127"/>
      <c r="DA111" s="173"/>
      <c r="DB111" s="174"/>
      <c r="DC111" s="127"/>
      <c r="DD111" s="127"/>
      <c r="DE111" s="127"/>
      <c r="DF111" s="127"/>
      <c r="DG111" s="127"/>
      <c r="DH111" s="127"/>
      <c r="DI111" s="127"/>
      <c r="DJ111" s="127"/>
      <c r="DK111" s="127"/>
      <c r="DL111" s="127"/>
      <c r="DM111" s="127"/>
      <c r="DN111" s="127"/>
      <c r="DO111" s="127"/>
      <c r="DP111" s="127"/>
      <c r="DQ111" s="173"/>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c r="EN111" s="127"/>
      <c r="EO111" s="127"/>
      <c r="EP111" s="127"/>
      <c r="EQ111" s="127"/>
      <c r="ER111" s="127"/>
      <c r="ES111" s="127"/>
      <c r="ET111" s="127"/>
      <c r="EU111" s="127"/>
      <c r="EV111" s="127"/>
      <c r="EW111" s="127"/>
      <c r="EX111" s="173"/>
      <c r="EY111" s="173"/>
      <c r="EZ111" s="173"/>
      <c r="FA111" s="173"/>
      <c r="FB111" s="173"/>
      <c r="FC111" s="173"/>
      <c r="FD111" s="173"/>
      <c r="FE111" s="173"/>
      <c r="FF111" s="173"/>
      <c r="FG111" s="173"/>
      <c r="FH111" s="127"/>
      <c r="FI111" s="127"/>
      <c r="FJ111" s="127"/>
      <c r="FK111" s="174"/>
      <c r="FL111" s="127"/>
      <c r="FM111" s="127"/>
      <c r="FN111" s="127"/>
      <c r="FO111" s="127"/>
      <c r="FP111" s="127"/>
      <c r="FQ111" s="127"/>
      <c r="FR111" s="127"/>
      <c r="FS111" s="127"/>
      <c r="FT111" s="127"/>
      <c r="FU111" s="127"/>
      <c r="FV111" s="127"/>
      <c r="FW111" s="127"/>
      <c r="FX111" s="127"/>
      <c r="FY111" s="127"/>
      <c r="FZ111" s="127"/>
      <c r="GA111" s="127"/>
      <c r="GB111" s="127"/>
      <c r="GC111" s="174"/>
      <c r="GD111" s="127"/>
      <c r="GE111" s="127"/>
      <c r="GF111" s="127"/>
      <c r="GG111" s="174"/>
      <c r="GH111" s="127"/>
      <c r="GI111" s="127"/>
      <c r="GJ111" s="127"/>
      <c r="GK111" s="174"/>
      <c r="GL111" s="127"/>
      <c r="GM111" s="127"/>
      <c r="GN111" s="127"/>
      <c r="GO111" s="127"/>
      <c r="GP111" s="127"/>
      <c r="GQ111" s="174"/>
      <c r="GR111" s="127"/>
      <c r="GS111" s="127"/>
      <c r="GT111" s="127"/>
      <c r="GU111" s="127"/>
      <c r="GV111" s="127"/>
      <c r="GW111" s="127"/>
      <c r="GX111" s="173"/>
      <c r="GY111" s="127"/>
      <c r="GZ111" s="127"/>
      <c r="HA111" s="174"/>
    </row>
    <row r="112" spans="1:209" s="58" customFormat="1" ht="18" customHeight="1">
      <c r="A112" s="127"/>
      <c r="B112" s="127"/>
      <c r="C112" s="127"/>
      <c r="D112" s="127"/>
      <c r="E112" s="127"/>
      <c r="G112" s="127"/>
      <c r="H112" s="127"/>
      <c r="I112" s="127"/>
      <c r="J112" s="127"/>
      <c r="K112" s="127"/>
      <c r="L112" s="127"/>
      <c r="M112" s="127"/>
      <c r="N112" s="127"/>
      <c r="O112" s="127"/>
      <c r="P112" s="127"/>
      <c r="Q112" s="127"/>
      <c r="R112" s="127"/>
      <c r="S112" s="127"/>
      <c r="T112" s="127"/>
      <c r="U112" s="127"/>
      <c r="V112" s="127"/>
      <c r="W112" s="127"/>
      <c r="X112" s="127"/>
      <c r="Y112" s="127"/>
      <c r="Z112" s="127"/>
      <c r="AA112" s="127"/>
      <c r="AB112" s="127"/>
      <c r="AC112" s="127"/>
      <c r="AD112" s="127"/>
      <c r="AE112" s="127"/>
      <c r="AF112" s="127"/>
      <c r="AG112" s="127"/>
      <c r="AH112" s="127"/>
      <c r="AI112" s="127"/>
      <c r="AJ112" s="127"/>
      <c r="AK112" s="127"/>
      <c r="AL112" s="127"/>
      <c r="AM112" s="127"/>
      <c r="AN112" s="127"/>
      <c r="AO112" s="127"/>
      <c r="AP112" s="127"/>
      <c r="AQ112" s="127"/>
      <c r="AR112" s="127"/>
      <c r="AS112" s="127"/>
      <c r="AT112" s="173"/>
      <c r="AU112" s="173"/>
      <c r="AV112" s="173"/>
      <c r="AW112" s="127"/>
      <c r="AX112" s="127"/>
      <c r="AY112" s="127"/>
      <c r="AZ112" s="127"/>
      <c r="BA112" s="127"/>
      <c r="BB112" s="127"/>
      <c r="BC112" s="127"/>
      <c r="BD112" s="127"/>
      <c r="BE112" s="127"/>
      <c r="BF112" s="127"/>
      <c r="BG112" s="127"/>
      <c r="BH112" s="175"/>
      <c r="BI112" s="127"/>
      <c r="BJ112" s="175"/>
      <c r="BK112" s="127"/>
      <c r="BL112" s="175"/>
      <c r="BM112" s="127"/>
      <c r="BN112" s="127"/>
      <c r="BO112" s="127"/>
      <c r="BP112" s="127"/>
      <c r="BQ112" s="127"/>
      <c r="BR112" s="127"/>
      <c r="BS112" s="127"/>
      <c r="BT112" s="127"/>
      <c r="BU112" s="127"/>
      <c r="BV112" s="127"/>
      <c r="BW112" s="127"/>
      <c r="BX112" s="127"/>
      <c r="BY112" s="127"/>
      <c r="BZ112" s="127"/>
      <c r="CA112" s="127"/>
      <c r="CB112" s="127"/>
      <c r="CC112" s="127"/>
      <c r="CD112" s="127"/>
      <c r="CE112" s="127"/>
      <c r="CF112" s="127"/>
      <c r="CG112" s="127"/>
      <c r="CH112" s="127"/>
      <c r="CI112" s="127"/>
      <c r="CJ112" s="127"/>
      <c r="CK112" s="127"/>
      <c r="CL112" s="174"/>
      <c r="CM112" s="127"/>
      <c r="CN112" s="173"/>
      <c r="CO112" s="127"/>
      <c r="CP112" s="127"/>
      <c r="CQ112" s="127"/>
      <c r="CR112" s="127"/>
      <c r="CS112" s="127"/>
      <c r="CT112" s="127"/>
      <c r="CU112" s="127"/>
      <c r="CV112" s="127"/>
      <c r="CW112" s="127"/>
      <c r="CX112" s="127"/>
      <c r="CY112" s="127"/>
      <c r="CZ112" s="127"/>
      <c r="DA112" s="173"/>
      <c r="DB112" s="174"/>
      <c r="DC112" s="127"/>
      <c r="DD112" s="127"/>
      <c r="DE112" s="127"/>
      <c r="DF112" s="127"/>
      <c r="DG112" s="127"/>
      <c r="DH112" s="127"/>
      <c r="DI112" s="127"/>
      <c r="DJ112" s="127"/>
      <c r="DK112" s="127"/>
      <c r="DL112" s="127"/>
      <c r="DM112" s="127"/>
      <c r="DN112" s="127"/>
      <c r="DO112" s="127"/>
      <c r="DP112" s="127"/>
      <c r="DQ112" s="173"/>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c r="EN112" s="127"/>
      <c r="EO112" s="127"/>
      <c r="EP112" s="127"/>
      <c r="EQ112" s="127"/>
      <c r="ER112" s="127"/>
      <c r="ES112" s="127"/>
      <c r="ET112" s="127"/>
      <c r="EU112" s="127"/>
      <c r="EV112" s="127"/>
      <c r="EW112" s="127"/>
      <c r="EX112" s="173"/>
      <c r="EY112" s="173"/>
      <c r="EZ112" s="173"/>
      <c r="FA112" s="173"/>
      <c r="FB112" s="173"/>
      <c r="FC112" s="173"/>
      <c r="FD112" s="173"/>
      <c r="FE112" s="173"/>
      <c r="FF112" s="173"/>
      <c r="FG112" s="173"/>
      <c r="FH112" s="127"/>
      <c r="FI112" s="127"/>
      <c r="FJ112" s="127"/>
      <c r="FK112" s="174"/>
      <c r="FL112" s="127"/>
      <c r="FM112" s="127"/>
      <c r="FN112" s="127"/>
      <c r="FO112" s="127"/>
      <c r="FP112" s="127"/>
      <c r="FQ112" s="127"/>
      <c r="FR112" s="127"/>
      <c r="FS112" s="127"/>
      <c r="FT112" s="127"/>
      <c r="FU112" s="127"/>
      <c r="FV112" s="127"/>
      <c r="FW112" s="127"/>
      <c r="FX112" s="127"/>
      <c r="FY112" s="127"/>
      <c r="FZ112" s="127"/>
      <c r="GA112" s="127"/>
      <c r="GB112" s="127"/>
      <c r="GC112" s="174"/>
      <c r="GD112" s="127"/>
      <c r="GE112" s="127"/>
      <c r="GF112" s="127"/>
      <c r="GG112" s="174"/>
      <c r="GH112" s="127"/>
      <c r="GI112" s="127"/>
      <c r="GJ112" s="127"/>
      <c r="GK112" s="174"/>
      <c r="GL112" s="127"/>
      <c r="GM112" s="127"/>
      <c r="GN112" s="127"/>
      <c r="GO112" s="127"/>
      <c r="GP112" s="127"/>
      <c r="GQ112" s="174"/>
      <c r="GR112" s="127"/>
      <c r="GS112" s="127"/>
      <c r="GT112" s="127"/>
      <c r="GU112" s="127"/>
      <c r="GV112" s="127"/>
      <c r="GW112" s="127"/>
      <c r="GX112" s="173"/>
      <c r="GY112" s="127"/>
      <c r="GZ112" s="127"/>
      <c r="HA112" s="174"/>
    </row>
    <row r="113" spans="1:209" s="58" customFormat="1" ht="18" customHeight="1">
      <c r="A113" s="127"/>
      <c r="B113" s="127"/>
      <c r="C113" s="127"/>
      <c r="D113" s="127"/>
      <c r="E113" s="127"/>
      <c r="G113" s="127"/>
      <c r="H113" s="127"/>
      <c r="I113" s="127"/>
      <c r="J113" s="127"/>
      <c r="K113" s="127"/>
      <c r="L113" s="127"/>
      <c r="M113" s="127"/>
      <c r="N113" s="127"/>
      <c r="O113" s="127"/>
      <c r="P113" s="127"/>
      <c r="Q113" s="127"/>
      <c r="R113" s="127"/>
      <c r="S113" s="127"/>
      <c r="T113" s="127"/>
      <c r="U113" s="127"/>
      <c r="V113" s="127"/>
      <c r="W113" s="127"/>
      <c r="X113" s="127"/>
      <c r="Y113" s="127"/>
      <c r="Z113" s="127"/>
      <c r="AA113" s="127"/>
      <c r="AB113" s="127"/>
      <c r="AC113" s="127"/>
      <c r="AD113" s="127"/>
      <c r="AE113" s="127"/>
      <c r="AF113" s="127"/>
      <c r="AG113" s="127"/>
      <c r="AH113" s="127"/>
      <c r="AI113" s="127"/>
      <c r="AJ113" s="127"/>
      <c r="AK113" s="127"/>
      <c r="AL113" s="127"/>
      <c r="AM113" s="127"/>
      <c r="AN113" s="127"/>
      <c r="AO113" s="127"/>
      <c r="AP113" s="127"/>
      <c r="AQ113" s="127"/>
      <c r="AR113" s="127"/>
      <c r="AS113" s="127"/>
      <c r="AT113" s="173"/>
      <c r="AU113" s="173"/>
      <c r="AV113" s="173"/>
      <c r="AW113" s="127"/>
      <c r="AX113" s="127"/>
      <c r="AY113" s="127"/>
      <c r="AZ113" s="127"/>
      <c r="BA113" s="127"/>
      <c r="BB113" s="127"/>
      <c r="BC113" s="127"/>
      <c r="BD113" s="127"/>
      <c r="BE113" s="127"/>
      <c r="BF113" s="127"/>
      <c r="BG113" s="127"/>
      <c r="BH113" s="175"/>
      <c r="BI113" s="127"/>
      <c r="BJ113" s="175"/>
      <c r="BK113" s="127"/>
      <c r="BL113" s="175"/>
      <c r="BM113" s="127"/>
      <c r="BN113" s="127"/>
      <c r="BO113" s="127"/>
      <c r="BP113" s="127"/>
      <c r="BQ113" s="127"/>
      <c r="BR113" s="127"/>
      <c r="BS113" s="127"/>
      <c r="BT113" s="127"/>
      <c r="BU113" s="127"/>
      <c r="BV113" s="127"/>
      <c r="BW113" s="127"/>
      <c r="BX113" s="127"/>
      <c r="BY113" s="127"/>
      <c r="BZ113" s="127"/>
      <c r="CA113" s="127"/>
      <c r="CB113" s="127"/>
      <c r="CC113" s="127"/>
      <c r="CD113" s="127"/>
      <c r="CE113" s="127"/>
      <c r="CF113" s="127"/>
      <c r="CG113" s="127"/>
      <c r="CH113" s="127"/>
      <c r="CI113" s="127"/>
      <c r="CJ113" s="127"/>
      <c r="CK113" s="127"/>
      <c r="CL113" s="174"/>
      <c r="CM113" s="127"/>
      <c r="CN113" s="173"/>
      <c r="CO113" s="127"/>
      <c r="CP113" s="127"/>
      <c r="CQ113" s="127"/>
      <c r="CR113" s="127"/>
      <c r="CS113" s="127"/>
      <c r="CT113" s="127"/>
      <c r="CU113" s="127"/>
      <c r="CV113" s="127"/>
      <c r="CW113" s="127"/>
      <c r="CX113" s="127"/>
      <c r="CY113" s="127"/>
      <c r="CZ113" s="127"/>
      <c r="DA113" s="173"/>
      <c r="DB113" s="174"/>
      <c r="DC113" s="127"/>
      <c r="DD113" s="127"/>
      <c r="DE113" s="127"/>
      <c r="DF113" s="127"/>
      <c r="DG113" s="127"/>
      <c r="DH113" s="127"/>
      <c r="DI113" s="127"/>
      <c r="DJ113" s="127"/>
      <c r="DK113" s="127"/>
      <c r="DL113" s="127"/>
      <c r="DM113" s="127"/>
      <c r="DN113" s="127"/>
      <c r="DO113" s="127"/>
      <c r="DP113" s="127"/>
      <c r="DQ113" s="173"/>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c r="EN113" s="127"/>
      <c r="EO113" s="127"/>
      <c r="EP113" s="127"/>
      <c r="EQ113" s="127"/>
      <c r="ER113" s="127"/>
      <c r="ES113" s="127"/>
      <c r="ET113" s="127"/>
      <c r="EU113" s="127"/>
      <c r="EV113" s="127"/>
      <c r="EW113" s="127"/>
      <c r="EX113" s="173"/>
      <c r="EY113" s="173"/>
      <c r="EZ113" s="173"/>
      <c r="FA113" s="173"/>
      <c r="FB113" s="173"/>
      <c r="FC113" s="173"/>
      <c r="FD113" s="173"/>
      <c r="FE113" s="173"/>
      <c r="FF113" s="173"/>
      <c r="FG113" s="173"/>
      <c r="FH113" s="127"/>
      <c r="FI113" s="127"/>
      <c r="FJ113" s="127"/>
      <c r="FK113" s="174"/>
      <c r="FL113" s="127"/>
      <c r="FM113" s="127"/>
      <c r="FN113" s="127"/>
      <c r="FO113" s="127"/>
      <c r="FP113" s="127"/>
      <c r="FQ113" s="127"/>
      <c r="FR113" s="127"/>
      <c r="FS113" s="127"/>
      <c r="FT113" s="127"/>
      <c r="FU113" s="127"/>
      <c r="FV113" s="127"/>
      <c r="FW113" s="127"/>
      <c r="FX113" s="127"/>
      <c r="FY113" s="127"/>
      <c r="FZ113" s="127"/>
      <c r="GA113" s="127"/>
      <c r="GB113" s="127"/>
      <c r="GC113" s="174"/>
      <c r="GD113" s="127"/>
      <c r="GE113" s="127"/>
      <c r="GF113" s="127"/>
      <c r="GG113" s="174"/>
      <c r="GH113" s="127"/>
      <c r="GI113" s="127"/>
      <c r="GJ113" s="127"/>
      <c r="GK113" s="174"/>
      <c r="GL113" s="127"/>
      <c r="GM113" s="127"/>
      <c r="GN113" s="127"/>
      <c r="GO113" s="127"/>
      <c r="GP113" s="127"/>
      <c r="GQ113" s="174"/>
      <c r="GR113" s="127"/>
      <c r="GS113" s="127"/>
      <c r="GT113" s="127"/>
      <c r="GU113" s="127"/>
      <c r="GV113" s="127"/>
      <c r="GW113" s="127"/>
      <c r="GX113" s="173"/>
      <c r="GY113" s="127"/>
      <c r="GZ113" s="127"/>
      <c r="HA113" s="174"/>
    </row>
    <row r="114" spans="1:209" s="58" customFormat="1" ht="18" customHeight="1">
      <c r="A114" s="127"/>
      <c r="B114" s="127"/>
      <c r="C114" s="127"/>
      <c r="D114" s="127"/>
      <c r="E114" s="127"/>
      <c r="G114" s="127"/>
      <c r="H114" s="127"/>
      <c r="I114" s="127"/>
      <c r="J114" s="127"/>
      <c r="K114" s="127"/>
      <c r="L114" s="127"/>
      <c r="M114" s="127"/>
      <c r="N114" s="127"/>
      <c r="O114" s="127"/>
      <c r="P114" s="127"/>
      <c r="Q114" s="127"/>
      <c r="R114" s="127"/>
      <c r="S114" s="127"/>
      <c r="T114" s="127"/>
      <c r="U114" s="127"/>
      <c r="V114" s="127"/>
      <c r="W114" s="127"/>
      <c r="X114" s="127"/>
      <c r="Y114" s="127"/>
      <c r="Z114" s="127"/>
      <c r="AA114" s="127"/>
      <c r="AB114" s="127"/>
      <c r="AC114" s="127"/>
      <c r="AD114" s="127"/>
      <c r="AE114" s="127"/>
      <c r="AF114" s="127"/>
      <c r="AG114" s="127"/>
      <c r="AH114" s="127"/>
      <c r="AI114" s="127"/>
      <c r="AJ114" s="127"/>
      <c r="AK114" s="127"/>
      <c r="AL114" s="127"/>
      <c r="AM114" s="127"/>
      <c r="AN114" s="127"/>
      <c r="AO114" s="127"/>
      <c r="AP114" s="127"/>
      <c r="AQ114" s="127"/>
      <c r="AR114" s="127"/>
      <c r="AS114" s="127"/>
      <c r="AT114" s="173"/>
      <c r="AU114" s="173"/>
      <c r="AV114" s="173"/>
      <c r="AW114" s="127"/>
      <c r="AX114" s="127"/>
      <c r="AY114" s="127"/>
      <c r="AZ114" s="127"/>
      <c r="BA114" s="127"/>
      <c r="BB114" s="127"/>
      <c r="BC114" s="127"/>
      <c r="BD114" s="127"/>
      <c r="BE114" s="127"/>
      <c r="BF114" s="127"/>
      <c r="BG114" s="127"/>
      <c r="BH114" s="175"/>
      <c r="BI114" s="127"/>
      <c r="BJ114" s="175"/>
      <c r="BK114" s="127"/>
      <c r="BL114" s="175"/>
      <c r="BM114" s="127"/>
      <c r="BN114" s="127"/>
      <c r="BO114" s="127"/>
      <c r="BP114" s="127"/>
      <c r="BQ114" s="127"/>
      <c r="BR114" s="127"/>
      <c r="BS114" s="127"/>
      <c r="BT114" s="127"/>
      <c r="BU114" s="127"/>
      <c r="BV114" s="127"/>
      <c r="BW114" s="127"/>
      <c r="BX114" s="127"/>
      <c r="BY114" s="127"/>
      <c r="BZ114" s="127"/>
      <c r="CA114" s="127"/>
      <c r="CB114" s="127"/>
      <c r="CC114" s="127"/>
      <c r="CD114" s="127"/>
      <c r="CE114" s="127"/>
      <c r="CF114" s="127"/>
      <c r="CG114" s="127"/>
      <c r="CH114" s="127"/>
      <c r="CI114" s="127"/>
      <c r="CJ114" s="127"/>
      <c r="CK114" s="127"/>
      <c r="CL114" s="174"/>
      <c r="CM114" s="127"/>
      <c r="CN114" s="173"/>
      <c r="CO114" s="127"/>
      <c r="CP114" s="127"/>
      <c r="CQ114" s="127"/>
      <c r="CR114" s="127"/>
      <c r="CS114" s="127"/>
      <c r="CT114" s="127"/>
      <c r="CU114" s="127"/>
      <c r="CV114" s="127"/>
      <c r="CW114" s="127"/>
      <c r="CX114" s="127"/>
      <c r="CY114" s="127"/>
      <c r="CZ114" s="127"/>
      <c r="DA114" s="173"/>
      <c r="DB114" s="174"/>
      <c r="DC114" s="127"/>
      <c r="DD114" s="127"/>
      <c r="DE114" s="127"/>
      <c r="DF114" s="127"/>
      <c r="DG114" s="127"/>
      <c r="DH114" s="127"/>
      <c r="DI114" s="127"/>
      <c r="DJ114" s="127"/>
      <c r="DK114" s="127"/>
      <c r="DL114" s="127"/>
      <c r="DM114" s="127"/>
      <c r="DN114" s="127"/>
      <c r="DO114" s="127"/>
      <c r="DP114" s="127"/>
      <c r="DQ114" s="173"/>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c r="EN114" s="127"/>
      <c r="EO114" s="127"/>
      <c r="EP114" s="127"/>
      <c r="EQ114" s="127"/>
      <c r="ER114" s="127"/>
      <c r="ES114" s="127"/>
      <c r="ET114" s="127"/>
      <c r="EU114" s="127"/>
      <c r="EV114" s="127"/>
      <c r="EW114" s="127"/>
      <c r="EX114" s="173"/>
      <c r="EY114" s="173"/>
      <c r="EZ114" s="173"/>
      <c r="FA114" s="173"/>
      <c r="FB114" s="173"/>
      <c r="FC114" s="173"/>
      <c r="FD114" s="173"/>
      <c r="FE114" s="173"/>
      <c r="FF114" s="173"/>
      <c r="FG114" s="173"/>
      <c r="FH114" s="127"/>
      <c r="FI114" s="127"/>
      <c r="FJ114" s="127"/>
      <c r="FK114" s="174"/>
      <c r="FL114" s="127"/>
      <c r="FM114" s="127"/>
      <c r="FN114" s="127"/>
      <c r="FO114" s="127"/>
      <c r="FP114" s="127"/>
      <c r="FQ114" s="127"/>
      <c r="FR114" s="127"/>
      <c r="FS114" s="127"/>
      <c r="FT114" s="127"/>
      <c r="FU114" s="127"/>
      <c r="FV114" s="127"/>
      <c r="FW114" s="127"/>
      <c r="FX114" s="127"/>
      <c r="FY114" s="127"/>
      <c r="FZ114" s="127"/>
      <c r="GA114" s="127"/>
      <c r="GB114" s="127"/>
      <c r="GC114" s="174"/>
      <c r="GD114" s="127"/>
      <c r="GE114" s="127"/>
      <c r="GF114" s="127"/>
      <c r="GG114" s="174"/>
      <c r="GH114" s="127"/>
      <c r="GI114" s="127"/>
      <c r="GJ114" s="127"/>
      <c r="GK114" s="174"/>
      <c r="GL114" s="127"/>
      <c r="GM114" s="127"/>
      <c r="GN114" s="127"/>
      <c r="GO114" s="127"/>
      <c r="GP114" s="127"/>
      <c r="GQ114" s="174"/>
      <c r="GR114" s="127"/>
      <c r="GS114" s="127"/>
      <c r="GT114" s="127"/>
      <c r="GU114" s="127"/>
      <c r="GV114" s="127"/>
      <c r="GW114" s="127"/>
      <c r="GX114" s="173"/>
      <c r="GY114" s="127"/>
      <c r="GZ114" s="127"/>
      <c r="HA114" s="174"/>
    </row>
    <row r="115" spans="1:209" s="58" customFormat="1" ht="18" customHeight="1">
      <c r="A115" s="127"/>
      <c r="B115" s="127"/>
      <c r="C115" s="127"/>
      <c r="D115" s="127"/>
      <c r="E115" s="127"/>
      <c r="G115" s="127"/>
      <c r="H115" s="127"/>
      <c r="I115" s="127"/>
      <c r="J115" s="127"/>
      <c r="K115" s="127"/>
      <c r="L115" s="127"/>
      <c r="M115" s="127"/>
      <c r="N115" s="127"/>
      <c r="O115" s="127"/>
      <c r="P115" s="127"/>
      <c r="Q115" s="127"/>
      <c r="R115" s="127"/>
      <c r="S115" s="127"/>
      <c r="T115" s="127"/>
      <c r="U115" s="127"/>
      <c r="V115" s="127"/>
      <c r="W115" s="127"/>
      <c r="X115" s="127"/>
      <c r="Y115" s="127"/>
      <c r="Z115" s="127"/>
      <c r="AA115" s="127"/>
      <c r="AB115" s="127"/>
      <c r="AC115" s="127"/>
      <c r="AD115" s="127"/>
      <c r="AE115" s="127"/>
      <c r="AF115" s="127"/>
      <c r="AG115" s="127"/>
      <c r="AH115" s="127"/>
      <c r="AI115" s="127"/>
      <c r="AJ115" s="127"/>
      <c r="AK115" s="127"/>
      <c r="AL115" s="127"/>
      <c r="AM115" s="127"/>
      <c r="AN115" s="127"/>
      <c r="AO115" s="127"/>
      <c r="AP115" s="127"/>
      <c r="AQ115" s="127"/>
      <c r="AR115" s="127"/>
      <c r="AS115" s="127"/>
      <c r="AT115" s="173"/>
      <c r="AU115" s="173"/>
      <c r="AV115" s="173"/>
      <c r="AW115" s="127"/>
      <c r="AX115" s="127"/>
      <c r="AY115" s="127"/>
      <c r="AZ115" s="127"/>
      <c r="BA115" s="127"/>
      <c r="BB115" s="127"/>
      <c r="BC115" s="127"/>
      <c r="BD115" s="127"/>
      <c r="BE115" s="127"/>
      <c r="BF115" s="127"/>
      <c r="BG115" s="127"/>
      <c r="BH115" s="175"/>
      <c r="BI115" s="127"/>
      <c r="BJ115" s="175"/>
      <c r="BK115" s="127"/>
      <c r="BL115" s="175"/>
      <c r="BM115" s="127"/>
      <c r="BN115" s="127"/>
      <c r="BO115" s="127"/>
      <c r="BP115" s="127"/>
      <c r="BQ115" s="127"/>
      <c r="BR115" s="127"/>
      <c r="BS115" s="127"/>
      <c r="BT115" s="127"/>
      <c r="BU115" s="127"/>
      <c r="BV115" s="127"/>
      <c r="BW115" s="127"/>
      <c r="BX115" s="127"/>
      <c r="BY115" s="127"/>
      <c r="BZ115" s="127"/>
      <c r="CA115" s="127"/>
      <c r="CB115" s="127"/>
      <c r="CC115" s="127"/>
      <c r="CD115" s="127"/>
      <c r="CE115" s="127"/>
      <c r="CF115" s="127"/>
      <c r="CG115" s="127"/>
      <c r="CH115" s="127"/>
      <c r="CI115" s="127"/>
      <c r="CJ115" s="127"/>
      <c r="CK115" s="127"/>
      <c r="CL115" s="174"/>
      <c r="CM115" s="127"/>
      <c r="CN115" s="173"/>
      <c r="CO115" s="127"/>
      <c r="CP115" s="127"/>
      <c r="CQ115" s="127"/>
      <c r="CR115" s="127"/>
      <c r="CS115" s="127"/>
      <c r="CT115" s="127"/>
      <c r="CU115" s="127"/>
      <c r="CV115" s="127"/>
      <c r="CW115" s="127"/>
      <c r="CX115" s="127"/>
      <c r="CY115" s="127"/>
      <c r="CZ115" s="127"/>
      <c r="DA115" s="173"/>
      <c r="DB115" s="174"/>
      <c r="DC115" s="127"/>
      <c r="DD115" s="127"/>
      <c r="DE115" s="127"/>
      <c r="DF115" s="127"/>
      <c r="DG115" s="127"/>
      <c r="DH115" s="127"/>
      <c r="DI115" s="127"/>
      <c r="DJ115" s="127"/>
      <c r="DK115" s="127"/>
      <c r="DL115" s="127"/>
      <c r="DM115" s="127"/>
      <c r="DN115" s="127"/>
      <c r="DO115" s="127"/>
      <c r="DP115" s="127"/>
      <c r="DQ115" s="173"/>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c r="EN115" s="127"/>
      <c r="EO115" s="127"/>
      <c r="EP115" s="127"/>
      <c r="EQ115" s="127"/>
      <c r="ER115" s="127"/>
      <c r="ES115" s="127"/>
      <c r="ET115" s="127"/>
      <c r="EU115" s="127"/>
      <c r="EV115" s="127"/>
      <c r="EW115" s="127"/>
      <c r="EX115" s="173"/>
      <c r="EY115" s="173"/>
      <c r="EZ115" s="173"/>
      <c r="FA115" s="173"/>
      <c r="FB115" s="173"/>
      <c r="FC115" s="173"/>
      <c r="FD115" s="173"/>
      <c r="FE115" s="173"/>
      <c r="FF115" s="173"/>
      <c r="FG115" s="173"/>
      <c r="FH115" s="127"/>
      <c r="FI115" s="127"/>
      <c r="FJ115" s="127"/>
      <c r="FK115" s="174"/>
      <c r="FL115" s="127"/>
      <c r="FM115" s="127"/>
      <c r="FN115" s="127"/>
      <c r="FO115" s="127"/>
      <c r="FP115" s="127"/>
      <c r="FQ115" s="127"/>
      <c r="FR115" s="127"/>
      <c r="FS115" s="127"/>
      <c r="FT115" s="127"/>
      <c r="FU115" s="127"/>
      <c r="FV115" s="127"/>
      <c r="FW115" s="127"/>
      <c r="FX115" s="127"/>
      <c r="FY115" s="127"/>
      <c r="FZ115" s="127"/>
      <c r="GA115" s="127"/>
      <c r="GB115" s="127"/>
      <c r="GC115" s="174"/>
      <c r="GD115" s="127"/>
      <c r="GE115" s="127"/>
      <c r="GF115" s="127"/>
      <c r="GG115" s="174"/>
      <c r="GH115" s="127"/>
      <c r="GI115" s="127"/>
      <c r="GJ115" s="127"/>
      <c r="GK115" s="174"/>
      <c r="GL115" s="127"/>
      <c r="GM115" s="127"/>
      <c r="GN115" s="127"/>
      <c r="GO115" s="127"/>
      <c r="GP115" s="127"/>
      <c r="GQ115" s="174"/>
      <c r="GR115" s="127"/>
      <c r="GS115" s="127"/>
      <c r="GT115" s="127"/>
      <c r="GU115" s="127"/>
      <c r="GV115" s="127"/>
      <c r="GW115" s="127"/>
      <c r="GX115" s="173"/>
      <c r="GY115" s="127"/>
      <c r="GZ115" s="127"/>
      <c r="HA115" s="174"/>
    </row>
    <row r="116" spans="1:209" s="58" customFormat="1" ht="18" customHeight="1">
      <c r="A116" s="127"/>
      <c r="B116" s="127"/>
      <c r="C116" s="127"/>
      <c r="D116" s="127"/>
      <c r="E116" s="127"/>
      <c r="G116" s="127"/>
      <c r="H116" s="127"/>
      <c r="I116" s="127"/>
      <c r="J116" s="127"/>
      <c r="K116" s="127"/>
      <c r="L116" s="127"/>
      <c r="M116" s="127"/>
      <c r="N116" s="127"/>
      <c r="O116" s="127"/>
      <c r="P116" s="127"/>
      <c r="Q116" s="127"/>
      <c r="R116" s="127"/>
      <c r="S116" s="127"/>
      <c r="T116" s="127"/>
      <c r="U116" s="127"/>
      <c r="V116" s="127"/>
      <c r="W116" s="127"/>
      <c r="X116" s="127"/>
      <c r="Y116" s="127"/>
      <c r="Z116" s="127"/>
      <c r="AA116" s="127"/>
      <c r="AB116" s="127"/>
      <c r="AC116" s="127"/>
      <c r="AD116" s="127"/>
      <c r="AE116" s="127"/>
      <c r="AF116" s="127"/>
      <c r="AG116" s="127"/>
      <c r="AH116" s="127"/>
      <c r="AI116" s="127"/>
      <c r="AJ116" s="127"/>
      <c r="AK116" s="127"/>
      <c r="AL116" s="127"/>
      <c r="AM116" s="127"/>
      <c r="AN116" s="127"/>
      <c r="AO116" s="127"/>
      <c r="AP116" s="127"/>
      <c r="AQ116" s="127"/>
      <c r="AR116" s="127"/>
      <c r="AS116" s="127"/>
      <c r="AT116" s="173"/>
      <c r="AU116" s="173"/>
      <c r="AV116" s="173"/>
      <c r="AW116" s="127"/>
      <c r="AX116" s="127"/>
      <c r="AY116" s="127"/>
      <c r="AZ116" s="127"/>
      <c r="BA116" s="127"/>
      <c r="BB116" s="127"/>
      <c r="BC116" s="127"/>
      <c r="BD116" s="127"/>
      <c r="BE116" s="127"/>
      <c r="BF116" s="127"/>
      <c r="BG116" s="127"/>
      <c r="BH116" s="175"/>
      <c r="BI116" s="127"/>
      <c r="BJ116" s="175"/>
      <c r="BK116" s="127"/>
      <c r="BL116" s="175"/>
      <c r="BM116" s="127"/>
      <c r="BN116" s="127"/>
      <c r="BO116" s="127"/>
      <c r="BP116" s="127"/>
      <c r="BQ116" s="127"/>
      <c r="BR116" s="127"/>
      <c r="BS116" s="127"/>
      <c r="BT116" s="127"/>
      <c r="BU116" s="127"/>
      <c r="BV116" s="127"/>
      <c r="BW116" s="127"/>
      <c r="BX116" s="127"/>
      <c r="BY116" s="127"/>
      <c r="BZ116" s="127"/>
      <c r="CA116" s="127"/>
      <c r="CB116" s="127"/>
      <c r="CC116" s="127"/>
      <c r="CD116" s="127"/>
      <c r="CE116" s="127"/>
      <c r="CF116" s="127"/>
      <c r="CG116" s="127"/>
      <c r="CH116" s="127"/>
      <c r="CI116" s="127"/>
      <c r="CJ116" s="127"/>
      <c r="CK116" s="127"/>
      <c r="CL116" s="174"/>
      <c r="CM116" s="127"/>
      <c r="CN116" s="173"/>
      <c r="CO116" s="127"/>
      <c r="CP116" s="127"/>
      <c r="CQ116" s="127"/>
      <c r="CR116" s="127"/>
      <c r="CS116" s="127"/>
      <c r="CT116" s="127"/>
      <c r="CU116" s="127"/>
      <c r="CV116" s="127"/>
      <c r="CW116" s="127"/>
      <c r="CX116" s="127"/>
      <c r="CY116" s="127"/>
      <c r="CZ116" s="127"/>
      <c r="DA116" s="173"/>
      <c r="DB116" s="174"/>
      <c r="DC116" s="127"/>
      <c r="DD116" s="127"/>
      <c r="DE116" s="127"/>
      <c r="DF116" s="127"/>
      <c r="DG116" s="127"/>
      <c r="DH116" s="127"/>
      <c r="DI116" s="127"/>
      <c r="DJ116" s="127"/>
      <c r="DK116" s="127"/>
      <c r="DL116" s="127"/>
      <c r="DM116" s="127"/>
      <c r="DN116" s="127"/>
      <c r="DO116" s="127"/>
      <c r="DP116" s="127"/>
      <c r="DQ116" s="173"/>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c r="EN116" s="127"/>
      <c r="EO116" s="127"/>
      <c r="EP116" s="127"/>
      <c r="EQ116" s="127"/>
      <c r="ER116" s="127"/>
      <c r="ES116" s="127"/>
      <c r="ET116" s="127"/>
      <c r="EU116" s="127"/>
      <c r="EV116" s="127"/>
      <c r="EW116" s="127"/>
      <c r="EX116" s="173"/>
      <c r="EY116" s="173"/>
      <c r="EZ116" s="173"/>
      <c r="FA116" s="173"/>
      <c r="FB116" s="173"/>
      <c r="FC116" s="173"/>
      <c r="FD116" s="173"/>
      <c r="FE116" s="173"/>
      <c r="FF116" s="173"/>
      <c r="FG116" s="173"/>
      <c r="FH116" s="127"/>
      <c r="FI116" s="127"/>
      <c r="FJ116" s="127"/>
      <c r="FK116" s="174"/>
      <c r="FL116" s="127"/>
      <c r="FM116" s="127"/>
      <c r="FN116" s="127"/>
      <c r="FO116" s="127"/>
      <c r="FP116" s="127"/>
      <c r="FQ116" s="127"/>
      <c r="FR116" s="127"/>
      <c r="FS116" s="127"/>
      <c r="FT116" s="127"/>
      <c r="FU116" s="127"/>
      <c r="FV116" s="127"/>
      <c r="FW116" s="127"/>
      <c r="FX116" s="127"/>
      <c r="FY116" s="127"/>
      <c r="FZ116" s="127"/>
      <c r="GA116" s="127"/>
      <c r="GB116" s="127"/>
      <c r="GC116" s="174"/>
      <c r="GD116" s="127"/>
      <c r="GE116" s="127"/>
      <c r="GF116" s="127"/>
      <c r="GG116" s="174"/>
      <c r="GH116" s="127"/>
      <c r="GI116" s="127"/>
      <c r="GJ116" s="127"/>
      <c r="GK116" s="174"/>
      <c r="GL116" s="127"/>
      <c r="GM116" s="127"/>
      <c r="GN116" s="127"/>
      <c r="GO116" s="127"/>
      <c r="GP116" s="127"/>
      <c r="GQ116" s="174"/>
      <c r="GR116" s="127"/>
      <c r="GS116" s="127"/>
      <c r="GT116" s="127"/>
      <c r="GU116" s="127"/>
      <c r="GV116" s="127"/>
      <c r="GW116" s="127"/>
      <c r="GX116" s="173"/>
      <c r="GY116" s="127"/>
      <c r="GZ116" s="127"/>
      <c r="HA116" s="174"/>
    </row>
    <row r="117" spans="1:209" s="58" customFormat="1" ht="18" customHeight="1">
      <c r="A117" s="127"/>
      <c r="B117" s="127"/>
      <c r="C117" s="127"/>
      <c r="D117" s="127"/>
      <c r="E117" s="127"/>
      <c r="G117" s="127"/>
      <c r="H117" s="127"/>
      <c r="I117" s="127"/>
      <c r="J117" s="127"/>
      <c r="K117" s="127"/>
      <c r="L117" s="127"/>
      <c r="M117" s="127"/>
      <c r="N117" s="127"/>
      <c r="O117" s="127"/>
      <c r="P117" s="127"/>
      <c r="Q117" s="127"/>
      <c r="R117" s="127"/>
      <c r="S117" s="127"/>
      <c r="T117" s="127"/>
      <c r="U117" s="127"/>
      <c r="V117" s="127"/>
      <c r="W117" s="127"/>
      <c r="X117" s="127"/>
      <c r="Y117" s="127"/>
      <c r="Z117" s="127"/>
      <c r="AA117" s="127"/>
      <c r="AB117" s="127"/>
      <c r="AC117" s="127"/>
      <c r="AD117" s="127"/>
      <c r="AE117" s="127"/>
      <c r="AF117" s="127"/>
      <c r="AG117" s="127"/>
      <c r="AH117" s="127"/>
      <c r="AI117" s="127"/>
      <c r="AJ117" s="127"/>
      <c r="AK117" s="127"/>
      <c r="AL117" s="127"/>
      <c r="AM117" s="127"/>
      <c r="AN117" s="127"/>
      <c r="AO117" s="127"/>
      <c r="AP117" s="127"/>
      <c r="AQ117" s="127"/>
      <c r="AR117" s="127"/>
      <c r="AS117" s="127"/>
      <c r="AT117" s="173"/>
      <c r="AU117" s="173"/>
      <c r="AV117" s="173"/>
      <c r="AW117" s="127"/>
      <c r="AX117" s="127"/>
      <c r="AY117" s="127"/>
      <c r="AZ117" s="127"/>
      <c r="BA117" s="127"/>
      <c r="BB117" s="127"/>
      <c r="BC117" s="127"/>
      <c r="BD117" s="127"/>
      <c r="BE117" s="127"/>
      <c r="BF117" s="127"/>
      <c r="BG117" s="127"/>
      <c r="BH117" s="175"/>
      <c r="BI117" s="127"/>
      <c r="BJ117" s="175"/>
      <c r="BK117" s="127"/>
      <c r="BL117" s="175"/>
      <c r="BM117" s="127"/>
      <c r="BN117" s="127"/>
      <c r="BO117" s="127"/>
      <c r="BP117" s="127"/>
      <c r="BQ117" s="127"/>
      <c r="BR117" s="127"/>
      <c r="BS117" s="127"/>
      <c r="BT117" s="127"/>
      <c r="BU117" s="127"/>
      <c r="BV117" s="127"/>
      <c r="BW117" s="127"/>
      <c r="BX117" s="127"/>
      <c r="BY117" s="127"/>
      <c r="BZ117" s="127"/>
      <c r="CA117" s="127"/>
      <c r="CB117" s="127"/>
      <c r="CC117" s="127"/>
      <c r="CD117" s="127"/>
      <c r="CE117" s="127"/>
      <c r="CF117" s="127"/>
      <c r="CG117" s="127"/>
      <c r="CH117" s="127"/>
      <c r="CI117" s="127"/>
      <c r="CJ117" s="127"/>
      <c r="CK117" s="127"/>
      <c r="CL117" s="174"/>
      <c r="CM117" s="127"/>
      <c r="CN117" s="173"/>
      <c r="CO117" s="127"/>
      <c r="CP117" s="127"/>
      <c r="CQ117" s="127"/>
      <c r="CR117" s="127"/>
      <c r="CS117" s="127"/>
      <c r="CT117" s="127"/>
      <c r="CU117" s="127"/>
      <c r="CV117" s="127"/>
      <c r="CW117" s="127"/>
      <c r="CX117" s="127"/>
      <c r="CY117" s="127"/>
      <c r="CZ117" s="127"/>
      <c r="DA117" s="173"/>
      <c r="DB117" s="174"/>
      <c r="DC117" s="127"/>
      <c r="DD117" s="127"/>
      <c r="DE117" s="127"/>
      <c r="DF117" s="127"/>
      <c r="DG117" s="127"/>
      <c r="DH117" s="127"/>
      <c r="DI117" s="127"/>
      <c r="DJ117" s="127"/>
      <c r="DK117" s="127"/>
      <c r="DL117" s="127"/>
      <c r="DM117" s="127"/>
      <c r="DN117" s="127"/>
      <c r="DO117" s="127"/>
      <c r="DP117" s="127"/>
      <c r="DQ117" s="173"/>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c r="EN117" s="127"/>
      <c r="EO117" s="127"/>
      <c r="EP117" s="127"/>
      <c r="EQ117" s="127"/>
      <c r="ER117" s="127"/>
      <c r="ES117" s="127"/>
      <c r="ET117" s="127"/>
      <c r="EU117" s="127"/>
      <c r="EV117" s="127"/>
      <c r="EW117" s="127"/>
      <c r="EX117" s="173"/>
      <c r="EY117" s="173"/>
      <c r="EZ117" s="173"/>
      <c r="FA117" s="173"/>
      <c r="FB117" s="173"/>
      <c r="FC117" s="173"/>
      <c r="FD117" s="173"/>
      <c r="FE117" s="173"/>
      <c r="FF117" s="173"/>
      <c r="FG117" s="173"/>
      <c r="FH117" s="127"/>
      <c r="FI117" s="127"/>
      <c r="FJ117" s="127"/>
      <c r="FK117" s="174"/>
      <c r="FL117" s="127"/>
      <c r="FM117" s="127"/>
      <c r="FN117" s="127"/>
      <c r="FO117" s="127"/>
      <c r="FP117" s="127"/>
      <c r="FQ117" s="127"/>
      <c r="FR117" s="127"/>
      <c r="FS117" s="127"/>
      <c r="FT117" s="127"/>
      <c r="FU117" s="127"/>
      <c r="FV117" s="127"/>
      <c r="FW117" s="127"/>
      <c r="FX117" s="127"/>
      <c r="FY117" s="127"/>
      <c r="FZ117" s="127"/>
      <c r="GA117" s="127"/>
      <c r="GB117" s="127"/>
      <c r="GC117" s="174"/>
      <c r="GD117" s="127"/>
      <c r="GE117" s="127"/>
      <c r="GF117" s="127"/>
      <c r="GG117" s="174"/>
      <c r="GH117" s="127"/>
      <c r="GI117" s="127"/>
      <c r="GJ117" s="127"/>
      <c r="GK117" s="174"/>
      <c r="GL117" s="127"/>
      <c r="GM117" s="127"/>
      <c r="GN117" s="127"/>
      <c r="GO117" s="127"/>
      <c r="GP117" s="127"/>
      <c r="GQ117" s="174"/>
      <c r="GR117" s="127"/>
      <c r="GS117" s="127"/>
      <c r="GT117" s="127"/>
      <c r="GU117" s="127"/>
      <c r="GV117" s="127"/>
      <c r="GW117" s="127"/>
      <c r="GX117" s="173"/>
      <c r="GY117" s="127"/>
      <c r="GZ117" s="127"/>
      <c r="HA117" s="174"/>
    </row>
    <row r="118" spans="1:209" s="58" customFormat="1" ht="18" customHeight="1">
      <c r="A118" s="127"/>
      <c r="B118" s="127"/>
      <c r="C118" s="127"/>
      <c r="D118" s="127"/>
      <c r="E118" s="127"/>
      <c r="G118" s="127"/>
      <c r="H118" s="127"/>
      <c r="I118" s="127"/>
      <c r="J118" s="127"/>
      <c r="K118" s="127"/>
      <c r="L118" s="127"/>
      <c r="M118" s="127"/>
      <c r="N118" s="127"/>
      <c r="O118" s="127"/>
      <c r="P118" s="127"/>
      <c r="Q118" s="127"/>
      <c r="R118" s="127"/>
      <c r="S118" s="127"/>
      <c r="T118" s="127"/>
      <c r="U118" s="127"/>
      <c r="V118" s="127"/>
      <c r="W118" s="127"/>
      <c r="X118" s="127"/>
      <c r="Y118" s="127"/>
      <c r="Z118" s="127"/>
      <c r="AA118" s="127"/>
      <c r="AB118" s="127"/>
      <c r="AC118" s="127"/>
      <c r="AD118" s="127"/>
      <c r="AE118" s="127"/>
      <c r="AF118" s="127"/>
      <c r="AG118" s="127"/>
      <c r="AH118" s="127"/>
      <c r="AI118" s="127"/>
      <c r="AJ118" s="127"/>
      <c r="AK118" s="127"/>
      <c r="AL118" s="127"/>
      <c r="AM118" s="127"/>
      <c r="AN118" s="127"/>
      <c r="AO118" s="127"/>
      <c r="AP118" s="127"/>
      <c r="AQ118" s="127"/>
      <c r="AR118" s="127"/>
      <c r="AS118" s="127"/>
      <c r="AT118" s="173"/>
      <c r="AU118" s="173"/>
      <c r="AV118" s="173"/>
      <c r="AW118" s="127"/>
      <c r="AX118" s="127"/>
      <c r="AY118" s="127"/>
      <c r="AZ118" s="127"/>
      <c r="BA118" s="127"/>
      <c r="BB118" s="127"/>
      <c r="BC118" s="127"/>
      <c r="BD118" s="127"/>
      <c r="BE118" s="127"/>
      <c r="BF118" s="127"/>
      <c r="BG118" s="127"/>
      <c r="BH118" s="175"/>
      <c r="BI118" s="127"/>
      <c r="BJ118" s="175"/>
      <c r="BK118" s="127"/>
      <c r="BL118" s="175"/>
      <c r="BM118" s="127"/>
      <c r="BN118" s="127"/>
      <c r="BO118" s="127"/>
      <c r="BP118" s="127"/>
      <c r="BQ118" s="127"/>
      <c r="BR118" s="127"/>
      <c r="BS118" s="127"/>
      <c r="BT118" s="127"/>
      <c r="BU118" s="127"/>
      <c r="BV118" s="127"/>
      <c r="BW118" s="127"/>
      <c r="BX118" s="127"/>
      <c r="BY118" s="127"/>
      <c r="BZ118" s="127"/>
      <c r="CA118" s="127"/>
      <c r="CB118" s="127"/>
      <c r="CC118" s="127"/>
      <c r="CD118" s="127"/>
      <c r="CE118" s="127"/>
      <c r="CF118" s="127"/>
      <c r="CG118" s="127"/>
      <c r="CH118" s="127"/>
      <c r="CI118" s="127"/>
      <c r="CJ118" s="127"/>
      <c r="CK118" s="127"/>
      <c r="CL118" s="174"/>
      <c r="CM118" s="127"/>
      <c r="CN118" s="173"/>
      <c r="CO118" s="127"/>
      <c r="CP118" s="127"/>
      <c r="CQ118" s="127"/>
      <c r="CR118" s="127"/>
      <c r="CS118" s="127"/>
      <c r="CT118" s="127"/>
      <c r="CU118" s="127"/>
      <c r="CV118" s="127"/>
      <c r="CW118" s="127"/>
      <c r="CX118" s="127"/>
      <c r="CY118" s="127"/>
      <c r="CZ118" s="127"/>
      <c r="DA118" s="173"/>
      <c r="DB118" s="174"/>
      <c r="DC118" s="127"/>
      <c r="DD118" s="127"/>
      <c r="DE118" s="127"/>
      <c r="DF118" s="127"/>
      <c r="DG118" s="127"/>
      <c r="DH118" s="127"/>
      <c r="DI118" s="127"/>
      <c r="DJ118" s="127"/>
      <c r="DK118" s="127"/>
      <c r="DL118" s="127"/>
      <c r="DM118" s="127"/>
      <c r="DN118" s="127"/>
      <c r="DO118" s="127"/>
      <c r="DP118" s="127"/>
      <c r="DQ118" s="173"/>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c r="EN118" s="127"/>
      <c r="EO118" s="127"/>
      <c r="EP118" s="127"/>
      <c r="EQ118" s="127"/>
      <c r="ER118" s="127"/>
      <c r="ES118" s="127"/>
      <c r="ET118" s="127"/>
      <c r="EU118" s="127"/>
      <c r="EV118" s="127"/>
      <c r="EW118" s="127"/>
      <c r="EX118" s="173"/>
      <c r="EY118" s="173"/>
      <c r="EZ118" s="173"/>
      <c r="FA118" s="173"/>
      <c r="FB118" s="173"/>
      <c r="FC118" s="173"/>
      <c r="FD118" s="173"/>
      <c r="FE118" s="173"/>
      <c r="FF118" s="173"/>
      <c r="FG118" s="173"/>
      <c r="FH118" s="127"/>
      <c r="FI118" s="127"/>
      <c r="FJ118" s="127"/>
      <c r="FK118" s="174"/>
      <c r="FL118" s="127"/>
      <c r="FM118" s="127"/>
      <c r="FN118" s="127"/>
      <c r="FO118" s="127"/>
      <c r="FP118" s="127"/>
      <c r="FQ118" s="127"/>
      <c r="FR118" s="127"/>
      <c r="FS118" s="127"/>
      <c r="FT118" s="127"/>
      <c r="FU118" s="127"/>
      <c r="FV118" s="127"/>
      <c r="FW118" s="127"/>
      <c r="FX118" s="127"/>
      <c r="FY118" s="127"/>
      <c r="FZ118" s="127"/>
      <c r="GA118" s="127"/>
      <c r="GB118" s="127"/>
      <c r="GC118" s="174"/>
      <c r="GD118" s="127"/>
      <c r="GE118" s="127"/>
      <c r="GF118" s="127"/>
      <c r="GG118" s="174"/>
      <c r="GH118" s="127"/>
      <c r="GI118" s="127"/>
      <c r="GJ118" s="127"/>
      <c r="GK118" s="174"/>
      <c r="GL118" s="127"/>
      <c r="GM118" s="127"/>
      <c r="GN118" s="127"/>
      <c r="GO118" s="127"/>
      <c r="GP118" s="127"/>
      <c r="GQ118" s="174"/>
      <c r="GR118" s="127"/>
      <c r="GS118" s="127"/>
      <c r="GT118" s="127"/>
      <c r="GU118" s="127"/>
      <c r="GV118" s="127"/>
      <c r="GW118" s="127"/>
      <c r="GX118" s="173"/>
      <c r="GY118" s="127"/>
      <c r="GZ118" s="127"/>
      <c r="HA118" s="174"/>
    </row>
    <row r="119" spans="1:209" s="58" customFormat="1" ht="18" customHeight="1">
      <c r="A119" s="127"/>
      <c r="B119" s="127"/>
      <c r="C119" s="127"/>
      <c r="D119" s="127"/>
      <c r="E119" s="127"/>
      <c r="G119" s="127"/>
      <c r="H119" s="127"/>
      <c r="I119" s="127"/>
      <c r="J119" s="127"/>
      <c r="K119" s="127"/>
      <c r="L119" s="127"/>
      <c r="M119" s="127"/>
      <c r="N119" s="127"/>
      <c r="O119" s="127"/>
      <c r="P119" s="127"/>
      <c r="Q119" s="127"/>
      <c r="R119" s="127"/>
      <c r="S119" s="127"/>
      <c r="T119" s="127"/>
      <c r="U119" s="127"/>
      <c r="V119" s="127"/>
      <c r="W119" s="127"/>
      <c r="X119" s="127"/>
      <c r="Y119" s="127"/>
      <c r="Z119" s="127"/>
      <c r="AA119" s="127"/>
      <c r="AB119" s="127"/>
      <c r="AC119" s="127"/>
      <c r="AD119" s="127"/>
      <c r="AE119" s="127"/>
      <c r="AF119" s="127"/>
      <c r="AG119" s="127"/>
      <c r="AH119" s="127"/>
      <c r="AI119" s="127"/>
      <c r="AJ119" s="127"/>
      <c r="AK119" s="127"/>
      <c r="AL119" s="127"/>
      <c r="AM119" s="127"/>
      <c r="AN119" s="127"/>
      <c r="AO119" s="127"/>
      <c r="AP119" s="127"/>
      <c r="AQ119" s="127"/>
      <c r="AR119" s="127"/>
      <c r="AS119" s="127"/>
      <c r="AT119" s="173"/>
      <c r="AU119" s="173"/>
      <c r="AV119" s="173"/>
      <c r="AW119" s="127"/>
      <c r="AX119" s="127"/>
      <c r="AY119" s="127"/>
      <c r="AZ119" s="127"/>
      <c r="BA119" s="127"/>
      <c r="BB119" s="127"/>
      <c r="BC119" s="127"/>
      <c r="BD119" s="127"/>
      <c r="BE119" s="127"/>
      <c r="BF119" s="127"/>
      <c r="BG119" s="127"/>
      <c r="BH119" s="175"/>
      <c r="BI119" s="127"/>
      <c r="BJ119" s="175"/>
      <c r="BK119" s="127"/>
      <c r="BL119" s="175"/>
      <c r="BM119" s="127"/>
      <c r="BN119" s="127"/>
      <c r="BO119" s="127"/>
      <c r="BP119" s="127"/>
      <c r="BQ119" s="127"/>
      <c r="BR119" s="127"/>
      <c r="BS119" s="127"/>
      <c r="BT119" s="127"/>
      <c r="BU119" s="127"/>
      <c r="BV119" s="127"/>
      <c r="BW119" s="127"/>
      <c r="BX119" s="127"/>
      <c r="BY119" s="127"/>
      <c r="BZ119" s="127"/>
      <c r="CA119" s="127"/>
      <c r="CB119" s="127"/>
      <c r="CC119" s="127"/>
      <c r="CD119" s="127"/>
      <c r="CE119" s="127"/>
      <c r="CF119" s="127"/>
      <c r="CG119" s="127"/>
      <c r="CH119" s="127"/>
      <c r="CI119" s="127"/>
      <c r="CJ119" s="127"/>
      <c r="CK119" s="127"/>
      <c r="CL119" s="174"/>
      <c r="CM119" s="127"/>
      <c r="CN119" s="173"/>
      <c r="CO119" s="127"/>
      <c r="CP119" s="127"/>
      <c r="CQ119" s="127"/>
      <c r="CR119" s="127"/>
      <c r="CS119" s="127"/>
      <c r="CT119" s="127"/>
      <c r="CU119" s="127"/>
      <c r="CV119" s="127"/>
      <c r="CW119" s="127"/>
      <c r="CX119" s="127"/>
      <c r="CY119" s="127"/>
      <c r="CZ119" s="127"/>
      <c r="DA119" s="173"/>
      <c r="DB119" s="174"/>
      <c r="DC119" s="127"/>
      <c r="DD119" s="127"/>
      <c r="DE119" s="127"/>
      <c r="DF119" s="127"/>
      <c r="DG119" s="127"/>
      <c r="DH119" s="127"/>
      <c r="DI119" s="127"/>
      <c r="DJ119" s="127"/>
      <c r="DK119" s="127"/>
      <c r="DL119" s="127"/>
      <c r="DM119" s="127"/>
      <c r="DN119" s="127"/>
      <c r="DO119" s="127"/>
      <c r="DP119" s="127"/>
      <c r="DQ119" s="173"/>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c r="EN119" s="127"/>
      <c r="EO119" s="127"/>
      <c r="EP119" s="127"/>
      <c r="EQ119" s="127"/>
      <c r="ER119" s="127"/>
      <c r="ES119" s="127"/>
      <c r="ET119" s="127"/>
      <c r="EU119" s="127"/>
      <c r="EV119" s="127"/>
      <c r="EW119" s="127"/>
      <c r="EX119" s="173"/>
      <c r="EY119" s="173"/>
      <c r="EZ119" s="173"/>
      <c r="FA119" s="173"/>
      <c r="FB119" s="173"/>
      <c r="FC119" s="173"/>
      <c r="FD119" s="173"/>
      <c r="FE119" s="173"/>
      <c r="FF119" s="173"/>
      <c r="FG119" s="173"/>
      <c r="FH119" s="127"/>
      <c r="FI119" s="127"/>
      <c r="FJ119" s="127"/>
      <c r="FK119" s="174"/>
      <c r="FL119" s="127"/>
      <c r="FM119" s="127"/>
      <c r="FN119" s="127"/>
      <c r="FO119" s="127"/>
      <c r="FP119" s="127"/>
      <c r="FQ119" s="127"/>
      <c r="FR119" s="127"/>
      <c r="FS119" s="127"/>
      <c r="FT119" s="127"/>
      <c r="FU119" s="127"/>
      <c r="FV119" s="127"/>
      <c r="FW119" s="127"/>
      <c r="FX119" s="127"/>
      <c r="FY119" s="127"/>
      <c r="FZ119" s="127"/>
      <c r="GA119" s="127"/>
      <c r="GB119" s="127"/>
      <c r="GC119" s="174"/>
      <c r="GD119" s="127"/>
      <c r="GE119" s="127"/>
      <c r="GF119" s="127"/>
      <c r="GG119" s="174"/>
      <c r="GH119" s="127"/>
      <c r="GI119" s="127"/>
      <c r="GJ119" s="127"/>
      <c r="GK119" s="174"/>
      <c r="GL119" s="127"/>
      <c r="GM119" s="127"/>
      <c r="GN119" s="127"/>
      <c r="GO119" s="127"/>
      <c r="GP119" s="127"/>
      <c r="GQ119" s="174"/>
      <c r="GR119" s="127"/>
      <c r="GS119" s="127"/>
      <c r="GT119" s="127"/>
      <c r="GU119" s="127"/>
      <c r="GV119" s="127"/>
      <c r="GW119" s="127"/>
      <c r="GX119" s="173"/>
      <c r="GY119" s="127"/>
      <c r="GZ119" s="127"/>
      <c r="HA119" s="174"/>
    </row>
    <row r="120" spans="1:209" s="58" customFormat="1" ht="18" customHeight="1">
      <c r="A120" s="127"/>
      <c r="B120" s="127"/>
      <c r="C120" s="127"/>
      <c r="D120" s="127"/>
      <c r="E120" s="127"/>
      <c r="G120" s="127"/>
      <c r="H120" s="127"/>
      <c r="I120" s="127"/>
      <c r="J120" s="127"/>
      <c r="K120" s="127"/>
      <c r="L120" s="127"/>
      <c r="M120" s="127"/>
      <c r="N120" s="127"/>
      <c r="O120" s="127"/>
      <c r="P120" s="127"/>
      <c r="Q120" s="127"/>
      <c r="R120" s="127"/>
      <c r="S120" s="127"/>
      <c r="T120" s="127"/>
      <c r="U120" s="127"/>
      <c r="V120" s="127"/>
      <c r="W120" s="127"/>
      <c r="X120" s="127"/>
      <c r="Y120" s="127"/>
      <c r="Z120" s="127"/>
      <c r="AA120" s="127"/>
      <c r="AB120" s="127"/>
      <c r="AC120" s="127"/>
      <c r="AD120" s="127"/>
      <c r="AE120" s="127"/>
      <c r="AF120" s="127"/>
      <c r="AG120" s="127"/>
      <c r="AH120" s="127"/>
      <c r="AI120" s="127"/>
      <c r="AJ120" s="127"/>
      <c r="AK120" s="127"/>
      <c r="AL120" s="127"/>
      <c r="AM120" s="127"/>
      <c r="AN120" s="127"/>
      <c r="AO120" s="127"/>
      <c r="AP120" s="127"/>
      <c r="AQ120" s="127"/>
      <c r="AR120" s="127"/>
      <c r="AS120" s="127"/>
      <c r="AT120" s="173"/>
      <c r="AU120" s="173"/>
      <c r="AV120" s="173"/>
      <c r="AW120" s="127"/>
      <c r="AX120" s="127"/>
      <c r="AY120" s="127"/>
      <c r="AZ120" s="127"/>
      <c r="BA120" s="127"/>
      <c r="BB120" s="127"/>
      <c r="BC120" s="127"/>
      <c r="BD120" s="127"/>
      <c r="BE120" s="127"/>
      <c r="BF120" s="127"/>
      <c r="BG120" s="127"/>
      <c r="BH120" s="175"/>
      <c r="BI120" s="127"/>
      <c r="BJ120" s="175"/>
      <c r="BK120" s="127"/>
      <c r="BL120" s="175"/>
      <c r="BM120" s="127"/>
      <c r="BN120" s="127"/>
      <c r="BO120" s="127"/>
      <c r="BP120" s="127"/>
      <c r="BQ120" s="127"/>
      <c r="BR120" s="127"/>
      <c r="BS120" s="127"/>
      <c r="BT120" s="127"/>
      <c r="BU120" s="127"/>
      <c r="BV120" s="127"/>
      <c r="BW120" s="127"/>
      <c r="BX120" s="127"/>
      <c r="BY120" s="127"/>
      <c r="BZ120" s="127"/>
      <c r="CA120" s="127"/>
      <c r="CB120" s="127"/>
      <c r="CC120" s="127"/>
      <c r="CD120" s="127"/>
      <c r="CE120" s="127"/>
      <c r="CF120" s="127"/>
      <c r="CG120" s="127"/>
      <c r="CH120" s="127"/>
      <c r="CI120" s="127"/>
      <c r="CJ120" s="127"/>
      <c r="CK120" s="127"/>
      <c r="CL120" s="174"/>
      <c r="CM120" s="127"/>
      <c r="CN120" s="173"/>
      <c r="CO120" s="127"/>
      <c r="CP120" s="127"/>
      <c r="CQ120" s="127"/>
      <c r="CR120" s="127"/>
      <c r="CS120" s="127"/>
      <c r="CT120" s="127"/>
      <c r="CU120" s="127"/>
      <c r="CV120" s="127"/>
      <c r="CW120" s="127"/>
      <c r="CX120" s="127"/>
      <c r="CY120" s="127"/>
      <c r="CZ120" s="127"/>
      <c r="DA120" s="173"/>
      <c r="DB120" s="174"/>
      <c r="DC120" s="127"/>
      <c r="DD120" s="127"/>
      <c r="DE120" s="127"/>
      <c r="DF120" s="127"/>
      <c r="DG120" s="127"/>
      <c r="DH120" s="127"/>
      <c r="DI120" s="127"/>
      <c r="DJ120" s="127"/>
      <c r="DK120" s="127"/>
      <c r="DL120" s="127"/>
      <c r="DM120" s="127"/>
      <c r="DN120" s="127"/>
      <c r="DO120" s="127"/>
      <c r="DP120" s="127"/>
      <c r="DQ120" s="173"/>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c r="EN120" s="127"/>
      <c r="EO120" s="127"/>
      <c r="EP120" s="127"/>
      <c r="EQ120" s="127"/>
      <c r="ER120" s="127"/>
      <c r="ES120" s="127"/>
      <c r="ET120" s="127"/>
      <c r="EU120" s="127"/>
      <c r="EV120" s="127"/>
      <c r="EW120" s="127"/>
      <c r="EX120" s="173"/>
      <c r="EY120" s="173"/>
      <c r="EZ120" s="173"/>
      <c r="FA120" s="173"/>
      <c r="FB120" s="173"/>
      <c r="FC120" s="173"/>
      <c r="FD120" s="173"/>
      <c r="FE120" s="173"/>
      <c r="FF120" s="173"/>
      <c r="FG120" s="173"/>
      <c r="FH120" s="127"/>
      <c r="FI120" s="127"/>
      <c r="FJ120" s="127"/>
      <c r="FK120" s="174"/>
      <c r="FL120" s="127"/>
      <c r="FM120" s="127"/>
      <c r="FN120" s="127"/>
      <c r="FO120" s="127"/>
      <c r="FP120" s="127"/>
      <c r="FQ120" s="127"/>
      <c r="FR120" s="127"/>
      <c r="FS120" s="127"/>
      <c r="FT120" s="127"/>
      <c r="FU120" s="127"/>
      <c r="FV120" s="127"/>
      <c r="FW120" s="127"/>
      <c r="FX120" s="127"/>
      <c r="FY120" s="127"/>
      <c r="FZ120" s="127"/>
      <c r="GA120" s="127"/>
      <c r="GB120" s="127"/>
      <c r="GC120" s="174"/>
      <c r="GD120" s="127"/>
      <c r="GE120" s="127"/>
      <c r="GF120" s="127"/>
      <c r="GG120" s="174"/>
      <c r="GH120" s="127"/>
      <c r="GI120" s="127"/>
      <c r="GJ120" s="127"/>
      <c r="GK120" s="174"/>
      <c r="GL120" s="127"/>
      <c r="GM120" s="127"/>
      <c r="GN120" s="127"/>
      <c r="GO120" s="127"/>
      <c r="GP120" s="127"/>
      <c r="GQ120" s="174"/>
      <c r="GR120" s="127"/>
      <c r="GS120" s="127"/>
      <c r="GT120" s="127"/>
      <c r="GU120" s="127"/>
      <c r="GV120" s="127"/>
      <c r="GW120" s="127"/>
      <c r="GX120" s="173"/>
      <c r="GY120" s="127"/>
      <c r="GZ120" s="127"/>
      <c r="HA120" s="174"/>
    </row>
    <row r="121" spans="1:209" s="58" customFormat="1" ht="18" customHeight="1">
      <c r="A121" s="127"/>
      <c r="B121" s="127"/>
      <c r="C121" s="127"/>
      <c r="D121" s="127"/>
      <c r="E121" s="127"/>
      <c r="G121" s="127"/>
      <c r="H121" s="127"/>
      <c r="I121" s="127"/>
      <c r="J121" s="127"/>
      <c r="K121" s="127"/>
      <c r="L121" s="127"/>
      <c r="M121" s="127"/>
      <c r="N121" s="127"/>
      <c r="O121" s="127"/>
      <c r="P121" s="127"/>
      <c r="Q121" s="127"/>
      <c r="R121" s="127"/>
      <c r="S121" s="127"/>
      <c r="T121" s="127"/>
      <c r="U121" s="127"/>
      <c r="V121" s="127"/>
      <c r="W121" s="127"/>
      <c r="X121" s="127"/>
      <c r="Y121" s="127"/>
      <c r="Z121" s="127"/>
      <c r="AA121" s="127"/>
      <c r="AB121" s="127"/>
      <c r="AC121" s="127"/>
      <c r="AD121" s="127"/>
      <c r="AE121" s="127"/>
      <c r="AF121" s="127"/>
      <c r="AG121" s="127"/>
      <c r="AH121" s="127"/>
      <c r="AI121" s="127"/>
      <c r="AJ121" s="127"/>
      <c r="AK121" s="127"/>
      <c r="AL121" s="127"/>
      <c r="AM121" s="127"/>
      <c r="AN121" s="127"/>
      <c r="AO121" s="127"/>
      <c r="AP121" s="127"/>
      <c r="AQ121" s="127"/>
      <c r="AR121" s="127"/>
      <c r="AS121" s="127"/>
      <c r="AT121" s="173"/>
      <c r="AU121" s="173"/>
      <c r="AV121" s="173"/>
      <c r="AW121" s="127"/>
      <c r="AX121" s="127"/>
      <c r="AY121" s="127"/>
      <c r="AZ121" s="127"/>
      <c r="BA121" s="127"/>
      <c r="BB121" s="127"/>
      <c r="BC121" s="127"/>
      <c r="BD121" s="127"/>
      <c r="BE121" s="127"/>
      <c r="BF121" s="127"/>
      <c r="BG121" s="127"/>
      <c r="BH121" s="175"/>
      <c r="BI121" s="127"/>
      <c r="BJ121" s="175"/>
      <c r="BK121" s="127"/>
      <c r="BL121" s="175"/>
      <c r="BM121" s="127"/>
      <c r="BN121" s="127"/>
      <c r="BO121" s="127"/>
      <c r="BP121" s="127"/>
      <c r="BQ121" s="127"/>
      <c r="BR121" s="127"/>
      <c r="BS121" s="127"/>
      <c r="BT121" s="127"/>
      <c r="BU121" s="127"/>
      <c r="BV121" s="127"/>
      <c r="BW121" s="127"/>
      <c r="BX121" s="127"/>
      <c r="BY121" s="127"/>
      <c r="BZ121" s="127"/>
      <c r="CA121" s="127"/>
      <c r="CB121" s="127"/>
      <c r="CC121" s="127"/>
      <c r="CD121" s="127"/>
      <c r="CE121" s="127"/>
      <c r="CF121" s="127"/>
      <c r="CG121" s="127"/>
      <c r="CH121" s="127"/>
      <c r="CI121" s="127"/>
      <c r="CJ121" s="127"/>
      <c r="CK121" s="127"/>
      <c r="CL121" s="174"/>
      <c r="CM121" s="127"/>
      <c r="CN121" s="173"/>
      <c r="CO121" s="127"/>
      <c r="CP121" s="127"/>
      <c r="CQ121" s="127"/>
      <c r="CR121" s="127"/>
      <c r="CS121" s="127"/>
      <c r="CT121" s="127"/>
      <c r="CU121" s="127"/>
      <c r="CV121" s="127"/>
      <c r="CW121" s="127"/>
      <c r="CX121" s="127"/>
      <c r="CY121" s="127"/>
      <c r="CZ121" s="127"/>
      <c r="DA121" s="173"/>
      <c r="DB121" s="174"/>
      <c r="DC121" s="127"/>
      <c r="DD121" s="127"/>
      <c r="DE121" s="127"/>
      <c r="DF121" s="127"/>
      <c r="DG121" s="127"/>
      <c r="DH121" s="127"/>
      <c r="DI121" s="127"/>
      <c r="DJ121" s="127"/>
      <c r="DK121" s="127"/>
      <c r="DL121" s="127"/>
      <c r="DM121" s="127"/>
      <c r="DN121" s="127"/>
      <c r="DO121" s="127"/>
      <c r="DP121" s="127"/>
      <c r="DQ121" s="173"/>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c r="EN121" s="127"/>
      <c r="EO121" s="127"/>
      <c r="EP121" s="127"/>
      <c r="EQ121" s="127"/>
      <c r="ER121" s="127"/>
      <c r="ES121" s="127"/>
      <c r="ET121" s="127"/>
      <c r="EU121" s="127"/>
      <c r="EV121" s="127"/>
      <c r="EW121" s="127"/>
      <c r="EX121" s="173"/>
      <c r="EY121" s="173"/>
      <c r="EZ121" s="173"/>
      <c r="FA121" s="173"/>
      <c r="FB121" s="173"/>
      <c r="FC121" s="173"/>
      <c r="FD121" s="173"/>
      <c r="FE121" s="173"/>
      <c r="FF121" s="173"/>
      <c r="FG121" s="173"/>
      <c r="FH121" s="127"/>
      <c r="FI121" s="127"/>
      <c r="FJ121" s="127"/>
      <c r="FK121" s="174"/>
      <c r="FL121" s="127"/>
      <c r="FM121" s="127"/>
      <c r="FN121" s="127"/>
      <c r="FO121" s="127"/>
      <c r="FP121" s="127"/>
      <c r="FQ121" s="127"/>
      <c r="FR121" s="127"/>
      <c r="FS121" s="127"/>
      <c r="FT121" s="127"/>
      <c r="FU121" s="127"/>
      <c r="FV121" s="127"/>
      <c r="FW121" s="127"/>
      <c r="FX121" s="127"/>
      <c r="FY121" s="127"/>
      <c r="FZ121" s="127"/>
      <c r="GA121" s="127"/>
      <c r="GB121" s="127"/>
      <c r="GC121" s="174"/>
      <c r="GD121" s="127"/>
      <c r="GE121" s="127"/>
      <c r="GF121" s="127"/>
      <c r="GG121" s="174"/>
      <c r="GH121" s="127"/>
      <c r="GI121" s="127"/>
      <c r="GJ121" s="127"/>
      <c r="GK121" s="174"/>
      <c r="GL121" s="127"/>
      <c r="GM121" s="127"/>
      <c r="GN121" s="127"/>
      <c r="GO121" s="127"/>
      <c r="GP121" s="127"/>
      <c r="GQ121" s="174"/>
      <c r="GR121" s="127"/>
      <c r="GS121" s="127"/>
      <c r="GT121" s="127"/>
      <c r="GU121" s="127"/>
      <c r="GV121" s="127"/>
      <c r="GW121" s="127"/>
      <c r="GX121" s="173"/>
      <c r="GY121" s="127"/>
      <c r="GZ121" s="127"/>
      <c r="HA121" s="174"/>
    </row>
    <row r="122" spans="1:209" s="58" customFormat="1" ht="18" customHeight="1">
      <c r="A122" s="127"/>
      <c r="B122" s="127"/>
      <c r="C122" s="127"/>
      <c r="D122" s="127"/>
      <c r="E122" s="127"/>
      <c r="G122" s="127"/>
      <c r="H122" s="127"/>
      <c r="I122" s="127"/>
      <c r="J122" s="127"/>
      <c r="K122" s="127"/>
      <c r="L122" s="127"/>
      <c r="M122" s="127"/>
      <c r="N122" s="127"/>
      <c r="O122" s="127"/>
      <c r="P122" s="127"/>
      <c r="Q122" s="127"/>
      <c r="R122" s="127"/>
      <c r="S122" s="127"/>
      <c r="T122" s="127"/>
      <c r="U122" s="127"/>
      <c r="V122" s="127"/>
      <c r="W122" s="127"/>
      <c r="X122" s="127"/>
      <c r="Y122" s="127"/>
      <c r="Z122" s="127"/>
      <c r="AA122" s="127"/>
      <c r="AB122" s="127"/>
      <c r="AC122" s="127"/>
      <c r="AD122" s="127"/>
      <c r="AE122" s="127"/>
      <c r="AF122" s="127"/>
      <c r="AG122" s="127"/>
      <c r="AH122" s="127"/>
      <c r="AI122" s="127"/>
      <c r="AJ122" s="127"/>
      <c r="AK122" s="127"/>
      <c r="AL122" s="127"/>
      <c r="AM122" s="127"/>
      <c r="AN122" s="127"/>
      <c r="AO122" s="127"/>
      <c r="AP122" s="127"/>
      <c r="AQ122" s="127"/>
      <c r="AR122" s="127"/>
      <c r="AS122" s="127"/>
      <c r="AT122" s="173"/>
      <c r="AU122" s="173"/>
      <c r="AV122" s="173"/>
      <c r="AW122" s="127"/>
      <c r="AX122" s="127"/>
      <c r="AY122" s="127"/>
      <c r="AZ122" s="127"/>
      <c r="BA122" s="127"/>
      <c r="BB122" s="127"/>
      <c r="BC122" s="127"/>
      <c r="BD122" s="127"/>
      <c r="BE122" s="127"/>
      <c r="BF122" s="127"/>
      <c r="BG122" s="127"/>
      <c r="BH122" s="175"/>
      <c r="BI122" s="127"/>
      <c r="BJ122" s="175"/>
      <c r="BK122" s="127"/>
      <c r="BL122" s="175"/>
      <c r="BM122" s="127"/>
      <c r="BN122" s="127"/>
      <c r="BO122" s="127"/>
      <c r="BP122" s="127"/>
      <c r="BQ122" s="127"/>
      <c r="BR122" s="127"/>
      <c r="BS122" s="127"/>
      <c r="BT122" s="127"/>
      <c r="BU122" s="127"/>
      <c r="BV122" s="127"/>
      <c r="BW122" s="127"/>
      <c r="BX122" s="127"/>
      <c r="BY122" s="127"/>
      <c r="BZ122" s="127"/>
      <c r="CA122" s="127"/>
      <c r="CB122" s="127"/>
      <c r="CC122" s="127"/>
      <c r="CD122" s="127"/>
      <c r="CE122" s="127"/>
      <c r="CF122" s="127"/>
      <c r="CG122" s="127"/>
      <c r="CH122" s="127"/>
      <c r="CI122" s="127"/>
      <c r="CJ122" s="127"/>
      <c r="CK122" s="127"/>
      <c r="CL122" s="174"/>
      <c r="CM122" s="127"/>
      <c r="CN122" s="173"/>
      <c r="CO122" s="127"/>
      <c r="CP122" s="127"/>
      <c r="CQ122" s="127"/>
      <c r="CR122" s="127"/>
      <c r="CS122" s="127"/>
      <c r="CT122" s="127"/>
      <c r="CU122" s="127"/>
      <c r="CV122" s="127"/>
      <c r="CW122" s="127"/>
      <c r="CX122" s="127"/>
      <c r="CY122" s="127"/>
      <c r="CZ122" s="127"/>
      <c r="DA122" s="173"/>
      <c r="DB122" s="174"/>
      <c r="DC122" s="127"/>
      <c r="DD122" s="127"/>
      <c r="DE122" s="127"/>
      <c r="DF122" s="127"/>
      <c r="DG122" s="127"/>
      <c r="DH122" s="127"/>
      <c r="DI122" s="127"/>
      <c r="DJ122" s="127"/>
      <c r="DK122" s="127"/>
      <c r="DL122" s="127"/>
      <c r="DM122" s="127"/>
      <c r="DN122" s="127"/>
      <c r="DO122" s="127"/>
      <c r="DP122" s="127"/>
      <c r="DQ122" s="173"/>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c r="EN122" s="127"/>
      <c r="EO122" s="127"/>
      <c r="EP122" s="127"/>
      <c r="EQ122" s="127"/>
      <c r="ER122" s="127"/>
      <c r="ES122" s="127"/>
      <c r="ET122" s="127"/>
      <c r="EU122" s="127"/>
      <c r="EV122" s="127"/>
      <c r="EW122" s="127"/>
      <c r="EX122" s="173"/>
      <c r="EY122" s="173"/>
      <c r="EZ122" s="173"/>
      <c r="FA122" s="173"/>
      <c r="FB122" s="173"/>
      <c r="FC122" s="173"/>
      <c r="FD122" s="173"/>
      <c r="FE122" s="173"/>
      <c r="FF122" s="173"/>
      <c r="FG122" s="173"/>
      <c r="FH122" s="127"/>
      <c r="FI122" s="127"/>
      <c r="FJ122" s="127"/>
      <c r="FK122" s="174"/>
      <c r="FL122" s="127"/>
      <c r="FM122" s="127"/>
      <c r="FN122" s="127"/>
      <c r="FO122" s="127"/>
      <c r="FP122" s="127"/>
      <c r="FQ122" s="127"/>
      <c r="FR122" s="127"/>
      <c r="FS122" s="127"/>
      <c r="FT122" s="127"/>
      <c r="FU122" s="127"/>
      <c r="FV122" s="127"/>
      <c r="FW122" s="127"/>
      <c r="FX122" s="127"/>
      <c r="FY122" s="127"/>
      <c r="FZ122" s="127"/>
      <c r="GA122" s="127"/>
      <c r="GB122" s="127"/>
      <c r="GC122" s="174"/>
      <c r="GD122" s="127"/>
      <c r="GE122" s="127"/>
      <c r="GF122" s="127"/>
      <c r="GG122" s="174"/>
      <c r="GH122" s="127"/>
      <c r="GI122" s="127"/>
      <c r="GJ122" s="127"/>
      <c r="GK122" s="174"/>
      <c r="GL122" s="127"/>
      <c r="GM122" s="127"/>
      <c r="GN122" s="127"/>
      <c r="GO122" s="127"/>
      <c r="GP122" s="127"/>
      <c r="GQ122" s="174"/>
      <c r="GR122" s="127"/>
      <c r="GS122" s="127"/>
      <c r="GT122" s="127"/>
      <c r="GU122" s="127"/>
      <c r="GV122" s="127"/>
      <c r="GW122" s="127"/>
      <c r="GX122" s="173"/>
      <c r="GY122" s="127"/>
      <c r="GZ122" s="127"/>
      <c r="HA122" s="174"/>
    </row>
    <row r="123" spans="1:209" s="58" customFormat="1" ht="18" customHeight="1">
      <c r="A123" s="127"/>
      <c r="B123" s="127"/>
      <c r="C123" s="127"/>
      <c r="D123" s="127"/>
      <c r="E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7"/>
      <c r="AB123" s="127"/>
      <c r="AC123" s="127"/>
      <c r="AD123" s="127"/>
      <c r="AE123" s="127"/>
      <c r="AF123" s="127"/>
      <c r="AG123" s="127"/>
      <c r="AH123" s="127"/>
      <c r="AI123" s="127"/>
      <c r="AJ123" s="127"/>
      <c r="AK123" s="127"/>
      <c r="AL123" s="127"/>
      <c r="AM123" s="127"/>
      <c r="AN123" s="127"/>
      <c r="AO123" s="127"/>
      <c r="AP123" s="127"/>
      <c r="AQ123" s="127"/>
      <c r="AR123" s="127"/>
      <c r="AS123" s="127"/>
      <c r="AT123" s="173"/>
      <c r="AU123" s="173"/>
      <c r="AV123" s="173"/>
      <c r="AW123" s="127"/>
      <c r="AX123" s="127"/>
      <c r="AY123" s="127"/>
      <c r="AZ123" s="127"/>
      <c r="BA123" s="127"/>
      <c r="BB123" s="127"/>
      <c r="BC123" s="127"/>
      <c r="BD123" s="127"/>
      <c r="BE123" s="127"/>
      <c r="BF123" s="127"/>
      <c r="BG123" s="127"/>
      <c r="BH123" s="175"/>
      <c r="BI123" s="127"/>
      <c r="BJ123" s="175"/>
      <c r="BK123" s="127"/>
      <c r="BL123" s="175"/>
      <c r="BM123" s="127"/>
      <c r="BN123" s="127"/>
      <c r="BO123" s="127"/>
      <c r="BP123" s="127"/>
      <c r="BQ123" s="127"/>
      <c r="BR123" s="127"/>
      <c r="BS123" s="127"/>
      <c r="BT123" s="127"/>
      <c r="BU123" s="127"/>
      <c r="BV123" s="127"/>
      <c r="BW123" s="127"/>
      <c r="BX123" s="127"/>
      <c r="BY123" s="127"/>
      <c r="BZ123" s="127"/>
      <c r="CA123" s="127"/>
      <c r="CB123" s="127"/>
      <c r="CC123" s="127"/>
      <c r="CD123" s="127"/>
      <c r="CE123" s="127"/>
      <c r="CF123" s="127"/>
      <c r="CG123" s="127"/>
      <c r="CH123" s="127"/>
      <c r="CI123" s="127"/>
      <c r="CJ123" s="127"/>
      <c r="CK123" s="127"/>
      <c r="CL123" s="174"/>
      <c r="CM123" s="127"/>
      <c r="CN123" s="173"/>
      <c r="CO123" s="127"/>
      <c r="CP123" s="127"/>
      <c r="CQ123" s="127"/>
      <c r="CR123" s="127"/>
      <c r="CS123" s="127"/>
      <c r="CT123" s="127"/>
      <c r="CU123" s="127"/>
      <c r="CV123" s="127"/>
      <c r="CW123" s="127"/>
      <c r="CX123" s="127"/>
      <c r="CY123" s="127"/>
      <c r="CZ123" s="127"/>
      <c r="DA123" s="173"/>
      <c r="DB123" s="174"/>
      <c r="DC123" s="127"/>
      <c r="DD123" s="127"/>
      <c r="DE123" s="127"/>
      <c r="DF123" s="127"/>
      <c r="DG123" s="127"/>
      <c r="DH123" s="127"/>
      <c r="DI123" s="127"/>
      <c r="DJ123" s="127"/>
      <c r="DK123" s="127"/>
      <c r="DL123" s="127"/>
      <c r="DM123" s="127"/>
      <c r="DN123" s="127"/>
      <c r="DO123" s="127"/>
      <c r="DP123" s="127"/>
      <c r="DQ123" s="173"/>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c r="EN123" s="127"/>
      <c r="EO123" s="127"/>
      <c r="EP123" s="127"/>
      <c r="EQ123" s="127"/>
      <c r="ER123" s="127"/>
      <c r="ES123" s="127"/>
      <c r="ET123" s="127"/>
      <c r="EU123" s="127"/>
      <c r="EV123" s="127"/>
      <c r="EW123" s="127"/>
      <c r="EX123" s="173"/>
      <c r="EY123" s="173"/>
      <c r="EZ123" s="173"/>
      <c r="FA123" s="173"/>
      <c r="FB123" s="173"/>
      <c r="FC123" s="173"/>
      <c r="FD123" s="173"/>
      <c r="FE123" s="173"/>
      <c r="FF123" s="173"/>
      <c r="FG123" s="173"/>
      <c r="FH123" s="127"/>
      <c r="FI123" s="127"/>
      <c r="FJ123" s="127"/>
      <c r="FK123" s="174"/>
      <c r="FL123" s="127"/>
      <c r="FM123" s="127"/>
      <c r="FN123" s="127"/>
      <c r="FO123" s="127"/>
      <c r="FP123" s="127"/>
      <c r="FQ123" s="127"/>
      <c r="FR123" s="127"/>
      <c r="FS123" s="127"/>
      <c r="FT123" s="127"/>
      <c r="FU123" s="127"/>
      <c r="FV123" s="127"/>
      <c r="FW123" s="127"/>
      <c r="FX123" s="127"/>
      <c r="FY123" s="127"/>
      <c r="FZ123" s="127"/>
      <c r="GA123" s="127"/>
      <c r="GB123" s="127"/>
      <c r="GC123" s="174"/>
      <c r="GD123" s="127"/>
      <c r="GE123" s="127"/>
      <c r="GF123" s="127"/>
      <c r="GG123" s="174"/>
      <c r="GH123" s="127"/>
      <c r="GI123" s="127"/>
      <c r="GJ123" s="127"/>
      <c r="GK123" s="174"/>
      <c r="GL123" s="127"/>
      <c r="GM123" s="127"/>
      <c r="GN123" s="127"/>
      <c r="GO123" s="127"/>
      <c r="GP123" s="127"/>
      <c r="GQ123" s="174"/>
      <c r="GR123" s="127"/>
      <c r="GS123" s="127"/>
      <c r="GT123" s="127"/>
      <c r="GU123" s="127"/>
      <c r="GV123" s="127"/>
      <c r="GW123" s="127"/>
      <c r="GX123" s="173"/>
      <c r="GY123" s="127"/>
      <c r="GZ123" s="127"/>
      <c r="HA123" s="174"/>
    </row>
    <row r="124" spans="1:209" s="58" customFormat="1" ht="18" customHeight="1">
      <c r="A124" s="127"/>
      <c r="B124" s="127"/>
      <c r="C124" s="127"/>
      <c r="D124" s="127"/>
      <c r="E124" s="127"/>
      <c r="G124" s="127"/>
      <c r="H124" s="127"/>
      <c r="I124" s="127"/>
      <c r="J124" s="127"/>
      <c r="K124" s="127"/>
      <c r="L124" s="127"/>
      <c r="M124" s="127"/>
      <c r="N124" s="127"/>
      <c r="O124" s="127"/>
      <c r="P124" s="127"/>
      <c r="Q124" s="127"/>
      <c r="R124" s="127"/>
      <c r="S124" s="127"/>
      <c r="T124" s="127"/>
      <c r="U124" s="127"/>
      <c r="V124" s="127"/>
      <c r="W124" s="127"/>
      <c r="X124" s="127"/>
      <c r="Y124" s="127"/>
      <c r="Z124" s="127"/>
      <c r="AA124" s="127"/>
      <c r="AB124" s="127"/>
      <c r="AC124" s="127"/>
      <c r="AD124" s="127"/>
      <c r="AE124" s="127"/>
      <c r="AF124" s="127"/>
      <c r="AG124" s="127"/>
      <c r="AH124" s="127"/>
      <c r="AI124" s="127"/>
      <c r="AJ124" s="127"/>
      <c r="AK124" s="127"/>
      <c r="AL124" s="127"/>
      <c r="AM124" s="127"/>
      <c r="AN124" s="127"/>
      <c r="AO124" s="127"/>
      <c r="AP124" s="127"/>
      <c r="AQ124" s="127"/>
      <c r="AR124" s="127"/>
      <c r="AS124" s="127"/>
      <c r="AT124" s="173"/>
      <c r="AU124" s="173"/>
      <c r="AV124" s="173"/>
      <c r="AW124" s="127"/>
      <c r="AX124" s="127"/>
      <c r="AY124" s="127"/>
      <c r="AZ124" s="127"/>
      <c r="BA124" s="127"/>
      <c r="BB124" s="127"/>
      <c r="BC124" s="127"/>
      <c r="BD124" s="127"/>
      <c r="BE124" s="127"/>
      <c r="BF124" s="127"/>
      <c r="BG124" s="127"/>
      <c r="BH124" s="175"/>
      <c r="BI124" s="127"/>
      <c r="BJ124" s="175"/>
      <c r="BK124" s="127"/>
      <c r="BL124" s="175"/>
      <c r="BM124" s="127"/>
      <c r="BN124" s="127"/>
      <c r="BO124" s="127"/>
      <c r="BP124" s="127"/>
      <c r="BQ124" s="127"/>
      <c r="BR124" s="127"/>
      <c r="BS124" s="127"/>
      <c r="BT124" s="127"/>
      <c r="BU124" s="127"/>
      <c r="BV124" s="127"/>
      <c r="BW124" s="127"/>
      <c r="BX124" s="127"/>
      <c r="BY124" s="127"/>
      <c r="BZ124" s="127"/>
      <c r="CA124" s="127"/>
      <c r="CB124" s="127"/>
      <c r="CC124" s="127"/>
      <c r="CD124" s="127"/>
      <c r="CE124" s="127"/>
      <c r="CF124" s="127"/>
      <c r="CG124" s="127"/>
      <c r="CH124" s="127"/>
      <c r="CI124" s="127"/>
      <c r="CJ124" s="127"/>
      <c r="CK124" s="127"/>
      <c r="CL124" s="174"/>
      <c r="CM124" s="127"/>
      <c r="CN124" s="173"/>
      <c r="CO124" s="127"/>
      <c r="CP124" s="127"/>
      <c r="CQ124" s="127"/>
      <c r="CR124" s="127"/>
      <c r="CS124" s="127"/>
      <c r="CT124" s="127"/>
      <c r="CU124" s="127"/>
      <c r="CV124" s="127"/>
      <c r="CW124" s="127"/>
      <c r="CX124" s="127"/>
      <c r="CY124" s="127"/>
      <c r="CZ124" s="127"/>
      <c r="DA124" s="173"/>
      <c r="DB124" s="174"/>
      <c r="DC124" s="127"/>
      <c r="DD124" s="127"/>
      <c r="DE124" s="127"/>
      <c r="DF124" s="127"/>
      <c r="DG124" s="127"/>
      <c r="DH124" s="127"/>
      <c r="DI124" s="127"/>
      <c r="DJ124" s="127"/>
      <c r="DK124" s="127"/>
      <c r="DL124" s="127"/>
      <c r="DM124" s="127"/>
      <c r="DN124" s="127"/>
      <c r="DO124" s="127"/>
      <c r="DP124" s="127"/>
      <c r="DQ124" s="173"/>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c r="EN124" s="127"/>
      <c r="EO124" s="127"/>
      <c r="EP124" s="127"/>
      <c r="EQ124" s="127"/>
      <c r="ER124" s="127"/>
      <c r="ES124" s="127"/>
      <c r="ET124" s="127"/>
      <c r="EU124" s="127"/>
      <c r="EV124" s="127"/>
      <c r="EW124" s="127"/>
      <c r="EX124" s="173"/>
      <c r="EY124" s="173"/>
      <c r="EZ124" s="173"/>
      <c r="FA124" s="173"/>
      <c r="FB124" s="173"/>
      <c r="FC124" s="173"/>
      <c r="FD124" s="173"/>
      <c r="FE124" s="173"/>
      <c r="FF124" s="173"/>
      <c r="FG124" s="173"/>
      <c r="FH124" s="127"/>
      <c r="FI124" s="127"/>
      <c r="FJ124" s="127"/>
      <c r="FK124" s="174"/>
      <c r="FL124" s="127"/>
      <c r="FM124" s="127"/>
      <c r="FN124" s="127"/>
      <c r="FO124" s="127"/>
      <c r="FP124" s="127"/>
      <c r="FQ124" s="127"/>
      <c r="FR124" s="127"/>
      <c r="FS124" s="127"/>
      <c r="FT124" s="127"/>
      <c r="FU124" s="127"/>
      <c r="FV124" s="127"/>
      <c r="FW124" s="127"/>
      <c r="FX124" s="127"/>
      <c r="FY124" s="127"/>
      <c r="FZ124" s="127"/>
      <c r="GA124" s="127"/>
      <c r="GB124" s="127"/>
      <c r="GC124" s="174"/>
      <c r="GD124" s="127"/>
      <c r="GE124" s="127"/>
      <c r="GF124" s="127"/>
      <c r="GG124" s="174"/>
      <c r="GH124" s="127"/>
      <c r="GI124" s="127"/>
      <c r="GJ124" s="127"/>
      <c r="GK124" s="174"/>
      <c r="GL124" s="127"/>
      <c r="GM124" s="127"/>
      <c r="GN124" s="127"/>
      <c r="GO124" s="127"/>
      <c r="GP124" s="127"/>
      <c r="GQ124" s="174"/>
      <c r="GR124" s="127"/>
      <c r="GS124" s="127"/>
      <c r="GT124" s="127"/>
      <c r="GU124" s="127"/>
      <c r="GV124" s="127"/>
      <c r="GW124" s="127"/>
      <c r="GX124" s="173"/>
      <c r="GY124" s="127"/>
      <c r="GZ124" s="127"/>
      <c r="HA124" s="174"/>
    </row>
    <row r="125" spans="1:209" s="58" customFormat="1" ht="18" customHeight="1">
      <c r="A125" s="127"/>
      <c r="B125" s="127"/>
      <c r="C125" s="127"/>
      <c r="D125" s="127"/>
      <c r="E125" s="127"/>
      <c r="G125" s="127"/>
      <c r="H125" s="127"/>
      <c r="I125" s="127"/>
      <c r="J125" s="127"/>
      <c r="K125" s="127"/>
      <c r="L125" s="127"/>
      <c r="M125" s="127"/>
      <c r="N125" s="127"/>
      <c r="O125" s="127"/>
      <c r="P125" s="127"/>
      <c r="Q125" s="127"/>
      <c r="R125" s="127"/>
      <c r="S125" s="127"/>
      <c r="T125" s="127"/>
      <c r="U125" s="127"/>
      <c r="V125" s="127"/>
      <c r="W125" s="127"/>
      <c r="X125" s="127"/>
      <c r="Y125" s="127"/>
      <c r="Z125" s="127"/>
      <c r="AA125" s="127"/>
      <c r="AB125" s="127"/>
      <c r="AC125" s="127"/>
      <c r="AD125" s="127"/>
      <c r="AE125" s="127"/>
      <c r="AF125" s="127"/>
      <c r="AG125" s="127"/>
      <c r="AH125" s="127"/>
      <c r="AI125" s="127"/>
      <c r="AJ125" s="127"/>
      <c r="AK125" s="127"/>
      <c r="AL125" s="127"/>
      <c r="AM125" s="127"/>
      <c r="AN125" s="127"/>
      <c r="AO125" s="127"/>
      <c r="AP125" s="127"/>
      <c r="AQ125" s="127"/>
      <c r="AR125" s="127"/>
      <c r="AS125" s="127"/>
      <c r="AT125" s="173"/>
      <c r="AU125" s="173"/>
      <c r="AV125" s="173"/>
      <c r="AW125" s="127"/>
      <c r="AX125" s="127"/>
      <c r="AY125" s="127"/>
      <c r="AZ125" s="127"/>
      <c r="BA125" s="127"/>
      <c r="BB125" s="127"/>
      <c r="BC125" s="127"/>
      <c r="BD125" s="127"/>
      <c r="BE125" s="127"/>
      <c r="BF125" s="127"/>
      <c r="BG125" s="127"/>
      <c r="BH125" s="175"/>
      <c r="BI125" s="127"/>
      <c r="BJ125" s="175"/>
      <c r="BK125" s="127"/>
      <c r="BL125" s="175"/>
      <c r="BM125" s="127"/>
      <c r="BN125" s="127"/>
      <c r="BO125" s="127"/>
      <c r="BP125" s="127"/>
      <c r="BQ125" s="127"/>
      <c r="BR125" s="127"/>
      <c r="BS125" s="127"/>
      <c r="BT125" s="127"/>
      <c r="BU125" s="127"/>
      <c r="BV125" s="127"/>
      <c r="BW125" s="127"/>
      <c r="BX125" s="127"/>
      <c r="BY125" s="127"/>
      <c r="BZ125" s="127"/>
      <c r="CA125" s="127"/>
      <c r="CB125" s="127"/>
      <c r="CC125" s="127"/>
      <c r="CD125" s="127"/>
      <c r="CE125" s="127"/>
      <c r="CF125" s="127"/>
      <c r="CG125" s="127"/>
      <c r="CH125" s="127"/>
      <c r="CI125" s="127"/>
      <c r="CJ125" s="127"/>
      <c r="CK125" s="127"/>
      <c r="CL125" s="174"/>
      <c r="CM125" s="127"/>
      <c r="CN125" s="173"/>
      <c r="CO125" s="127"/>
      <c r="CP125" s="127"/>
      <c r="CQ125" s="127"/>
      <c r="CR125" s="127"/>
      <c r="CS125" s="127"/>
      <c r="CT125" s="127"/>
      <c r="CU125" s="127"/>
      <c r="CV125" s="127"/>
      <c r="CW125" s="127"/>
      <c r="CX125" s="127"/>
      <c r="CY125" s="127"/>
      <c r="CZ125" s="127"/>
      <c r="DA125" s="173"/>
      <c r="DB125" s="174"/>
      <c r="DC125" s="127"/>
      <c r="DD125" s="127"/>
      <c r="DE125" s="127"/>
      <c r="DF125" s="127"/>
      <c r="DG125" s="127"/>
      <c r="DH125" s="127"/>
      <c r="DI125" s="127"/>
      <c r="DJ125" s="127"/>
      <c r="DK125" s="127"/>
      <c r="DL125" s="127"/>
      <c r="DM125" s="127"/>
      <c r="DN125" s="127"/>
      <c r="DO125" s="127"/>
      <c r="DP125" s="127"/>
      <c r="DQ125" s="173"/>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c r="EN125" s="127"/>
      <c r="EO125" s="127"/>
      <c r="EP125" s="127"/>
      <c r="EQ125" s="127"/>
      <c r="ER125" s="127"/>
      <c r="ES125" s="127"/>
      <c r="ET125" s="127"/>
      <c r="EU125" s="127"/>
      <c r="EV125" s="127"/>
      <c r="EW125" s="127"/>
      <c r="EX125" s="173"/>
      <c r="EY125" s="173"/>
      <c r="EZ125" s="173"/>
      <c r="FA125" s="173"/>
      <c r="FB125" s="173"/>
      <c r="FC125" s="173"/>
      <c r="FD125" s="173"/>
      <c r="FE125" s="173"/>
      <c r="FF125" s="173"/>
      <c r="FG125" s="173"/>
      <c r="FH125" s="127"/>
      <c r="FI125" s="127"/>
      <c r="FJ125" s="127"/>
      <c r="FK125" s="174"/>
      <c r="FL125" s="127"/>
      <c r="FM125" s="127"/>
      <c r="FN125" s="127"/>
      <c r="FO125" s="127"/>
      <c r="FP125" s="127"/>
      <c r="FQ125" s="127"/>
      <c r="FR125" s="127"/>
      <c r="FS125" s="127"/>
      <c r="FT125" s="127"/>
      <c r="FU125" s="127"/>
      <c r="FV125" s="127"/>
      <c r="FW125" s="127"/>
      <c r="FX125" s="127"/>
      <c r="FY125" s="127"/>
      <c r="FZ125" s="127"/>
      <c r="GA125" s="127"/>
      <c r="GB125" s="127"/>
      <c r="GC125" s="174"/>
      <c r="GD125" s="127"/>
      <c r="GE125" s="127"/>
      <c r="GF125" s="127"/>
      <c r="GG125" s="174"/>
      <c r="GH125" s="127"/>
      <c r="GI125" s="127"/>
      <c r="GJ125" s="127"/>
      <c r="GK125" s="174"/>
      <c r="GL125" s="127"/>
      <c r="GM125" s="127"/>
      <c r="GN125" s="127"/>
      <c r="GO125" s="127"/>
      <c r="GP125" s="127"/>
      <c r="GQ125" s="174"/>
      <c r="GR125" s="127"/>
      <c r="GS125" s="127"/>
      <c r="GT125" s="127"/>
      <c r="GU125" s="127"/>
      <c r="GV125" s="127"/>
      <c r="GW125" s="127"/>
      <c r="GX125" s="173"/>
      <c r="GY125" s="127"/>
      <c r="GZ125" s="127"/>
      <c r="HA125" s="174"/>
    </row>
    <row r="126" spans="1:209" s="58" customFormat="1" ht="18" customHeight="1">
      <c r="A126" s="127"/>
      <c r="B126" s="127"/>
      <c r="C126" s="127"/>
      <c r="D126" s="127"/>
      <c r="E126" s="127"/>
      <c r="G126" s="127"/>
      <c r="H126" s="127"/>
      <c r="I126" s="127"/>
      <c r="J126" s="127"/>
      <c r="K126" s="127"/>
      <c r="L126" s="127"/>
      <c r="M126" s="127"/>
      <c r="N126" s="127"/>
      <c r="O126" s="127"/>
      <c r="P126" s="127"/>
      <c r="Q126" s="127"/>
      <c r="R126" s="127"/>
      <c r="S126" s="127"/>
      <c r="T126" s="127"/>
      <c r="U126" s="127"/>
      <c r="V126" s="127"/>
      <c r="W126" s="127"/>
      <c r="X126" s="127"/>
      <c r="Y126" s="127"/>
      <c r="Z126" s="127"/>
      <c r="AA126" s="127"/>
      <c r="AB126" s="127"/>
      <c r="AC126" s="127"/>
      <c r="AD126" s="127"/>
      <c r="AE126" s="127"/>
      <c r="AF126" s="127"/>
      <c r="AG126" s="127"/>
      <c r="AH126" s="127"/>
      <c r="AI126" s="127"/>
      <c r="AJ126" s="127"/>
      <c r="AK126" s="127"/>
      <c r="AL126" s="127"/>
      <c r="AM126" s="127"/>
      <c r="AN126" s="127"/>
      <c r="AO126" s="127"/>
      <c r="AP126" s="127"/>
      <c r="AQ126" s="127"/>
      <c r="AR126" s="127"/>
      <c r="AS126" s="127"/>
      <c r="AT126" s="173"/>
      <c r="AU126" s="173"/>
      <c r="AV126" s="173"/>
      <c r="AW126" s="127"/>
      <c r="AX126" s="127"/>
      <c r="AY126" s="127"/>
      <c r="AZ126" s="127"/>
      <c r="BA126" s="127"/>
      <c r="BB126" s="127"/>
      <c r="BC126" s="127"/>
      <c r="BD126" s="127"/>
      <c r="BE126" s="127"/>
      <c r="BF126" s="127"/>
      <c r="BG126" s="127"/>
      <c r="BH126" s="175"/>
      <c r="BI126" s="127"/>
      <c r="BJ126" s="175"/>
      <c r="BK126" s="127"/>
      <c r="BL126" s="175"/>
      <c r="BM126" s="127"/>
      <c r="BN126" s="127"/>
      <c r="BO126" s="127"/>
      <c r="BP126" s="127"/>
      <c r="BQ126" s="127"/>
      <c r="BR126" s="127"/>
      <c r="BS126" s="127"/>
      <c r="BT126" s="127"/>
      <c r="BU126" s="127"/>
      <c r="BV126" s="127"/>
      <c r="BW126" s="127"/>
      <c r="BX126" s="127"/>
      <c r="BY126" s="127"/>
      <c r="BZ126" s="127"/>
      <c r="CA126" s="127"/>
      <c r="CB126" s="127"/>
      <c r="CC126" s="127"/>
      <c r="CD126" s="127"/>
      <c r="CE126" s="127"/>
      <c r="CF126" s="127"/>
      <c r="CG126" s="127"/>
      <c r="CH126" s="127"/>
      <c r="CI126" s="127"/>
      <c r="CJ126" s="127"/>
      <c r="CK126" s="127"/>
      <c r="CL126" s="174"/>
      <c r="CM126" s="127"/>
      <c r="CN126" s="173"/>
      <c r="CO126" s="127"/>
      <c r="CP126" s="127"/>
      <c r="CQ126" s="127"/>
      <c r="CR126" s="127"/>
      <c r="CS126" s="127"/>
      <c r="CT126" s="127"/>
      <c r="CU126" s="127"/>
      <c r="CV126" s="127"/>
      <c r="CW126" s="127"/>
      <c r="CX126" s="127"/>
      <c r="CY126" s="127"/>
      <c r="CZ126" s="127"/>
      <c r="DA126" s="173"/>
      <c r="DB126" s="174"/>
      <c r="DC126" s="127"/>
      <c r="DD126" s="127"/>
      <c r="DE126" s="127"/>
      <c r="DF126" s="127"/>
      <c r="DG126" s="127"/>
      <c r="DH126" s="127"/>
      <c r="DI126" s="127"/>
      <c r="DJ126" s="127"/>
      <c r="DK126" s="127"/>
      <c r="DL126" s="127"/>
      <c r="DM126" s="127"/>
      <c r="DN126" s="127"/>
      <c r="DO126" s="127"/>
      <c r="DP126" s="127"/>
      <c r="DQ126" s="173"/>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c r="EN126" s="127"/>
      <c r="EO126" s="127"/>
      <c r="EP126" s="127"/>
      <c r="EQ126" s="127"/>
      <c r="ER126" s="127"/>
      <c r="ES126" s="127"/>
      <c r="ET126" s="127"/>
      <c r="EU126" s="127"/>
      <c r="EV126" s="127"/>
      <c r="EW126" s="127"/>
      <c r="EX126" s="173"/>
      <c r="EY126" s="173"/>
      <c r="EZ126" s="173"/>
      <c r="FA126" s="173"/>
      <c r="FB126" s="173"/>
      <c r="FC126" s="173"/>
      <c r="FD126" s="173"/>
      <c r="FE126" s="173"/>
      <c r="FF126" s="173"/>
      <c r="FG126" s="173"/>
      <c r="FH126" s="127"/>
      <c r="FI126" s="127"/>
      <c r="FJ126" s="127"/>
      <c r="FK126" s="174"/>
      <c r="FL126" s="127"/>
      <c r="FM126" s="127"/>
      <c r="FN126" s="127"/>
      <c r="FO126" s="127"/>
      <c r="FP126" s="127"/>
      <c r="FQ126" s="127"/>
      <c r="FR126" s="127"/>
      <c r="FS126" s="127"/>
      <c r="FT126" s="127"/>
      <c r="FU126" s="127"/>
      <c r="FV126" s="127"/>
      <c r="FW126" s="127"/>
      <c r="FX126" s="127"/>
      <c r="FY126" s="127"/>
      <c r="FZ126" s="127"/>
      <c r="GA126" s="127"/>
      <c r="GB126" s="127"/>
      <c r="GC126" s="174"/>
      <c r="GD126" s="127"/>
      <c r="GE126" s="127"/>
      <c r="GF126" s="127"/>
      <c r="GG126" s="174"/>
      <c r="GH126" s="127"/>
      <c r="GI126" s="127"/>
      <c r="GJ126" s="127"/>
      <c r="GK126" s="174"/>
      <c r="GL126" s="127"/>
      <c r="GM126" s="127"/>
      <c r="GN126" s="127"/>
      <c r="GO126" s="127"/>
      <c r="GP126" s="127"/>
      <c r="GQ126" s="174"/>
      <c r="GR126" s="127"/>
      <c r="GS126" s="127"/>
      <c r="GT126" s="127"/>
      <c r="GU126" s="127"/>
      <c r="GV126" s="127"/>
      <c r="GW126" s="127"/>
      <c r="GX126" s="173"/>
      <c r="GY126" s="127"/>
      <c r="GZ126" s="127"/>
      <c r="HA126" s="174"/>
    </row>
    <row r="127" spans="1:209" s="58" customFormat="1" ht="18" customHeight="1">
      <c r="A127" s="127"/>
      <c r="B127" s="127"/>
      <c r="C127" s="127"/>
      <c r="D127" s="127"/>
      <c r="E127" s="127"/>
      <c r="G127" s="127"/>
      <c r="H127" s="127"/>
      <c r="I127" s="127"/>
      <c r="J127" s="127"/>
      <c r="K127" s="127"/>
      <c r="L127" s="127"/>
      <c r="M127" s="127"/>
      <c r="N127" s="127"/>
      <c r="O127" s="127"/>
      <c r="P127" s="127"/>
      <c r="Q127" s="127"/>
      <c r="R127" s="127"/>
      <c r="S127" s="127"/>
      <c r="T127" s="127"/>
      <c r="U127" s="127"/>
      <c r="V127" s="127"/>
      <c r="W127" s="127"/>
      <c r="X127" s="127"/>
      <c r="Y127" s="127"/>
      <c r="Z127" s="127"/>
      <c r="AA127" s="127"/>
      <c r="AB127" s="127"/>
      <c r="AC127" s="127"/>
      <c r="AD127" s="127"/>
      <c r="AE127" s="127"/>
      <c r="AF127" s="127"/>
      <c r="AG127" s="127"/>
      <c r="AH127" s="127"/>
      <c r="AI127" s="127"/>
      <c r="AJ127" s="127"/>
      <c r="AK127" s="127"/>
      <c r="AL127" s="127"/>
      <c r="AM127" s="127"/>
      <c r="AN127" s="127"/>
      <c r="AO127" s="127"/>
      <c r="AP127" s="127"/>
      <c r="AQ127" s="127"/>
      <c r="AR127" s="127"/>
      <c r="AS127" s="127"/>
      <c r="AT127" s="173"/>
      <c r="AU127" s="173"/>
      <c r="AV127" s="173"/>
      <c r="AW127" s="127"/>
      <c r="AX127" s="127"/>
      <c r="AY127" s="127"/>
      <c r="AZ127" s="127"/>
      <c r="BA127" s="127"/>
      <c r="BB127" s="127"/>
      <c r="BC127" s="127"/>
      <c r="BD127" s="127"/>
      <c r="BE127" s="127"/>
      <c r="BF127" s="127"/>
      <c r="BG127" s="127"/>
      <c r="BH127" s="175"/>
      <c r="BI127" s="127"/>
      <c r="BJ127" s="175"/>
      <c r="BK127" s="127"/>
      <c r="BL127" s="175"/>
      <c r="BM127" s="127"/>
      <c r="BN127" s="127"/>
      <c r="BO127" s="127"/>
      <c r="BP127" s="127"/>
      <c r="BQ127" s="127"/>
      <c r="BR127" s="127"/>
      <c r="BS127" s="127"/>
      <c r="BT127" s="127"/>
      <c r="BU127" s="127"/>
      <c r="BV127" s="127"/>
      <c r="BW127" s="127"/>
      <c r="BX127" s="127"/>
      <c r="BY127" s="127"/>
      <c r="BZ127" s="127"/>
      <c r="CA127" s="127"/>
      <c r="CB127" s="127"/>
      <c r="CC127" s="127"/>
      <c r="CD127" s="127"/>
      <c r="CE127" s="127"/>
      <c r="CF127" s="127"/>
      <c r="CG127" s="127"/>
      <c r="CH127" s="127"/>
      <c r="CI127" s="127"/>
      <c r="CJ127" s="127"/>
      <c r="CK127" s="127"/>
      <c r="CL127" s="174"/>
      <c r="CM127" s="127"/>
      <c r="CN127" s="173"/>
      <c r="CO127" s="127"/>
      <c r="CP127" s="127"/>
      <c r="CQ127" s="127"/>
      <c r="CR127" s="127"/>
      <c r="CS127" s="127"/>
      <c r="CT127" s="127"/>
      <c r="CU127" s="127"/>
      <c r="CV127" s="127"/>
      <c r="CW127" s="127"/>
      <c r="CX127" s="127"/>
      <c r="CY127" s="127"/>
      <c r="CZ127" s="127"/>
      <c r="DA127" s="173"/>
      <c r="DB127" s="174"/>
      <c r="DC127" s="127"/>
      <c r="DD127" s="127"/>
      <c r="DE127" s="127"/>
      <c r="DF127" s="127"/>
      <c r="DG127" s="127"/>
      <c r="DH127" s="127"/>
      <c r="DI127" s="127"/>
      <c r="DJ127" s="127"/>
      <c r="DK127" s="127"/>
      <c r="DL127" s="127"/>
      <c r="DM127" s="127"/>
      <c r="DN127" s="127"/>
      <c r="DO127" s="127"/>
      <c r="DP127" s="127"/>
      <c r="DQ127" s="173"/>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c r="EN127" s="127"/>
      <c r="EO127" s="127"/>
      <c r="EP127" s="127"/>
      <c r="EQ127" s="127"/>
      <c r="ER127" s="127"/>
      <c r="ES127" s="127"/>
      <c r="ET127" s="127"/>
      <c r="EU127" s="127"/>
      <c r="EV127" s="127"/>
      <c r="EW127" s="127"/>
      <c r="EX127" s="173"/>
      <c r="EY127" s="173"/>
      <c r="EZ127" s="173"/>
      <c r="FA127" s="173"/>
      <c r="FB127" s="173"/>
      <c r="FC127" s="173"/>
      <c r="FD127" s="173"/>
      <c r="FE127" s="173"/>
      <c r="FF127" s="173"/>
      <c r="FG127" s="173"/>
      <c r="FH127" s="127"/>
      <c r="FI127" s="127"/>
      <c r="FJ127" s="127"/>
      <c r="FK127" s="174"/>
      <c r="FL127" s="127"/>
      <c r="FM127" s="127"/>
      <c r="FN127" s="127"/>
      <c r="FO127" s="127"/>
      <c r="FP127" s="127"/>
      <c r="FQ127" s="127"/>
      <c r="FR127" s="127"/>
      <c r="FS127" s="127"/>
      <c r="FT127" s="127"/>
      <c r="FU127" s="127"/>
      <c r="FV127" s="127"/>
      <c r="FW127" s="127"/>
      <c r="FX127" s="127"/>
      <c r="FY127" s="127"/>
      <c r="FZ127" s="127"/>
      <c r="GA127" s="127"/>
      <c r="GB127" s="127"/>
      <c r="GC127" s="174"/>
      <c r="GD127" s="127"/>
      <c r="GE127" s="127"/>
      <c r="GF127" s="127"/>
      <c r="GG127" s="174"/>
      <c r="GH127" s="127"/>
      <c r="GI127" s="127"/>
      <c r="GJ127" s="127"/>
      <c r="GK127" s="174"/>
      <c r="GL127" s="127"/>
      <c r="GM127" s="127"/>
      <c r="GN127" s="127"/>
      <c r="GO127" s="127"/>
      <c r="GP127" s="127"/>
      <c r="GQ127" s="174"/>
      <c r="GR127" s="127"/>
      <c r="GS127" s="127"/>
      <c r="GT127" s="127"/>
      <c r="GU127" s="127"/>
      <c r="GV127" s="127"/>
      <c r="GW127" s="127"/>
      <c r="GX127" s="173"/>
      <c r="GY127" s="127"/>
      <c r="GZ127" s="127"/>
      <c r="HA127" s="174"/>
    </row>
    <row r="128" spans="1:209" s="58" customFormat="1" ht="18" customHeight="1">
      <c r="A128" s="127"/>
      <c r="B128" s="127"/>
      <c r="C128" s="127"/>
      <c r="D128" s="127"/>
      <c r="E128" s="127"/>
      <c r="G128" s="127"/>
      <c r="H128" s="127"/>
      <c r="I128" s="127"/>
      <c r="J128" s="127"/>
      <c r="K128" s="127"/>
      <c r="L128" s="127"/>
      <c r="M128" s="127"/>
      <c r="N128" s="127"/>
      <c r="O128" s="127"/>
      <c r="P128" s="127"/>
      <c r="Q128" s="127"/>
      <c r="R128" s="127"/>
      <c r="S128" s="127"/>
      <c r="T128" s="127"/>
      <c r="U128" s="127"/>
      <c r="V128" s="127"/>
      <c r="W128" s="127"/>
      <c r="X128" s="127"/>
      <c r="Y128" s="127"/>
      <c r="Z128" s="127"/>
      <c r="AA128" s="127"/>
      <c r="AB128" s="127"/>
      <c r="AC128" s="127"/>
      <c r="AD128" s="127"/>
      <c r="AE128" s="127"/>
      <c r="AF128" s="127"/>
      <c r="AG128" s="127"/>
      <c r="AH128" s="127"/>
      <c r="AI128" s="127"/>
      <c r="AJ128" s="127"/>
      <c r="AK128" s="127"/>
      <c r="AL128" s="127"/>
      <c r="AM128" s="127"/>
      <c r="AN128" s="127"/>
      <c r="AO128" s="127"/>
      <c r="AP128" s="127"/>
      <c r="AQ128" s="127"/>
      <c r="AR128" s="127"/>
      <c r="AS128" s="127"/>
      <c r="AT128" s="173"/>
      <c r="AU128" s="173"/>
      <c r="AV128" s="173"/>
      <c r="AW128" s="127"/>
      <c r="AX128" s="127"/>
      <c r="AY128" s="127"/>
      <c r="AZ128" s="127"/>
      <c r="BA128" s="127"/>
      <c r="BB128" s="127"/>
      <c r="BC128" s="127"/>
      <c r="BD128" s="127"/>
      <c r="BE128" s="127"/>
      <c r="BF128" s="127"/>
      <c r="BG128" s="127"/>
      <c r="BH128" s="175"/>
      <c r="BI128" s="127"/>
      <c r="BJ128" s="175"/>
      <c r="BK128" s="127"/>
      <c r="BL128" s="175"/>
      <c r="BM128" s="127"/>
      <c r="BN128" s="127"/>
      <c r="BO128" s="127"/>
      <c r="BP128" s="127"/>
      <c r="BQ128" s="127"/>
      <c r="BR128" s="127"/>
      <c r="BS128" s="127"/>
      <c r="BT128" s="127"/>
      <c r="BU128" s="127"/>
      <c r="BV128" s="127"/>
      <c r="BW128" s="127"/>
      <c r="BX128" s="127"/>
      <c r="BY128" s="127"/>
      <c r="BZ128" s="127"/>
      <c r="CA128" s="127"/>
      <c r="CB128" s="127"/>
      <c r="CC128" s="127"/>
      <c r="CD128" s="127"/>
      <c r="CE128" s="127"/>
      <c r="CF128" s="127"/>
      <c r="CG128" s="127"/>
      <c r="CH128" s="127"/>
      <c r="CI128" s="127"/>
      <c r="CJ128" s="127"/>
      <c r="CK128" s="127"/>
      <c r="CL128" s="174"/>
      <c r="CM128" s="127"/>
      <c r="CN128" s="173"/>
      <c r="CO128" s="127"/>
      <c r="CP128" s="127"/>
      <c r="CQ128" s="127"/>
      <c r="CR128" s="127"/>
      <c r="CS128" s="127"/>
      <c r="CT128" s="127"/>
      <c r="CU128" s="127"/>
      <c r="CV128" s="127"/>
      <c r="CW128" s="127"/>
      <c r="CX128" s="127"/>
      <c r="CY128" s="127"/>
      <c r="CZ128" s="127"/>
      <c r="DA128" s="173"/>
      <c r="DB128" s="174"/>
      <c r="DC128" s="127"/>
      <c r="DD128" s="127"/>
      <c r="DE128" s="127"/>
      <c r="DF128" s="127"/>
      <c r="DG128" s="127"/>
      <c r="DH128" s="127"/>
      <c r="DI128" s="127"/>
      <c r="DJ128" s="127"/>
      <c r="DK128" s="127"/>
      <c r="DL128" s="127"/>
      <c r="DM128" s="127"/>
      <c r="DN128" s="127"/>
      <c r="DO128" s="127"/>
      <c r="DP128" s="127"/>
      <c r="DQ128" s="173"/>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c r="EN128" s="127"/>
      <c r="EO128" s="127"/>
      <c r="EP128" s="127"/>
      <c r="EQ128" s="127"/>
      <c r="ER128" s="127"/>
      <c r="ES128" s="127"/>
      <c r="ET128" s="127"/>
      <c r="EU128" s="127"/>
      <c r="EV128" s="127"/>
      <c r="EW128" s="127"/>
      <c r="EX128" s="173"/>
      <c r="EY128" s="173"/>
      <c r="EZ128" s="173"/>
      <c r="FA128" s="173"/>
      <c r="FB128" s="173"/>
      <c r="FC128" s="173"/>
      <c r="FD128" s="173"/>
      <c r="FE128" s="173"/>
      <c r="FF128" s="173"/>
      <c r="FG128" s="173"/>
      <c r="FH128" s="127"/>
      <c r="FI128" s="127"/>
      <c r="FJ128" s="127"/>
      <c r="FK128" s="174"/>
      <c r="FL128" s="127"/>
      <c r="FM128" s="127"/>
      <c r="FN128" s="127"/>
      <c r="FO128" s="127"/>
      <c r="FP128" s="127"/>
      <c r="FQ128" s="127"/>
      <c r="FR128" s="127"/>
      <c r="FS128" s="127"/>
      <c r="FT128" s="127"/>
      <c r="FU128" s="127"/>
      <c r="FV128" s="127"/>
      <c r="FW128" s="127"/>
      <c r="FX128" s="127"/>
      <c r="FY128" s="127"/>
      <c r="FZ128" s="127"/>
      <c r="GA128" s="127"/>
      <c r="GB128" s="127"/>
      <c r="GC128" s="174"/>
      <c r="GD128" s="127"/>
      <c r="GE128" s="127"/>
      <c r="GF128" s="127"/>
      <c r="GG128" s="174"/>
      <c r="GH128" s="127"/>
      <c r="GI128" s="127"/>
      <c r="GJ128" s="127"/>
      <c r="GK128" s="174"/>
      <c r="GL128" s="127"/>
      <c r="GM128" s="127"/>
      <c r="GN128" s="127"/>
      <c r="GO128" s="127"/>
      <c r="GP128" s="127"/>
      <c r="GQ128" s="174"/>
      <c r="GR128" s="127"/>
      <c r="GS128" s="127"/>
      <c r="GT128" s="127"/>
      <c r="GU128" s="127"/>
      <c r="GV128" s="127"/>
      <c r="GW128" s="127"/>
      <c r="GX128" s="173"/>
      <c r="GY128" s="127"/>
      <c r="GZ128" s="127"/>
      <c r="HA128" s="174"/>
    </row>
    <row r="129" spans="1:209" s="58" customFormat="1" ht="18" customHeight="1">
      <c r="A129" s="127"/>
      <c r="B129" s="127"/>
      <c r="C129" s="127"/>
      <c r="D129" s="127"/>
      <c r="E129" s="127"/>
      <c r="G129" s="127"/>
      <c r="H129" s="127"/>
      <c r="I129" s="127"/>
      <c r="J129" s="127"/>
      <c r="K129" s="127"/>
      <c r="L129" s="127"/>
      <c r="M129" s="127"/>
      <c r="N129" s="127"/>
      <c r="O129" s="127"/>
      <c r="P129" s="127"/>
      <c r="Q129" s="127"/>
      <c r="R129" s="127"/>
      <c r="S129" s="127"/>
      <c r="T129" s="127"/>
      <c r="U129" s="127"/>
      <c r="V129" s="127"/>
      <c r="W129" s="127"/>
      <c r="X129" s="127"/>
      <c r="Y129" s="127"/>
      <c r="Z129" s="127"/>
      <c r="AA129" s="127"/>
      <c r="AB129" s="127"/>
      <c r="AC129" s="127"/>
      <c r="AD129" s="127"/>
      <c r="AE129" s="127"/>
      <c r="AF129" s="127"/>
      <c r="AG129" s="127"/>
      <c r="AH129" s="127"/>
      <c r="AI129" s="127"/>
      <c r="AJ129" s="127"/>
      <c r="AK129" s="127"/>
      <c r="AL129" s="127"/>
      <c r="AM129" s="127"/>
      <c r="AN129" s="127"/>
      <c r="AO129" s="127"/>
      <c r="AP129" s="127"/>
      <c r="AQ129" s="127"/>
      <c r="AR129" s="127"/>
      <c r="AS129" s="127"/>
      <c r="AT129" s="173"/>
      <c r="AU129" s="173"/>
      <c r="AV129" s="173"/>
      <c r="AW129" s="127"/>
      <c r="AX129" s="127"/>
      <c r="AY129" s="127"/>
      <c r="AZ129" s="127"/>
      <c r="BA129" s="127"/>
      <c r="BB129" s="127"/>
      <c r="BC129" s="127"/>
      <c r="BD129" s="127"/>
      <c r="BE129" s="127"/>
      <c r="BF129" s="127"/>
      <c r="BG129" s="127"/>
      <c r="BH129" s="175"/>
      <c r="BI129" s="127"/>
      <c r="BJ129" s="175"/>
      <c r="BK129" s="127"/>
      <c r="BL129" s="175"/>
      <c r="BM129" s="127"/>
      <c r="BN129" s="127"/>
      <c r="BO129" s="127"/>
      <c r="BP129" s="127"/>
      <c r="BQ129" s="127"/>
      <c r="BR129" s="127"/>
      <c r="BS129" s="127"/>
      <c r="BT129" s="127"/>
      <c r="BU129" s="127"/>
      <c r="BV129" s="127"/>
      <c r="BW129" s="127"/>
      <c r="BX129" s="127"/>
      <c r="BY129" s="127"/>
      <c r="BZ129" s="127"/>
      <c r="CA129" s="127"/>
      <c r="CB129" s="127"/>
      <c r="CC129" s="127"/>
      <c r="CD129" s="127"/>
      <c r="CE129" s="127"/>
      <c r="CF129" s="127"/>
      <c r="CG129" s="127"/>
      <c r="CH129" s="127"/>
      <c r="CI129" s="127"/>
      <c r="CJ129" s="127"/>
      <c r="CK129" s="127"/>
      <c r="CL129" s="174"/>
      <c r="CM129" s="127"/>
      <c r="CN129" s="173"/>
      <c r="CO129" s="127"/>
      <c r="CP129" s="127"/>
      <c r="CQ129" s="127"/>
      <c r="CR129" s="127"/>
      <c r="CS129" s="127"/>
      <c r="CT129" s="127"/>
      <c r="CU129" s="127"/>
      <c r="CV129" s="127"/>
      <c r="CW129" s="127"/>
      <c r="CX129" s="127"/>
      <c r="CY129" s="127"/>
      <c r="CZ129" s="127"/>
      <c r="DA129" s="173"/>
      <c r="DB129" s="174"/>
      <c r="DC129" s="127"/>
      <c r="DD129" s="127"/>
      <c r="DE129" s="127"/>
      <c r="DF129" s="127"/>
      <c r="DG129" s="127"/>
      <c r="DH129" s="127"/>
      <c r="DI129" s="127"/>
      <c r="DJ129" s="127"/>
      <c r="DK129" s="127"/>
      <c r="DL129" s="127"/>
      <c r="DM129" s="127"/>
      <c r="DN129" s="127"/>
      <c r="DO129" s="127"/>
      <c r="DP129" s="127"/>
      <c r="DQ129" s="173"/>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c r="EN129" s="127"/>
      <c r="EO129" s="127"/>
      <c r="EP129" s="127"/>
      <c r="EQ129" s="127"/>
      <c r="ER129" s="127"/>
      <c r="ES129" s="127"/>
      <c r="ET129" s="127"/>
      <c r="EU129" s="127"/>
      <c r="EV129" s="127"/>
      <c r="EW129" s="127"/>
      <c r="EX129" s="173"/>
      <c r="EY129" s="173"/>
      <c r="EZ129" s="173"/>
      <c r="FA129" s="173"/>
      <c r="FB129" s="173"/>
      <c r="FC129" s="173"/>
      <c r="FD129" s="173"/>
      <c r="FE129" s="173"/>
      <c r="FF129" s="173"/>
      <c r="FG129" s="173"/>
      <c r="FH129" s="127"/>
      <c r="FI129" s="127"/>
      <c r="FJ129" s="127"/>
      <c r="FK129" s="174"/>
      <c r="FL129" s="127"/>
      <c r="FM129" s="127"/>
      <c r="FN129" s="127"/>
      <c r="FO129" s="127"/>
      <c r="FP129" s="127"/>
      <c r="FQ129" s="127"/>
      <c r="FR129" s="127"/>
      <c r="FS129" s="127"/>
      <c r="FT129" s="127"/>
      <c r="FU129" s="127"/>
      <c r="FV129" s="127"/>
      <c r="FW129" s="127"/>
      <c r="FX129" s="127"/>
      <c r="FY129" s="127"/>
      <c r="FZ129" s="127"/>
      <c r="GA129" s="127"/>
      <c r="GB129" s="127"/>
      <c r="GC129" s="174"/>
      <c r="GD129" s="127"/>
      <c r="GE129" s="127"/>
      <c r="GF129" s="127"/>
      <c r="GG129" s="174"/>
      <c r="GH129" s="127"/>
      <c r="GI129" s="127"/>
      <c r="GJ129" s="127"/>
      <c r="GK129" s="174"/>
      <c r="GL129" s="127"/>
      <c r="GM129" s="127"/>
      <c r="GN129" s="127"/>
      <c r="GO129" s="127"/>
      <c r="GP129" s="127"/>
      <c r="GQ129" s="174"/>
      <c r="GR129" s="127"/>
      <c r="GS129" s="127"/>
      <c r="GT129" s="127"/>
      <c r="GU129" s="127"/>
      <c r="GV129" s="127"/>
      <c r="GW129" s="127"/>
      <c r="GX129" s="173"/>
      <c r="GY129" s="127"/>
      <c r="GZ129" s="127"/>
      <c r="HA129" s="174"/>
    </row>
    <row r="130" spans="1:209" s="58" customFormat="1" ht="18" customHeight="1">
      <c r="A130" s="127"/>
      <c r="B130" s="127"/>
      <c r="C130" s="127"/>
      <c r="D130" s="127"/>
      <c r="E130" s="127"/>
      <c r="G130" s="127"/>
      <c r="H130" s="127"/>
      <c r="I130" s="127"/>
      <c r="J130" s="127"/>
      <c r="K130" s="127"/>
      <c r="L130" s="127"/>
      <c r="M130" s="127"/>
      <c r="N130" s="127"/>
      <c r="O130" s="127"/>
      <c r="P130" s="127"/>
      <c r="Q130" s="127"/>
      <c r="R130" s="127"/>
      <c r="S130" s="127"/>
      <c r="T130" s="127"/>
      <c r="U130" s="127"/>
      <c r="V130" s="127"/>
      <c r="W130" s="127"/>
      <c r="X130" s="127"/>
      <c r="Y130" s="127"/>
      <c r="Z130" s="127"/>
      <c r="AA130" s="127"/>
      <c r="AB130" s="127"/>
      <c r="AC130" s="127"/>
      <c r="AD130" s="127"/>
      <c r="AE130" s="127"/>
      <c r="AF130" s="127"/>
      <c r="AG130" s="127"/>
      <c r="AH130" s="127"/>
      <c r="AI130" s="127"/>
      <c r="AJ130" s="127"/>
      <c r="AK130" s="127"/>
      <c r="AL130" s="127"/>
      <c r="AM130" s="127"/>
      <c r="AN130" s="127"/>
      <c r="AO130" s="127"/>
      <c r="AP130" s="127"/>
      <c r="AQ130" s="127"/>
      <c r="AR130" s="127"/>
      <c r="AS130" s="127"/>
      <c r="AT130" s="173"/>
      <c r="AU130" s="173"/>
      <c r="AV130" s="173"/>
      <c r="AW130" s="127"/>
      <c r="AX130" s="127"/>
      <c r="AY130" s="127"/>
      <c r="AZ130" s="127"/>
      <c r="BA130" s="127"/>
      <c r="BB130" s="127"/>
      <c r="BC130" s="127"/>
      <c r="BD130" s="127"/>
      <c r="BE130" s="127"/>
      <c r="BF130" s="127"/>
      <c r="BG130" s="127"/>
      <c r="BH130" s="175"/>
      <c r="BI130" s="127"/>
      <c r="BJ130" s="175"/>
      <c r="BK130" s="127"/>
      <c r="BL130" s="175"/>
      <c r="BM130" s="127"/>
      <c r="BN130" s="127"/>
      <c r="BO130" s="127"/>
      <c r="BP130" s="127"/>
      <c r="BQ130" s="127"/>
      <c r="BR130" s="127"/>
      <c r="BS130" s="127"/>
      <c r="BT130" s="127"/>
      <c r="BU130" s="127"/>
      <c r="BV130" s="127"/>
      <c r="BW130" s="127"/>
      <c r="BX130" s="127"/>
      <c r="BY130" s="127"/>
      <c r="BZ130" s="127"/>
      <c r="CA130" s="127"/>
      <c r="CB130" s="127"/>
      <c r="CC130" s="127"/>
      <c r="CD130" s="127"/>
      <c r="CE130" s="127"/>
      <c r="CF130" s="127"/>
      <c r="CG130" s="127"/>
      <c r="CH130" s="127"/>
      <c r="CI130" s="127"/>
      <c r="CJ130" s="127"/>
      <c r="CK130" s="127"/>
      <c r="CL130" s="174"/>
      <c r="CM130" s="127"/>
      <c r="CN130" s="173"/>
      <c r="CO130" s="127"/>
      <c r="CP130" s="127"/>
      <c r="CQ130" s="127"/>
      <c r="CR130" s="127"/>
      <c r="CS130" s="127"/>
      <c r="CT130" s="127"/>
      <c r="CU130" s="127"/>
      <c r="CV130" s="127"/>
      <c r="CW130" s="127"/>
      <c r="CX130" s="127"/>
      <c r="CY130" s="127"/>
      <c r="CZ130" s="127"/>
      <c r="DA130" s="173"/>
      <c r="DB130" s="174"/>
      <c r="DC130" s="127"/>
      <c r="DD130" s="127"/>
      <c r="DE130" s="127"/>
      <c r="DF130" s="127"/>
      <c r="DG130" s="127"/>
      <c r="DH130" s="127"/>
      <c r="DI130" s="127"/>
      <c r="DJ130" s="127"/>
      <c r="DK130" s="127"/>
      <c r="DL130" s="127"/>
      <c r="DM130" s="127"/>
      <c r="DN130" s="127"/>
      <c r="DO130" s="127"/>
      <c r="DP130" s="127"/>
      <c r="DQ130" s="173"/>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c r="EN130" s="127"/>
      <c r="EO130" s="127"/>
      <c r="EP130" s="127"/>
      <c r="EQ130" s="127"/>
      <c r="ER130" s="127"/>
      <c r="ES130" s="127"/>
      <c r="ET130" s="127"/>
      <c r="EU130" s="127"/>
      <c r="EV130" s="127"/>
      <c r="EW130" s="127"/>
      <c r="EX130" s="173"/>
      <c r="EY130" s="173"/>
      <c r="EZ130" s="173"/>
      <c r="FA130" s="173"/>
      <c r="FB130" s="173"/>
      <c r="FC130" s="173"/>
      <c r="FD130" s="173"/>
      <c r="FE130" s="173"/>
      <c r="FF130" s="173"/>
      <c r="FG130" s="173"/>
      <c r="FH130" s="127"/>
      <c r="FI130" s="127"/>
      <c r="FJ130" s="127"/>
      <c r="FK130" s="174"/>
      <c r="FL130" s="127"/>
      <c r="FM130" s="127"/>
      <c r="FN130" s="127"/>
      <c r="FO130" s="127"/>
      <c r="FP130" s="127"/>
      <c r="FQ130" s="127"/>
      <c r="FR130" s="127"/>
      <c r="FS130" s="127"/>
      <c r="FT130" s="127"/>
      <c r="FU130" s="127"/>
      <c r="FV130" s="127"/>
      <c r="FW130" s="127"/>
      <c r="FX130" s="127"/>
      <c r="FY130" s="127"/>
      <c r="FZ130" s="127"/>
      <c r="GA130" s="127"/>
      <c r="GB130" s="127"/>
      <c r="GC130" s="174"/>
      <c r="GD130" s="127"/>
      <c r="GE130" s="127"/>
      <c r="GF130" s="127"/>
      <c r="GG130" s="174"/>
      <c r="GH130" s="127"/>
      <c r="GI130" s="127"/>
      <c r="GJ130" s="127"/>
      <c r="GK130" s="174"/>
      <c r="GL130" s="127"/>
      <c r="GM130" s="127"/>
      <c r="GN130" s="127"/>
      <c r="GO130" s="127"/>
      <c r="GP130" s="127"/>
      <c r="GQ130" s="174"/>
      <c r="GR130" s="127"/>
      <c r="GS130" s="127"/>
      <c r="GT130" s="127"/>
      <c r="GU130" s="127"/>
      <c r="GV130" s="127"/>
      <c r="GW130" s="127"/>
      <c r="GX130" s="173"/>
      <c r="GY130" s="127"/>
      <c r="GZ130" s="127"/>
      <c r="HA130" s="174"/>
    </row>
    <row r="131" spans="1:209" s="58" customFormat="1" ht="18" customHeight="1">
      <c r="A131" s="127"/>
      <c r="B131" s="127"/>
      <c r="C131" s="127"/>
      <c r="D131" s="127"/>
      <c r="E131" s="127"/>
      <c r="G131" s="127"/>
      <c r="H131" s="127"/>
      <c r="I131" s="127"/>
      <c r="J131" s="127"/>
      <c r="K131" s="127"/>
      <c r="L131" s="127"/>
      <c r="M131" s="127"/>
      <c r="N131" s="127"/>
      <c r="O131" s="127"/>
      <c r="P131" s="127"/>
      <c r="Q131" s="127"/>
      <c r="R131" s="127"/>
      <c r="S131" s="127"/>
      <c r="T131" s="127"/>
      <c r="U131" s="127"/>
      <c r="V131" s="127"/>
      <c r="W131" s="127"/>
      <c r="X131" s="127"/>
      <c r="Y131" s="127"/>
      <c r="Z131" s="127"/>
      <c r="AA131" s="127"/>
      <c r="AB131" s="127"/>
      <c r="AC131" s="127"/>
      <c r="AD131" s="127"/>
      <c r="AE131" s="127"/>
      <c r="AF131" s="127"/>
      <c r="AG131" s="127"/>
      <c r="AH131" s="127"/>
      <c r="AI131" s="127"/>
      <c r="AJ131" s="127"/>
      <c r="AK131" s="127"/>
      <c r="AL131" s="127"/>
      <c r="AM131" s="127"/>
      <c r="AN131" s="127"/>
      <c r="AO131" s="127"/>
      <c r="AP131" s="127"/>
      <c r="AQ131" s="127"/>
      <c r="AR131" s="127"/>
      <c r="AS131" s="127"/>
      <c r="AT131" s="173"/>
      <c r="AU131" s="173"/>
      <c r="AV131" s="173"/>
      <c r="AW131" s="127"/>
      <c r="AX131" s="127"/>
      <c r="AY131" s="127"/>
      <c r="AZ131" s="127"/>
      <c r="BA131" s="127"/>
      <c r="BB131" s="127"/>
      <c r="BC131" s="127"/>
      <c r="BD131" s="127"/>
      <c r="BE131" s="127"/>
      <c r="BF131" s="127"/>
      <c r="BG131" s="127"/>
      <c r="BH131" s="175"/>
      <c r="BI131" s="127"/>
      <c r="BJ131" s="175"/>
      <c r="BK131" s="127"/>
      <c r="BL131" s="175"/>
      <c r="BM131" s="127"/>
      <c r="BN131" s="127"/>
      <c r="BO131" s="127"/>
      <c r="BP131" s="127"/>
      <c r="BQ131" s="127"/>
      <c r="BR131" s="127"/>
      <c r="BS131" s="127"/>
      <c r="BT131" s="127"/>
      <c r="BU131" s="127"/>
      <c r="BV131" s="127"/>
      <c r="BW131" s="127"/>
      <c r="BX131" s="127"/>
      <c r="BY131" s="127"/>
      <c r="BZ131" s="127"/>
      <c r="CA131" s="127"/>
      <c r="CB131" s="127"/>
      <c r="CC131" s="127"/>
      <c r="CD131" s="127"/>
      <c r="CE131" s="127"/>
      <c r="CF131" s="127"/>
      <c r="CG131" s="127"/>
      <c r="CH131" s="127"/>
      <c r="CI131" s="127"/>
      <c r="CJ131" s="127"/>
      <c r="CK131" s="127"/>
      <c r="CL131" s="174"/>
      <c r="CM131" s="127"/>
      <c r="CN131" s="173"/>
      <c r="CO131" s="127"/>
      <c r="CP131" s="127"/>
      <c r="CQ131" s="127"/>
      <c r="CR131" s="127"/>
      <c r="CS131" s="127"/>
      <c r="CT131" s="127"/>
      <c r="CU131" s="127"/>
      <c r="CV131" s="127"/>
      <c r="CW131" s="127"/>
      <c r="CX131" s="127"/>
      <c r="CY131" s="127"/>
      <c r="CZ131" s="127"/>
      <c r="DA131" s="173"/>
      <c r="DB131" s="174"/>
      <c r="DC131" s="127"/>
      <c r="DD131" s="127"/>
      <c r="DE131" s="127"/>
      <c r="DF131" s="127"/>
      <c r="DG131" s="127"/>
      <c r="DH131" s="127"/>
      <c r="DI131" s="127"/>
      <c r="DJ131" s="127"/>
      <c r="DK131" s="127"/>
      <c r="DL131" s="127"/>
      <c r="DM131" s="127"/>
      <c r="DN131" s="127"/>
      <c r="DO131" s="127"/>
      <c r="DP131" s="127"/>
      <c r="DQ131" s="173"/>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c r="EN131" s="127"/>
      <c r="EO131" s="127"/>
      <c r="EP131" s="127"/>
      <c r="EQ131" s="127"/>
      <c r="ER131" s="127"/>
      <c r="ES131" s="127"/>
      <c r="ET131" s="127"/>
      <c r="EU131" s="127"/>
      <c r="EV131" s="127"/>
      <c r="EW131" s="127"/>
      <c r="EX131" s="173"/>
      <c r="EY131" s="173"/>
      <c r="EZ131" s="173"/>
      <c r="FA131" s="173"/>
      <c r="FB131" s="173"/>
      <c r="FC131" s="173"/>
      <c r="FD131" s="173"/>
      <c r="FE131" s="173"/>
      <c r="FF131" s="173"/>
      <c r="FG131" s="173"/>
      <c r="FH131" s="127"/>
      <c r="FI131" s="127"/>
      <c r="FJ131" s="127"/>
      <c r="FK131" s="174"/>
      <c r="FL131" s="127"/>
      <c r="FM131" s="127"/>
      <c r="FN131" s="127"/>
      <c r="FO131" s="127"/>
      <c r="FP131" s="127"/>
      <c r="FQ131" s="127"/>
      <c r="FR131" s="127"/>
      <c r="FS131" s="127"/>
      <c r="FT131" s="127"/>
      <c r="FU131" s="127"/>
      <c r="FV131" s="127"/>
      <c r="FW131" s="127"/>
      <c r="FX131" s="127"/>
      <c r="FY131" s="127"/>
      <c r="FZ131" s="127"/>
      <c r="GA131" s="127"/>
      <c r="GB131" s="127"/>
      <c r="GC131" s="174"/>
      <c r="GD131" s="127"/>
      <c r="GE131" s="127"/>
      <c r="GF131" s="127"/>
      <c r="GG131" s="174"/>
      <c r="GH131" s="127"/>
      <c r="GI131" s="127"/>
      <c r="GJ131" s="127"/>
      <c r="GK131" s="174"/>
      <c r="GL131" s="127"/>
      <c r="GM131" s="127"/>
      <c r="GN131" s="127"/>
      <c r="GO131" s="127"/>
      <c r="GP131" s="127"/>
      <c r="GQ131" s="174"/>
      <c r="GR131" s="127"/>
      <c r="GS131" s="127"/>
      <c r="GT131" s="127"/>
      <c r="GU131" s="127"/>
      <c r="GV131" s="127"/>
      <c r="GW131" s="127"/>
      <c r="GX131" s="173"/>
      <c r="GY131" s="127"/>
      <c r="GZ131" s="127"/>
      <c r="HA131" s="174"/>
    </row>
    <row r="132" spans="1:209" s="58" customFormat="1" ht="18" customHeight="1">
      <c r="A132" s="127"/>
      <c r="B132" s="127"/>
      <c r="C132" s="127"/>
      <c r="D132" s="127"/>
      <c r="E132" s="127"/>
      <c r="G132" s="127"/>
      <c r="H132" s="127"/>
      <c r="I132" s="127"/>
      <c r="J132" s="127"/>
      <c r="K132" s="127"/>
      <c r="L132" s="127"/>
      <c r="M132" s="127"/>
      <c r="N132" s="127"/>
      <c r="O132" s="127"/>
      <c r="P132" s="127"/>
      <c r="Q132" s="127"/>
      <c r="R132" s="127"/>
      <c r="S132" s="127"/>
      <c r="T132" s="127"/>
      <c r="U132" s="127"/>
      <c r="V132" s="127"/>
      <c r="W132" s="127"/>
      <c r="X132" s="127"/>
      <c r="Y132" s="127"/>
      <c r="Z132" s="127"/>
      <c r="AA132" s="127"/>
      <c r="AB132" s="127"/>
      <c r="AC132" s="127"/>
      <c r="AD132" s="127"/>
      <c r="AE132" s="127"/>
      <c r="AF132" s="127"/>
      <c r="AG132" s="127"/>
      <c r="AH132" s="127"/>
      <c r="AI132" s="127"/>
      <c r="AJ132" s="127"/>
      <c r="AK132" s="127"/>
      <c r="AL132" s="127"/>
      <c r="AM132" s="127"/>
      <c r="AN132" s="127"/>
      <c r="AO132" s="127"/>
      <c r="AP132" s="127"/>
      <c r="AQ132" s="127"/>
      <c r="AR132" s="127"/>
      <c r="AS132" s="127"/>
      <c r="AT132" s="173"/>
      <c r="AU132" s="173"/>
      <c r="AV132" s="173"/>
      <c r="AW132" s="127"/>
      <c r="AX132" s="127"/>
      <c r="AY132" s="127"/>
      <c r="AZ132" s="127"/>
      <c r="BA132" s="127"/>
      <c r="BB132" s="127"/>
      <c r="BC132" s="127"/>
      <c r="BD132" s="127"/>
      <c r="BE132" s="127"/>
      <c r="BF132" s="127"/>
      <c r="BG132" s="127"/>
      <c r="BH132" s="175"/>
      <c r="BI132" s="127"/>
      <c r="BJ132" s="175"/>
      <c r="BK132" s="127"/>
      <c r="BL132" s="175"/>
      <c r="BM132" s="127"/>
      <c r="BN132" s="127"/>
      <c r="BO132" s="127"/>
      <c r="BP132" s="127"/>
      <c r="BQ132" s="127"/>
      <c r="BR132" s="127"/>
      <c r="BS132" s="127"/>
      <c r="BT132" s="127"/>
      <c r="BU132" s="127"/>
      <c r="BV132" s="127"/>
      <c r="BW132" s="127"/>
      <c r="BX132" s="127"/>
      <c r="BY132" s="127"/>
      <c r="BZ132" s="127"/>
      <c r="CA132" s="127"/>
      <c r="CB132" s="127"/>
      <c r="CC132" s="127"/>
      <c r="CD132" s="127"/>
      <c r="CE132" s="127"/>
      <c r="CF132" s="127"/>
      <c r="CG132" s="127"/>
      <c r="CH132" s="127"/>
      <c r="CI132" s="127"/>
      <c r="CJ132" s="127"/>
      <c r="CK132" s="127"/>
      <c r="CL132" s="174"/>
      <c r="CM132" s="127"/>
      <c r="CN132" s="173"/>
      <c r="CO132" s="127"/>
      <c r="CP132" s="127"/>
      <c r="CQ132" s="127"/>
      <c r="CR132" s="127"/>
      <c r="CS132" s="127"/>
      <c r="CT132" s="127"/>
      <c r="CU132" s="127"/>
      <c r="CV132" s="127"/>
      <c r="CW132" s="127"/>
      <c r="CX132" s="127"/>
      <c r="CY132" s="127"/>
      <c r="CZ132" s="127"/>
      <c r="DA132" s="173"/>
      <c r="DB132" s="174"/>
      <c r="DC132" s="127"/>
      <c r="DD132" s="127"/>
      <c r="DE132" s="127"/>
      <c r="DF132" s="127"/>
      <c r="DG132" s="127"/>
      <c r="DH132" s="127"/>
      <c r="DI132" s="127"/>
      <c r="DJ132" s="127"/>
      <c r="DK132" s="127"/>
      <c r="DL132" s="127"/>
      <c r="DM132" s="127"/>
      <c r="DN132" s="127"/>
      <c r="DO132" s="127"/>
      <c r="DP132" s="127"/>
      <c r="DQ132" s="173"/>
      <c r="DR132" s="127"/>
      <c r="DS132" s="127"/>
      <c r="DT132" s="127"/>
      <c r="DU132" s="127"/>
      <c r="DV132" s="127"/>
      <c r="DW132" s="127"/>
      <c r="DX132" s="127"/>
      <c r="DY132" s="127"/>
      <c r="DZ132" s="127"/>
      <c r="EA132" s="127"/>
      <c r="EB132" s="127"/>
      <c r="EC132" s="127"/>
      <c r="ED132" s="127"/>
      <c r="EE132" s="127"/>
      <c r="EF132" s="127"/>
      <c r="EG132" s="127"/>
      <c r="EH132" s="127"/>
      <c r="EI132" s="127"/>
      <c r="EJ132" s="127"/>
      <c r="EK132" s="127"/>
      <c r="EL132" s="127"/>
      <c r="EM132" s="127"/>
      <c r="EN132" s="127"/>
      <c r="EO132" s="127"/>
      <c r="EP132" s="127"/>
      <c r="EQ132" s="127"/>
      <c r="ER132" s="127"/>
      <c r="ES132" s="127"/>
      <c r="ET132" s="127"/>
      <c r="EU132" s="127"/>
      <c r="EV132" s="127"/>
      <c r="EW132" s="127"/>
      <c r="EX132" s="173"/>
      <c r="EY132" s="173"/>
      <c r="EZ132" s="173"/>
      <c r="FA132" s="173"/>
      <c r="FB132" s="173"/>
      <c r="FC132" s="173"/>
      <c r="FD132" s="173"/>
      <c r="FE132" s="173"/>
      <c r="FF132" s="173"/>
      <c r="FG132" s="173"/>
      <c r="FH132" s="127"/>
      <c r="FI132" s="127"/>
      <c r="FJ132" s="127"/>
      <c r="FK132" s="174"/>
      <c r="FL132" s="127"/>
      <c r="FM132" s="127"/>
      <c r="FN132" s="127"/>
      <c r="FO132" s="127"/>
      <c r="FP132" s="127"/>
      <c r="FQ132" s="127"/>
      <c r="FR132" s="127"/>
      <c r="FS132" s="127"/>
      <c r="FT132" s="127"/>
      <c r="FU132" s="127"/>
      <c r="FV132" s="127"/>
      <c r="FW132" s="127"/>
      <c r="FX132" s="127"/>
      <c r="FY132" s="127"/>
      <c r="FZ132" s="127"/>
      <c r="GA132" s="127"/>
      <c r="GB132" s="127"/>
      <c r="GC132" s="174"/>
      <c r="GD132" s="127"/>
      <c r="GE132" s="127"/>
      <c r="GF132" s="127"/>
      <c r="GG132" s="174"/>
      <c r="GH132" s="127"/>
      <c r="GI132" s="127"/>
      <c r="GJ132" s="127"/>
      <c r="GK132" s="174"/>
      <c r="GL132" s="127"/>
      <c r="GM132" s="127"/>
      <c r="GN132" s="127"/>
      <c r="GO132" s="127"/>
      <c r="GP132" s="127"/>
      <c r="GQ132" s="174"/>
      <c r="GR132" s="127"/>
      <c r="GS132" s="127"/>
      <c r="GT132" s="127"/>
      <c r="GU132" s="127"/>
      <c r="GV132" s="127"/>
      <c r="GW132" s="127"/>
      <c r="GX132" s="173"/>
      <c r="GY132" s="127"/>
      <c r="GZ132" s="127"/>
      <c r="HA132" s="174"/>
    </row>
    <row r="133" spans="1:209" s="58" customFormat="1" ht="18" customHeight="1">
      <c r="A133" s="127"/>
      <c r="B133" s="127"/>
      <c r="C133" s="127"/>
      <c r="D133" s="127"/>
      <c r="E133" s="127"/>
      <c r="G133" s="127"/>
      <c r="H133" s="127"/>
      <c r="I133" s="127"/>
      <c r="J133" s="127"/>
      <c r="K133" s="127"/>
      <c r="L133" s="127"/>
      <c r="M133" s="127"/>
      <c r="N133" s="127"/>
      <c r="O133" s="127"/>
      <c r="P133" s="127"/>
      <c r="Q133" s="127"/>
      <c r="R133" s="127"/>
      <c r="S133" s="127"/>
      <c r="T133" s="127"/>
      <c r="U133" s="127"/>
      <c r="V133" s="127"/>
      <c r="W133" s="127"/>
      <c r="X133" s="127"/>
      <c r="Y133" s="127"/>
      <c r="Z133" s="127"/>
      <c r="AA133" s="127"/>
      <c r="AB133" s="127"/>
      <c r="AC133" s="127"/>
      <c r="AD133" s="127"/>
      <c r="AE133" s="127"/>
      <c r="AF133" s="127"/>
      <c r="AG133" s="127"/>
      <c r="AH133" s="127"/>
      <c r="AI133" s="127"/>
      <c r="AJ133" s="127"/>
      <c r="AK133" s="127"/>
      <c r="AL133" s="127"/>
      <c r="AM133" s="127"/>
      <c r="AN133" s="127"/>
      <c r="AO133" s="127"/>
      <c r="AP133" s="127"/>
      <c r="AQ133" s="127"/>
      <c r="AR133" s="127"/>
      <c r="AS133" s="127"/>
      <c r="AT133" s="173"/>
      <c r="AU133" s="173"/>
      <c r="AV133" s="173"/>
      <c r="AW133" s="127"/>
      <c r="AX133" s="127"/>
      <c r="AY133" s="127"/>
      <c r="AZ133" s="127"/>
      <c r="BA133" s="127"/>
      <c r="BB133" s="127"/>
      <c r="BC133" s="127"/>
      <c r="BD133" s="127"/>
      <c r="BE133" s="127"/>
      <c r="BF133" s="127"/>
      <c r="BG133" s="127"/>
      <c r="BH133" s="175"/>
      <c r="BI133" s="127"/>
      <c r="BJ133" s="175"/>
      <c r="BK133" s="127"/>
      <c r="BL133" s="175"/>
      <c r="BM133" s="127"/>
      <c r="BN133" s="127"/>
      <c r="BO133" s="127"/>
      <c r="BP133" s="127"/>
      <c r="BQ133" s="127"/>
      <c r="BR133" s="127"/>
      <c r="BS133" s="127"/>
      <c r="BT133" s="127"/>
      <c r="BU133" s="127"/>
      <c r="BV133" s="127"/>
      <c r="BW133" s="127"/>
      <c r="BX133" s="127"/>
      <c r="BY133" s="127"/>
      <c r="BZ133" s="127"/>
      <c r="CA133" s="127"/>
      <c r="CB133" s="127"/>
      <c r="CC133" s="127"/>
      <c r="CD133" s="127"/>
      <c r="CE133" s="127"/>
      <c r="CF133" s="127"/>
      <c r="CG133" s="127"/>
      <c r="CH133" s="127"/>
      <c r="CI133" s="127"/>
      <c r="CJ133" s="127"/>
      <c r="CK133" s="127"/>
      <c r="CL133" s="174"/>
      <c r="CM133" s="127"/>
      <c r="CN133" s="173"/>
      <c r="CO133" s="127"/>
      <c r="CP133" s="127"/>
      <c r="CQ133" s="127"/>
      <c r="CR133" s="127"/>
      <c r="CS133" s="127"/>
      <c r="CT133" s="127"/>
      <c r="CU133" s="127"/>
      <c r="CV133" s="127"/>
      <c r="CW133" s="127"/>
      <c r="CX133" s="127"/>
      <c r="CY133" s="127"/>
      <c r="CZ133" s="127"/>
      <c r="DA133" s="173"/>
      <c r="DB133" s="174"/>
      <c r="DC133" s="127"/>
      <c r="DD133" s="127"/>
      <c r="DE133" s="127"/>
      <c r="DF133" s="127"/>
      <c r="DG133" s="127"/>
      <c r="DH133" s="127"/>
      <c r="DI133" s="127"/>
      <c r="DJ133" s="127"/>
      <c r="DK133" s="127"/>
      <c r="DL133" s="127"/>
      <c r="DM133" s="127"/>
      <c r="DN133" s="127"/>
      <c r="DO133" s="127"/>
      <c r="DP133" s="127"/>
      <c r="DQ133" s="173"/>
      <c r="DR133" s="127"/>
      <c r="DS133" s="127"/>
      <c r="DT133" s="127"/>
      <c r="DU133" s="127"/>
      <c r="DV133" s="127"/>
      <c r="DW133" s="127"/>
      <c r="DX133" s="127"/>
      <c r="DY133" s="127"/>
      <c r="DZ133" s="127"/>
      <c r="EA133" s="127"/>
      <c r="EB133" s="127"/>
      <c r="EC133" s="127"/>
      <c r="ED133" s="127"/>
      <c r="EE133" s="127"/>
      <c r="EF133" s="127"/>
      <c r="EG133" s="127"/>
      <c r="EH133" s="127"/>
      <c r="EI133" s="127"/>
      <c r="EJ133" s="127"/>
      <c r="EK133" s="127"/>
      <c r="EL133" s="127"/>
      <c r="EM133" s="127"/>
      <c r="EN133" s="127"/>
      <c r="EO133" s="127"/>
      <c r="EP133" s="127"/>
      <c r="EQ133" s="127"/>
      <c r="ER133" s="127"/>
      <c r="ES133" s="127"/>
      <c r="ET133" s="127"/>
      <c r="EU133" s="127"/>
      <c r="EV133" s="127"/>
      <c r="EW133" s="127"/>
      <c r="EX133" s="173"/>
      <c r="EY133" s="173"/>
      <c r="EZ133" s="173"/>
      <c r="FA133" s="173"/>
      <c r="FB133" s="173"/>
      <c r="FC133" s="173"/>
      <c r="FD133" s="173"/>
      <c r="FE133" s="173"/>
      <c r="FF133" s="173"/>
      <c r="FG133" s="173"/>
      <c r="FH133" s="127"/>
      <c r="FI133" s="127"/>
      <c r="FJ133" s="127"/>
      <c r="FK133" s="174"/>
      <c r="FL133" s="127"/>
      <c r="FM133" s="127"/>
      <c r="FN133" s="127"/>
      <c r="FO133" s="127"/>
      <c r="FP133" s="127"/>
      <c r="FQ133" s="127"/>
      <c r="FR133" s="127"/>
      <c r="FS133" s="127"/>
      <c r="FT133" s="127"/>
      <c r="FU133" s="127"/>
      <c r="FV133" s="127"/>
      <c r="FW133" s="127"/>
      <c r="FX133" s="127"/>
      <c r="FY133" s="127"/>
      <c r="FZ133" s="127"/>
      <c r="GA133" s="127"/>
      <c r="GB133" s="127"/>
      <c r="GC133" s="174"/>
      <c r="GD133" s="127"/>
      <c r="GE133" s="127"/>
      <c r="GF133" s="127"/>
      <c r="GG133" s="174"/>
      <c r="GH133" s="127"/>
      <c r="GI133" s="127"/>
      <c r="GJ133" s="127"/>
      <c r="GK133" s="174"/>
      <c r="GL133" s="127"/>
      <c r="GM133" s="127"/>
      <c r="GN133" s="127"/>
      <c r="GO133" s="127"/>
      <c r="GP133" s="127"/>
      <c r="GQ133" s="174"/>
      <c r="GR133" s="127"/>
      <c r="GS133" s="127"/>
      <c r="GT133" s="127"/>
      <c r="GU133" s="127"/>
      <c r="GV133" s="127"/>
      <c r="GW133" s="127"/>
      <c r="GX133" s="173"/>
      <c r="GY133" s="127"/>
      <c r="GZ133" s="127"/>
      <c r="HA133" s="174"/>
    </row>
    <row r="134" spans="1:209">
      <c r="F134"/>
      <c r="AV134" s="24"/>
    </row>
    <row r="135" spans="1:209">
      <c r="F135"/>
      <c r="AV135" s="24"/>
    </row>
    <row r="136" spans="1:209">
      <c r="F136"/>
      <c r="AV136" s="24"/>
    </row>
    <row r="137" spans="1:209">
      <c r="F137"/>
      <c r="AV137" s="24"/>
    </row>
    <row r="138" spans="1:209">
      <c r="F138"/>
      <c r="AV138" s="24"/>
    </row>
    <row r="139" spans="1:209">
      <c r="F139"/>
      <c r="AV139" s="24"/>
    </row>
    <row r="140" spans="1:209">
      <c r="F140"/>
      <c r="AV140" s="24"/>
    </row>
    <row r="141" spans="1:209">
      <c r="F141"/>
      <c r="AV141" s="24"/>
    </row>
    <row r="142" spans="1:209">
      <c r="F142"/>
      <c r="AV142" s="24"/>
    </row>
  </sheetData>
  <autoFilter ref="A3:HA3" xr:uid="{8814E7F3-EA93-4623-A5A4-8A450C76A009}"/>
  <phoneticPr fontId="45" type="noConversion"/>
  <pageMargins left="0.7" right="0.7" top="0.75" bottom="0.75" header="0.51180555555555496" footer="0.51180555555555496"/>
  <pageSetup firstPageNumber="0"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F247F-28D0-4B46-9FE9-9986329D84E7}">
  <sheetPr codeName="DocsSht">
    <tabColor theme="9"/>
  </sheetPr>
  <dimension ref="A1:W24"/>
  <sheetViews>
    <sheetView workbookViewId="0"/>
  </sheetViews>
  <sheetFormatPr defaultColWidth="8.6640625" defaultRowHeight="18.600000000000001" customHeight="1"/>
  <cols>
    <col min="1" max="1" width="16" style="14" customWidth="1"/>
    <col min="2" max="2" width="13.53125" style="14" customWidth="1"/>
    <col min="3" max="3" width="22.86328125" style="14" customWidth="1"/>
    <col min="4" max="4" width="20" style="14" hidden="1" customWidth="1"/>
    <col min="5" max="5" width="13.33203125" style="14" hidden="1" customWidth="1"/>
    <col min="6" max="6" width="12" style="14" hidden="1" customWidth="1"/>
    <col min="7" max="7" width="19.1328125" style="14" hidden="1" customWidth="1"/>
    <col min="8" max="8" width="21.53125" style="14" customWidth="1"/>
    <col min="9" max="9" width="16" style="14" hidden="1" customWidth="1"/>
    <col min="10" max="10" width="23.46484375" style="14" customWidth="1"/>
    <col min="11" max="11" width="15.53125" style="14" customWidth="1"/>
    <col min="12" max="12" width="14.1328125" style="14" hidden="1" customWidth="1"/>
    <col min="13" max="13" width="13.33203125" style="14" customWidth="1"/>
    <col min="14" max="14" width="16.86328125" style="14" customWidth="1"/>
    <col min="15" max="15" width="11.53125" style="14" hidden="1" customWidth="1"/>
    <col min="16" max="16" width="11.53125" style="14" customWidth="1"/>
    <col min="17" max="17" width="11.53125" style="14" hidden="1" customWidth="1"/>
    <col min="18" max="18" width="11.53125" style="14" customWidth="1"/>
    <col min="19" max="20" width="11.53125" style="14" hidden="1" customWidth="1"/>
    <col min="21" max="21" width="14" style="16" customWidth="1"/>
    <col min="22" max="22" width="12.53125" style="16" customWidth="1"/>
    <col min="23" max="23" width="11.53125" style="16" customWidth="1"/>
    <col min="24" max="16384" width="8.6640625" style="9"/>
  </cols>
  <sheetData>
    <row r="1" spans="1:23" ht="34.25" customHeight="1">
      <c r="A1" s="12" t="s">
        <v>300</v>
      </c>
      <c r="B1" s="12" t="s">
        <v>301</v>
      </c>
      <c r="C1" s="12" t="s">
        <v>302</v>
      </c>
      <c r="D1" s="12" t="s">
        <v>303</v>
      </c>
      <c r="E1" s="12" t="s">
        <v>304</v>
      </c>
      <c r="F1" s="12" t="s">
        <v>305</v>
      </c>
      <c r="G1" s="12" t="s">
        <v>306</v>
      </c>
      <c r="H1" s="12" t="s">
        <v>307</v>
      </c>
      <c r="I1" s="12" t="s">
        <v>308</v>
      </c>
      <c r="J1" s="12" t="s">
        <v>309</v>
      </c>
      <c r="K1" s="12" t="s">
        <v>310</v>
      </c>
      <c r="L1" s="12" t="s">
        <v>311</v>
      </c>
      <c r="M1" s="12" t="s">
        <v>312</v>
      </c>
      <c r="N1" s="12" t="s">
        <v>313</v>
      </c>
      <c r="O1" s="12" t="s">
        <v>314</v>
      </c>
      <c r="P1" s="12" t="s">
        <v>315</v>
      </c>
      <c r="Q1" s="12" t="s">
        <v>316</v>
      </c>
      <c r="R1" s="12" t="s">
        <v>317</v>
      </c>
      <c r="S1" s="12" t="s">
        <v>318</v>
      </c>
      <c r="T1" s="12" t="s">
        <v>319</v>
      </c>
      <c r="U1" s="13" t="s">
        <v>320</v>
      </c>
      <c r="V1" s="13" t="s">
        <v>321</v>
      </c>
      <c r="W1" s="13" t="s">
        <v>256</v>
      </c>
    </row>
    <row r="2" spans="1:23" ht="56.1" customHeight="1">
      <c r="A2" s="20" t="s">
        <v>322</v>
      </c>
      <c r="B2" s="11" t="s">
        <v>323</v>
      </c>
      <c r="C2" s="11" t="s">
        <v>324</v>
      </c>
      <c r="D2" s="10"/>
      <c r="E2" s="10"/>
      <c r="F2" s="10"/>
      <c r="G2" s="10"/>
      <c r="H2" s="10" t="s">
        <v>325</v>
      </c>
      <c r="I2" s="10"/>
      <c r="J2" s="11" t="s">
        <v>326</v>
      </c>
      <c r="K2" s="11" t="s">
        <v>327</v>
      </c>
      <c r="L2" s="10"/>
      <c r="M2" s="10"/>
      <c r="N2" s="10"/>
      <c r="O2" s="10"/>
      <c r="P2" s="10"/>
      <c r="Q2" s="10"/>
      <c r="R2" s="10"/>
      <c r="S2" s="10"/>
      <c r="T2" s="10"/>
      <c r="U2" s="15"/>
      <c r="V2" s="15"/>
      <c r="W2" s="15"/>
    </row>
    <row r="3" spans="1:23" ht="29.25" customHeight="1">
      <c r="A3" s="18" t="s">
        <v>300</v>
      </c>
      <c r="B3" s="18" t="s">
        <v>301</v>
      </c>
      <c r="C3" s="18" t="s">
        <v>302</v>
      </c>
      <c r="D3" s="18" t="s">
        <v>303</v>
      </c>
      <c r="E3" s="18" t="s">
        <v>304</v>
      </c>
      <c r="F3" s="18" t="s">
        <v>305</v>
      </c>
      <c r="G3" s="18" t="s">
        <v>306</v>
      </c>
      <c r="H3" s="18" t="s">
        <v>307</v>
      </c>
      <c r="I3" s="18" t="s">
        <v>308</v>
      </c>
      <c r="J3" s="18" t="s">
        <v>309</v>
      </c>
      <c r="K3" s="18" t="s">
        <v>310</v>
      </c>
      <c r="L3" s="18" t="s">
        <v>311</v>
      </c>
      <c r="M3" s="18" t="s">
        <v>312</v>
      </c>
      <c r="N3" s="18" t="s">
        <v>313</v>
      </c>
      <c r="O3" s="18" t="s">
        <v>314</v>
      </c>
      <c r="P3" s="18" t="s">
        <v>315</v>
      </c>
      <c r="Q3" s="18" t="s">
        <v>316</v>
      </c>
      <c r="R3" s="18" t="s">
        <v>317</v>
      </c>
      <c r="S3" s="18" t="s">
        <v>318</v>
      </c>
      <c r="T3" s="18" t="s">
        <v>319</v>
      </c>
      <c r="U3" s="18" t="s">
        <v>320</v>
      </c>
      <c r="V3" s="18" t="s">
        <v>321</v>
      </c>
      <c r="W3" s="18" t="s">
        <v>256</v>
      </c>
    </row>
    <row r="4" spans="1:23" ht="18.600000000000001" customHeight="1">
      <c r="A4" s="9">
        <v>2</v>
      </c>
      <c r="B4" s="9">
        <v>20</v>
      </c>
      <c r="C4" s="9" t="s">
        <v>328</v>
      </c>
      <c r="D4" s="9"/>
      <c r="E4" s="9"/>
      <c r="F4" s="9"/>
      <c r="G4" s="9"/>
      <c r="H4" s="9" t="s">
        <v>504</v>
      </c>
      <c r="I4" s="9"/>
      <c r="J4" s="9" t="s">
        <v>505</v>
      </c>
      <c r="K4" s="9" t="s">
        <v>206</v>
      </c>
      <c r="L4" s="9"/>
      <c r="M4" s="9" t="s">
        <v>506</v>
      </c>
      <c r="N4" s="9" t="s">
        <v>507</v>
      </c>
      <c r="O4" s="9">
        <v>44</v>
      </c>
      <c r="P4" s="9" t="s">
        <v>329</v>
      </c>
      <c r="Q4" s="9"/>
      <c r="R4" s="9" t="s">
        <v>506</v>
      </c>
      <c r="S4" s="9" t="s">
        <v>243</v>
      </c>
      <c r="T4" s="9"/>
      <c r="U4" s="17">
        <v>44855</v>
      </c>
      <c r="V4" s="9" t="s">
        <v>508</v>
      </c>
      <c r="W4" s="9">
        <v>10</v>
      </c>
    </row>
    <row r="5" spans="1:23" ht="18.600000000000001" customHeight="1">
      <c r="A5" s="9">
        <v>3</v>
      </c>
      <c r="B5" s="9">
        <v>40</v>
      </c>
      <c r="C5" s="9" t="s">
        <v>328</v>
      </c>
      <c r="D5" s="9"/>
      <c r="E5" s="9"/>
      <c r="F5" s="9"/>
      <c r="G5" s="9"/>
      <c r="H5" s="9" t="s">
        <v>509</v>
      </c>
      <c r="I5" s="9"/>
      <c r="J5" s="9" t="s">
        <v>505</v>
      </c>
      <c r="K5" s="9" t="s">
        <v>330</v>
      </c>
      <c r="L5" s="9"/>
      <c r="M5" s="9" t="s">
        <v>506</v>
      </c>
      <c r="N5" s="9" t="s">
        <v>510</v>
      </c>
      <c r="O5" s="9">
        <v>44</v>
      </c>
      <c r="P5" s="9" t="s">
        <v>329</v>
      </c>
      <c r="Q5" s="9"/>
      <c r="R5" s="9" t="s">
        <v>506</v>
      </c>
      <c r="S5" s="9" t="s">
        <v>243</v>
      </c>
      <c r="T5" s="9"/>
      <c r="U5" s="17">
        <v>44855</v>
      </c>
      <c r="V5" s="9" t="s">
        <v>508</v>
      </c>
      <c r="W5" s="9">
        <v>11</v>
      </c>
    </row>
    <row r="6" spans="1:23" ht="18.600000000000001" customHeight="1">
      <c r="A6" s="9">
        <v>4</v>
      </c>
      <c r="B6" s="9">
        <v>20</v>
      </c>
      <c r="C6" s="9" t="s">
        <v>331</v>
      </c>
      <c r="D6" s="9"/>
      <c r="E6" s="9"/>
      <c r="F6" s="9"/>
      <c r="G6" s="9"/>
      <c r="H6" s="9" t="s">
        <v>504</v>
      </c>
      <c r="I6" s="9"/>
      <c r="J6" s="9" t="s">
        <v>505</v>
      </c>
      <c r="K6" s="9" t="s">
        <v>206</v>
      </c>
      <c r="L6" s="9"/>
      <c r="M6" s="9" t="s">
        <v>506</v>
      </c>
      <c r="N6" s="9" t="s">
        <v>511</v>
      </c>
      <c r="O6" s="9">
        <v>44</v>
      </c>
      <c r="P6" s="9" t="s">
        <v>329</v>
      </c>
      <c r="Q6" s="9"/>
      <c r="R6" s="9" t="s">
        <v>506</v>
      </c>
      <c r="S6" s="9" t="s">
        <v>243</v>
      </c>
      <c r="T6" s="9"/>
      <c r="U6" s="17">
        <v>44855</v>
      </c>
      <c r="V6" s="9" t="s">
        <v>508</v>
      </c>
      <c r="W6" s="9">
        <v>12</v>
      </c>
    </row>
    <row r="7" spans="1:23" ht="18.600000000000001" customHeight="1">
      <c r="A7" s="9">
        <v>5</v>
      </c>
      <c r="B7" s="9">
        <v>40</v>
      </c>
      <c r="C7" s="9" t="s">
        <v>331</v>
      </c>
      <c r="D7" s="9"/>
      <c r="E7" s="9"/>
      <c r="F7" s="9"/>
      <c r="G7" s="9"/>
      <c r="H7" s="9" t="s">
        <v>509</v>
      </c>
      <c r="I7" s="9"/>
      <c r="J7" s="9" t="s">
        <v>505</v>
      </c>
      <c r="K7" s="9" t="s">
        <v>206</v>
      </c>
      <c r="L7" s="9"/>
      <c r="M7" s="9" t="s">
        <v>506</v>
      </c>
      <c r="N7" s="9" t="s">
        <v>512</v>
      </c>
      <c r="O7" s="9">
        <v>44</v>
      </c>
      <c r="P7" s="9" t="s">
        <v>329</v>
      </c>
      <c r="Q7" s="9"/>
      <c r="R7" s="9" t="s">
        <v>506</v>
      </c>
      <c r="S7" s="9" t="s">
        <v>243</v>
      </c>
      <c r="T7" s="9"/>
      <c r="U7" s="17">
        <v>44855</v>
      </c>
      <c r="V7" s="9" t="s">
        <v>508</v>
      </c>
      <c r="W7" s="9">
        <v>13</v>
      </c>
    </row>
    <row r="8" spans="1:23" ht="18.600000000000001" customHeight="1">
      <c r="A8" s="9">
        <v>6</v>
      </c>
      <c r="B8" s="9">
        <v>60</v>
      </c>
      <c r="C8" s="9" t="s">
        <v>331</v>
      </c>
      <c r="D8" s="9"/>
      <c r="E8" s="9"/>
      <c r="F8" s="9"/>
      <c r="G8" s="9"/>
      <c r="H8" s="9" t="s">
        <v>513</v>
      </c>
      <c r="I8" s="9"/>
      <c r="J8" s="9" t="s">
        <v>505</v>
      </c>
      <c r="K8" s="9" t="s">
        <v>332</v>
      </c>
      <c r="L8" s="9"/>
      <c r="M8" s="9" t="s">
        <v>506</v>
      </c>
      <c r="N8" s="9" t="s">
        <v>514</v>
      </c>
      <c r="O8" s="9">
        <v>44</v>
      </c>
      <c r="P8" s="9" t="s">
        <v>329</v>
      </c>
      <c r="Q8" s="9"/>
      <c r="R8" s="9" t="s">
        <v>506</v>
      </c>
      <c r="S8" s="9" t="s">
        <v>243</v>
      </c>
      <c r="T8" s="9"/>
      <c r="U8" s="17">
        <v>44855</v>
      </c>
      <c r="V8" s="9" t="s">
        <v>508</v>
      </c>
      <c r="W8" s="9">
        <v>14</v>
      </c>
    </row>
    <row r="9" spans="1:23" ht="18.600000000000001" customHeight="1">
      <c r="A9" s="9">
        <v>1</v>
      </c>
      <c r="B9" s="9">
        <v>60</v>
      </c>
      <c r="C9" s="9" t="s">
        <v>328</v>
      </c>
      <c r="D9" s="9"/>
      <c r="E9" s="9"/>
      <c r="F9" s="9"/>
      <c r="G9" s="9"/>
      <c r="H9" s="9" t="s">
        <v>513</v>
      </c>
      <c r="I9" s="9"/>
      <c r="J9" s="9" t="s">
        <v>505</v>
      </c>
      <c r="K9" s="9" t="s">
        <v>206</v>
      </c>
      <c r="L9" s="9"/>
      <c r="M9" s="9" t="s">
        <v>506</v>
      </c>
      <c r="N9" s="9" t="s">
        <v>515</v>
      </c>
      <c r="O9" s="9">
        <v>44</v>
      </c>
      <c r="P9" s="9" t="s">
        <v>329</v>
      </c>
      <c r="Q9" s="9"/>
      <c r="R9" s="9" t="s">
        <v>506</v>
      </c>
      <c r="S9" s="9" t="s">
        <v>243</v>
      </c>
      <c r="T9" s="9"/>
      <c r="U9" s="17">
        <v>44855</v>
      </c>
      <c r="V9" s="9" t="s">
        <v>508</v>
      </c>
      <c r="W9" s="9">
        <v>9</v>
      </c>
    </row>
    <row r="10" spans="1:23" ht="18.600000000000001" customHeight="1">
      <c r="A10" s="9"/>
      <c r="B10" s="9"/>
      <c r="C10" s="9"/>
      <c r="D10" s="9"/>
      <c r="E10" s="9"/>
      <c r="F10" s="9"/>
      <c r="G10" s="9"/>
      <c r="H10" s="9"/>
      <c r="I10" s="9"/>
      <c r="J10" s="9"/>
      <c r="K10" s="9"/>
      <c r="L10" s="9"/>
      <c r="M10" s="9"/>
      <c r="N10" s="9"/>
      <c r="O10" s="9"/>
      <c r="P10" s="9"/>
      <c r="Q10" s="9"/>
      <c r="R10" s="9"/>
      <c r="S10" s="9"/>
      <c r="T10" s="9"/>
      <c r="U10" s="9"/>
      <c r="V10" s="9"/>
      <c r="W10" s="9"/>
    </row>
    <row r="11" spans="1:23" ht="18.600000000000001" customHeight="1">
      <c r="A11" s="9"/>
      <c r="B11" s="9"/>
      <c r="C11" s="9"/>
      <c r="D11" s="9"/>
      <c r="E11" s="9"/>
      <c r="F11" s="9"/>
      <c r="G11" s="9"/>
      <c r="H11" s="9"/>
      <c r="I11" s="9"/>
      <c r="J11" s="9"/>
      <c r="K11" s="9"/>
      <c r="L11" s="9"/>
      <c r="M11" s="9"/>
      <c r="N11" s="9"/>
      <c r="O11" s="9"/>
      <c r="P11" s="9"/>
      <c r="Q11" s="9"/>
      <c r="R11" s="9"/>
      <c r="S11" s="9"/>
      <c r="T11" s="9"/>
      <c r="U11" s="9"/>
      <c r="V11" s="9"/>
      <c r="W11" s="9"/>
    </row>
    <row r="12" spans="1:23" ht="18.600000000000001" customHeight="1">
      <c r="A12" s="9"/>
      <c r="B12" s="9"/>
      <c r="C12" s="9"/>
      <c r="D12" s="9"/>
      <c r="E12" s="9"/>
      <c r="F12" s="9"/>
      <c r="G12" s="9"/>
      <c r="H12" s="9"/>
      <c r="I12" s="9"/>
      <c r="J12" s="9"/>
      <c r="K12" s="9"/>
      <c r="L12" s="9"/>
      <c r="M12" s="9"/>
      <c r="N12" s="9"/>
      <c r="O12" s="9"/>
      <c r="P12" s="9"/>
      <c r="Q12" s="9"/>
      <c r="R12" s="9"/>
      <c r="S12" s="9"/>
      <c r="T12" s="9"/>
      <c r="U12" s="9"/>
      <c r="V12" s="9"/>
      <c r="W12" s="9"/>
    </row>
    <row r="13" spans="1:23" ht="18.600000000000001" customHeight="1">
      <c r="A13" s="9"/>
      <c r="B13" s="9"/>
      <c r="C13" s="9"/>
      <c r="D13" s="9"/>
      <c r="E13" s="9"/>
      <c r="F13" s="9"/>
      <c r="G13" s="9"/>
      <c r="H13" s="9"/>
      <c r="I13" s="9"/>
      <c r="J13" s="9"/>
      <c r="K13" s="9"/>
      <c r="L13" s="9"/>
      <c r="M13" s="9"/>
      <c r="N13" s="9"/>
      <c r="O13" s="9"/>
      <c r="P13" s="9"/>
      <c r="Q13" s="9"/>
      <c r="R13" s="9"/>
      <c r="S13" s="9"/>
      <c r="T13" s="9"/>
      <c r="U13" s="9"/>
      <c r="V13" s="9"/>
      <c r="W13" s="9"/>
    </row>
    <row r="14" spans="1:23" ht="18.600000000000001" customHeight="1">
      <c r="A14" s="9"/>
      <c r="B14" s="9"/>
      <c r="C14" s="9"/>
      <c r="D14" s="9"/>
      <c r="E14" s="9"/>
      <c r="F14" s="9"/>
      <c r="G14" s="9"/>
      <c r="H14" s="9"/>
      <c r="I14" s="9"/>
      <c r="J14" s="9"/>
      <c r="K14" s="9"/>
      <c r="L14" s="9"/>
      <c r="M14" s="9"/>
      <c r="N14" s="9"/>
      <c r="O14" s="9"/>
      <c r="P14" s="9"/>
      <c r="Q14" s="9"/>
      <c r="R14" s="9"/>
      <c r="S14" s="9"/>
      <c r="T14" s="9"/>
      <c r="U14" s="9"/>
      <c r="V14" s="9"/>
      <c r="W14" s="9"/>
    </row>
    <row r="15" spans="1:23" ht="18.600000000000001" customHeight="1">
      <c r="A15" s="9"/>
      <c r="B15" s="9"/>
      <c r="C15" s="9"/>
      <c r="D15" s="9"/>
      <c r="E15" s="9"/>
      <c r="F15" s="9"/>
      <c r="G15" s="9"/>
      <c r="H15" s="9"/>
      <c r="I15" s="9"/>
      <c r="J15" s="9"/>
      <c r="K15" s="9"/>
      <c r="L15" s="9"/>
      <c r="M15" s="9"/>
      <c r="N15" s="9"/>
      <c r="O15" s="9"/>
      <c r="P15" s="9"/>
      <c r="Q15" s="9"/>
      <c r="R15" s="9"/>
      <c r="S15" s="9"/>
      <c r="T15" s="9"/>
      <c r="U15" s="9"/>
      <c r="V15" s="9"/>
      <c r="W15" s="9"/>
    </row>
    <row r="16" spans="1:23" ht="18.600000000000001" customHeight="1">
      <c r="A16" s="9"/>
      <c r="B16" s="9"/>
      <c r="C16" s="9"/>
      <c r="D16" s="9"/>
      <c r="E16" s="9"/>
      <c r="F16" s="9"/>
      <c r="G16" s="9"/>
      <c r="H16" s="9"/>
      <c r="I16" s="9"/>
      <c r="J16" s="9"/>
      <c r="K16" s="9"/>
      <c r="L16" s="9"/>
      <c r="M16" s="9"/>
      <c r="N16" s="9"/>
      <c r="O16" s="9"/>
      <c r="P16" s="9"/>
      <c r="Q16" s="9"/>
      <c r="R16" s="9"/>
      <c r="S16" s="9"/>
      <c r="T16" s="9"/>
      <c r="U16" s="9"/>
      <c r="V16" s="9"/>
      <c r="W16" s="9"/>
    </row>
    <row r="17" s="9" customFormat="1" ht="18.600000000000001" customHeight="1"/>
    <row r="18" s="9" customFormat="1" ht="18.600000000000001" customHeight="1"/>
    <row r="19" s="9" customFormat="1" ht="18.600000000000001" customHeight="1"/>
    <row r="20" s="9" customFormat="1" ht="18.600000000000001" customHeight="1"/>
    <row r="21" s="9" customFormat="1" ht="18.600000000000001" customHeight="1"/>
    <row r="22" s="9" customFormat="1" ht="18.600000000000001" customHeight="1"/>
    <row r="23" s="9" customFormat="1" ht="18.600000000000001" customHeight="1"/>
    <row r="24" s="9" customFormat="1" ht="18.600000000000001" customHeight="1"/>
  </sheetData>
  <pageMargins left="0" right="0" top="0.39370000000000011" bottom="0.39370000000000011" header="0" footer="0"/>
  <pageSetup fitToWidth="0" fitToHeight="0" pageOrder="overThenDown"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_Docs">
                <anchor>
                  <from>
                    <xdr:col>0</xdr:col>
                    <xdr:colOff>938213</xdr:colOff>
                    <xdr:row>0</xdr:row>
                    <xdr:rowOff>61913</xdr:rowOff>
                  </from>
                  <to>
                    <xdr:col>1</xdr:col>
                    <xdr:colOff>785813</xdr:colOff>
                    <xdr:row>0</xdr:row>
                    <xdr:rowOff>381000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33EF7-E00B-463B-B102-0E98477BA7B9}">
  <sheetPr codeName="BaselineSht">
    <tabColor theme="9"/>
  </sheetPr>
  <dimension ref="A1:BJ33"/>
  <sheetViews>
    <sheetView workbookViewId="0">
      <pane ySplit="3" topLeftCell="A4" activePane="bottomLeft" state="frozen"/>
      <selection pane="bottomLeft" activeCell="F7" sqref="F7"/>
    </sheetView>
  </sheetViews>
  <sheetFormatPr defaultColWidth="11.53125" defaultRowHeight="30.75" customHeight="1"/>
  <cols>
    <col min="1" max="2" width="8.59765625" style="59" customWidth="1"/>
    <col min="3" max="3" width="30.59765625" style="59" customWidth="1"/>
    <col min="4" max="4" width="10.59765625" style="59" customWidth="1"/>
    <col min="5" max="5" width="6.59765625" style="59" customWidth="1"/>
    <col min="6" max="6" width="12.59765625" style="59" customWidth="1"/>
    <col min="7" max="8" width="9.59765625" style="61" customWidth="1"/>
    <col min="9" max="9" width="9.59765625" style="59" customWidth="1"/>
    <col min="10" max="10" width="9.59765625" style="61" customWidth="1"/>
    <col min="11" max="11" width="8.59765625" style="59" customWidth="1"/>
    <col min="12" max="12" width="10.59765625" style="59" customWidth="1"/>
    <col min="13" max="13" width="12.59765625" style="59" customWidth="1"/>
    <col min="14" max="17" width="10.59765625" style="24" customWidth="1"/>
    <col min="18" max="21" width="12.59765625" style="65" customWidth="1"/>
    <col min="22" max="23" width="8.59765625" style="24" customWidth="1"/>
    <col min="24" max="25" width="10.6640625" style="25" customWidth="1"/>
    <col min="26" max="28" width="10.59765625" style="146" customWidth="1"/>
    <col min="29" max="35" width="5.59765625" style="59" customWidth="1"/>
    <col min="36" max="38" width="30.59765625" style="59" customWidth="1"/>
    <col min="39" max="40" width="15.59765625" style="59" customWidth="1"/>
    <col min="41" max="45" width="6.59765625" style="59" customWidth="1"/>
    <col min="46" max="47" width="9.59765625" style="59" customWidth="1"/>
    <col min="48" max="62" width="6.59765625" style="59" customWidth="1"/>
  </cols>
  <sheetData>
    <row r="1" spans="1:62" ht="19.5" customHeight="1">
      <c r="A1" s="76" t="s">
        <v>23</v>
      </c>
      <c r="B1" s="76" t="s">
        <v>24</v>
      </c>
      <c r="C1" s="76" t="s">
        <v>29</v>
      </c>
      <c r="D1" s="76" t="s">
        <v>30</v>
      </c>
      <c r="E1" s="76" t="s">
        <v>257</v>
      </c>
      <c r="F1" s="81" t="s">
        <v>28</v>
      </c>
      <c r="G1" s="82" t="s">
        <v>27</v>
      </c>
      <c r="H1" s="82" t="s">
        <v>74</v>
      </c>
      <c r="I1" s="81" t="s">
        <v>726</v>
      </c>
      <c r="J1" s="84" t="s">
        <v>73</v>
      </c>
      <c r="K1" s="76" t="s">
        <v>25</v>
      </c>
      <c r="L1" s="76" t="s">
        <v>67</v>
      </c>
      <c r="M1" s="76" t="s">
        <v>44</v>
      </c>
      <c r="N1" s="21" t="s">
        <v>51</v>
      </c>
      <c r="O1" s="21" t="s">
        <v>52</v>
      </c>
      <c r="P1" s="21" t="s">
        <v>53</v>
      </c>
      <c r="Q1" s="21" t="s">
        <v>54</v>
      </c>
      <c r="R1" s="85" t="s">
        <v>45</v>
      </c>
      <c r="S1" s="85" t="s">
        <v>46</v>
      </c>
      <c r="T1" s="85" t="s">
        <v>48</v>
      </c>
      <c r="U1" s="85" t="s">
        <v>49</v>
      </c>
      <c r="V1" s="21" t="s">
        <v>47</v>
      </c>
      <c r="W1" s="21" t="s">
        <v>50</v>
      </c>
      <c r="X1" s="21" t="s">
        <v>1251</v>
      </c>
      <c r="Y1" s="21" t="s">
        <v>1252</v>
      </c>
      <c r="Z1" s="143" t="s">
        <v>55</v>
      </c>
      <c r="AA1" s="143" t="s">
        <v>258</v>
      </c>
      <c r="AB1" s="143" t="s">
        <v>56</v>
      </c>
      <c r="AC1" s="76" t="s">
        <v>57</v>
      </c>
      <c r="AD1" s="76" t="s">
        <v>60</v>
      </c>
      <c r="AE1" s="76" t="s">
        <v>58</v>
      </c>
      <c r="AF1" s="76" t="s">
        <v>59</v>
      </c>
      <c r="AG1" s="76" t="s">
        <v>62</v>
      </c>
      <c r="AH1" s="76" t="s">
        <v>61</v>
      </c>
      <c r="AI1" s="76" t="s">
        <v>43</v>
      </c>
      <c r="AJ1" s="76" t="s">
        <v>31</v>
      </c>
      <c r="AK1" s="76" t="s">
        <v>32</v>
      </c>
      <c r="AL1" s="76" t="s">
        <v>33</v>
      </c>
      <c r="AM1" s="76" t="s">
        <v>34</v>
      </c>
      <c r="AN1" s="76" t="s">
        <v>35</v>
      </c>
      <c r="AO1" s="76" t="s">
        <v>63</v>
      </c>
      <c r="AP1" s="76" t="s">
        <v>64</v>
      </c>
      <c r="AQ1" s="76" t="s">
        <v>65</v>
      </c>
      <c r="AR1" s="76" t="s">
        <v>66</v>
      </c>
      <c r="AS1" s="76" t="s">
        <v>68</v>
      </c>
      <c r="AT1" s="76" t="s">
        <v>75</v>
      </c>
      <c r="AU1" s="76" t="s">
        <v>76</v>
      </c>
      <c r="AV1" s="76" t="s">
        <v>71</v>
      </c>
      <c r="AW1" s="76" t="s">
        <v>72</v>
      </c>
      <c r="AX1" s="76" t="s">
        <v>259</v>
      </c>
      <c r="AY1" s="76" t="s">
        <v>70</v>
      </c>
      <c r="AZ1" s="76" t="s">
        <v>69</v>
      </c>
      <c r="BA1" s="76" t="s">
        <v>728</v>
      </c>
      <c r="BB1" s="76" t="s">
        <v>77</v>
      </c>
      <c r="BC1" s="76" t="s">
        <v>78</v>
      </c>
      <c r="BD1" s="76" t="s">
        <v>38</v>
      </c>
      <c r="BE1" s="76" t="s">
        <v>39</v>
      </c>
      <c r="BF1" s="76" t="s">
        <v>40</v>
      </c>
      <c r="BG1" s="76" t="s">
        <v>41</v>
      </c>
      <c r="BH1" s="76" t="s">
        <v>36</v>
      </c>
      <c r="BI1" s="76" t="s">
        <v>37</v>
      </c>
      <c r="BJ1" s="76" t="s">
        <v>42</v>
      </c>
    </row>
    <row r="2" spans="1:62" ht="34.25" customHeight="1">
      <c r="A2" s="104" t="s">
        <v>2422</v>
      </c>
      <c r="B2" s="105"/>
      <c r="C2" s="79"/>
      <c r="D2" s="79"/>
      <c r="E2" s="105"/>
      <c r="F2" s="79"/>
      <c r="G2" s="106"/>
      <c r="H2" s="106"/>
      <c r="I2" s="105"/>
      <c r="J2" s="106"/>
      <c r="K2" s="105"/>
      <c r="L2" s="105"/>
      <c r="M2" s="105"/>
      <c r="N2" s="107"/>
      <c r="O2" s="107"/>
      <c r="P2" s="107"/>
      <c r="Q2" s="107"/>
      <c r="R2" s="108"/>
      <c r="S2" s="108"/>
      <c r="T2" s="108"/>
      <c r="U2" s="108"/>
      <c r="V2" s="107" t="s">
        <v>1186</v>
      </c>
      <c r="W2" s="107" t="s">
        <v>1186</v>
      </c>
      <c r="X2" s="73"/>
      <c r="Y2" s="73"/>
      <c r="Z2" s="152"/>
      <c r="AA2" s="152"/>
      <c r="AB2" s="152"/>
      <c r="AC2" s="105"/>
      <c r="AD2" s="105"/>
      <c r="AE2" s="105"/>
      <c r="AF2" s="105"/>
      <c r="AG2" s="105"/>
      <c r="AH2" s="79"/>
      <c r="AI2" s="79"/>
      <c r="AJ2" s="79"/>
      <c r="AK2" s="79"/>
      <c r="AL2" s="79"/>
      <c r="AM2" s="79"/>
      <c r="AN2" s="79"/>
      <c r="AO2" s="105"/>
      <c r="AP2" s="105"/>
      <c r="AQ2" s="105"/>
      <c r="AR2" s="105"/>
      <c r="AS2" s="105"/>
      <c r="AT2" s="105"/>
      <c r="AU2" s="105"/>
      <c r="AV2" s="105"/>
      <c r="AW2" s="105"/>
      <c r="AX2" s="105"/>
      <c r="AY2" s="105"/>
      <c r="AZ2" s="105"/>
      <c r="BA2" s="105"/>
      <c r="BB2" s="105"/>
      <c r="BC2" s="105"/>
      <c r="BD2" s="105"/>
      <c r="BE2" s="105"/>
      <c r="BF2" s="105"/>
      <c r="BG2" s="105"/>
      <c r="BH2" s="105"/>
      <c r="BI2" s="105"/>
      <c r="BJ2" s="105"/>
    </row>
    <row r="3" spans="1:62" ht="29.25" customHeight="1">
      <c r="A3" s="78" t="s">
        <v>1</v>
      </c>
      <c r="B3" s="71" t="s">
        <v>260</v>
      </c>
      <c r="C3" s="71" t="s">
        <v>2</v>
      </c>
      <c r="D3" s="71" t="s">
        <v>3</v>
      </c>
      <c r="E3" s="71" t="s">
        <v>261</v>
      </c>
      <c r="F3" s="71" t="s">
        <v>445</v>
      </c>
      <c r="G3" s="83" t="s">
        <v>730</v>
      </c>
      <c r="H3" s="83" t="s">
        <v>74</v>
      </c>
      <c r="I3" s="71" t="s">
        <v>731</v>
      </c>
      <c r="J3" s="83" t="s">
        <v>262</v>
      </c>
      <c r="K3" s="71" t="s">
        <v>440</v>
      </c>
      <c r="L3" s="71" t="s">
        <v>446</v>
      </c>
      <c r="M3" s="71" t="s">
        <v>265</v>
      </c>
      <c r="N3" s="67" t="s">
        <v>732</v>
      </c>
      <c r="O3" s="67" t="s">
        <v>733</v>
      </c>
      <c r="P3" s="67" t="s">
        <v>734</v>
      </c>
      <c r="Q3" s="67" t="s">
        <v>735</v>
      </c>
      <c r="R3" s="87" t="s">
        <v>11</v>
      </c>
      <c r="S3" s="87" t="s">
        <v>12</v>
      </c>
      <c r="T3" s="87" t="s">
        <v>736</v>
      </c>
      <c r="U3" s="87" t="s">
        <v>737</v>
      </c>
      <c r="V3" s="67" t="s">
        <v>263</v>
      </c>
      <c r="W3" s="67" t="s">
        <v>264</v>
      </c>
      <c r="X3" s="67" t="s">
        <v>1296</v>
      </c>
      <c r="Y3" s="67" t="s">
        <v>1297</v>
      </c>
      <c r="Z3" s="145" t="s">
        <v>442</v>
      </c>
      <c r="AA3" s="145" t="s">
        <v>738</v>
      </c>
      <c r="AB3" s="145" t="s">
        <v>739</v>
      </c>
      <c r="AC3" s="71" t="s">
        <v>364</v>
      </c>
      <c r="AD3" s="71" t="s">
        <v>740</v>
      </c>
      <c r="AE3" s="71" t="s">
        <v>741</v>
      </c>
      <c r="AF3" s="71" t="s">
        <v>742</v>
      </c>
      <c r="AG3" s="71" t="s">
        <v>62</v>
      </c>
      <c r="AH3" s="71" t="s">
        <v>444</v>
      </c>
      <c r="AI3" s="71" t="s">
        <v>82</v>
      </c>
      <c r="AJ3" s="71" t="s">
        <v>31</v>
      </c>
      <c r="AK3" s="71" t="s">
        <v>32</v>
      </c>
      <c r="AL3" s="71" t="s">
        <v>33</v>
      </c>
      <c r="AM3" s="71" t="s">
        <v>34</v>
      </c>
      <c r="AN3" s="71" t="s">
        <v>35</v>
      </c>
      <c r="AO3" s="71" t="s">
        <v>63</v>
      </c>
      <c r="AP3" s="71" t="s">
        <v>64</v>
      </c>
      <c r="AQ3" s="71" t="s">
        <v>441</v>
      </c>
      <c r="AR3" s="71" t="s">
        <v>66</v>
      </c>
      <c r="AS3" s="71" t="s">
        <v>68</v>
      </c>
      <c r="AT3" s="71" t="s">
        <v>75</v>
      </c>
      <c r="AU3" s="71" t="s">
        <v>76</v>
      </c>
      <c r="AV3" s="71" t="s">
        <v>71</v>
      </c>
      <c r="AW3" s="71" t="s">
        <v>72</v>
      </c>
      <c r="AX3" s="71" t="s">
        <v>267</v>
      </c>
      <c r="AY3" s="71" t="s">
        <v>70</v>
      </c>
      <c r="AZ3" s="71" t="s">
        <v>69</v>
      </c>
      <c r="BA3" s="71" t="s">
        <v>728</v>
      </c>
      <c r="BB3" s="71" t="s">
        <v>77</v>
      </c>
      <c r="BC3" s="71" t="s">
        <v>78</v>
      </c>
      <c r="BD3" s="88" t="s">
        <v>38</v>
      </c>
      <c r="BE3" s="88" t="s">
        <v>39</v>
      </c>
      <c r="BF3" s="88" t="s">
        <v>40</v>
      </c>
      <c r="BG3" s="88" t="s">
        <v>41</v>
      </c>
      <c r="BH3" s="88" t="s">
        <v>743</v>
      </c>
      <c r="BI3" s="88" t="s">
        <v>5</v>
      </c>
      <c r="BJ3" s="88" t="s">
        <v>81</v>
      </c>
    </row>
    <row r="4" spans="1:62" ht="30.75" customHeight="1">
      <c r="X4"/>
      <c r="Y4"/>
    </row>
    <row r="5" spans="1:62" ht="30.75" customHeight="1">
      <c r="X5"/>
      <c r="Y5"/>
    </row>
    <row r="6" spans="1:62" ht="30.75" customHeight="1">
      <c r="X6"/>
      <c r="Y6"/>
    </row>
    <row r="7" spans="1:62" ht="30.75" customHeight="1">
      <c r="X7"/>
      <c r="Y7"/>
    </row>
    <row r="8" spans="1:62" ht="30.75" customHeight="1">
      <c r="X8"/>
      <c r="Y8"/>
    </row>
    <row r="9" spans="1:62" ht="30.75" customHeight="1">
      <c r="X9"/>
      <c r="Y9"/>
    </row>
    <row r="10" spans="1:62" ht="30.75" customHeight="1">
      <c r="X10"/>
      <c r="Y10"/>
    </row>
    <row r="11" spans="1:62" ht="30.75" customHeight="1">
      <c r="X11"/>
      <c r="Y11"/>
    </row>
    <row r="12" spans="1:62" ht="30.75" customHeight="1">
      <c r="X12"/>
      <c r="Y12"/>
    </row>
    <row r="13" spans="1:62" ht="30.75" customHeight="1">
      <c r="X13"/>
      <c r="Y13"/>
    </row>
    <row r="14" spans="1:62" ht="30.75" customHeight="1">
      <c r="X14"/>
      <c r="Y14"/>
    </row>
    <row r="15" spans="1:62" ht="30.75" customHeight="1">
      <c r="X15"/>
      <c r="Y15"/>
    </row>
    <row r="16" spans="1:62" ht="30.75" customHeight="1">
      <c r="X16"/>
      <c r="Y16"/>
    </row>
    <row r="17" spans="24:25" ht="30.75" customHeight="1">
      <c r="X17"/>
      <c r="Y17"/>
    </row>
    <row r="18" spans="24:25" ht="30.75" customHeight="1">
      <c r="X18"/>
      <c r="Y18"/>
    </row>
    <row r="19" spans="24:25" ht="30.75" customHeight="1">
      <c r="X19"/>
      <c r="Y19"/>
    </row>
    <row r="20" spans="24:25" ht="30.75" customHeight="1">
      <c r="X20"/>
      <c r="Y20"/>
    </row>
    <row r="21" spans="24:25" ht="30.75" customHeight="1">
      <c r="X21"/>
      <c r="Y21"/>
    </row>
    <row r="22" spans="24:25" ht="30.75" customHeight="1">
      <c r="X22"/>
      <c r="Y22"/>
    </row>
    <row r="23" spans="24:25" ht="30.75" customHeight="1">
      <c r="X23"/>
      <c r="Y23"/>
    </row>
    <row r="24" spans="24:25" ht="30.75" customHeight="1">
      <c r="X24"/>
      <c r="Y24"/>
    </row>
    <row r="25" spans="24:25" ht="30.75" customHeight="1">
      <c r="X25"/>
      <c r="Y25"/>
    </row>
    <row r="26" spans="24:25" ht="30.75" customHeight="1">
      <c r="X26"/>
      <c r="Y26"/>
    </row>
    <row r="27" spans="24:25" ht="30.75" customHeight="1">
      <c r="X27"/>
      <c r="Y27"/>
    </row>
    <row r="28" spans="24:25" ht="30.75" customHeight="1">
      <c r="X28"/>
      <c r="Y28"/>
    </row>
    <row r="29" spans="24:25" ht="30.75" customHeight="1">
      <c r="X29"/>
      <c r="Y29"/>
    </row>
    <row r="30" spans="24:25" ht="30.75" customHeight="1">
      <c r="X30"/>
      <c r="Y30"/>
    </row>
    <row r="31" spans="24:25" ht="30.75" customHeight="1">
      <c r="X31"/>
      <c r="Y31"/>
    </row>
    <row r="32" spans="24:25" ht="30.75" customHeight="1">
      <c r="X32"/>
      <c r="Y32"/>
    </row>
    <row r="33" spans="24:25" ht="30.75" customHeight="1">
      <c r="X33"/>
      <c r="Y33"/>
    </row>
  </sheetData>
  <autoFilter ref="A3:BJ3" xr:uid="{A0133EF7-E00B-463B-B102-0E98477BA7B9}"/>
  <dataValidations count="1">
    <dataValidation allowBlank="1" showErrorMessage="1" error="Please select a value from the list." sqref="A3:BJ3 A1:BJ1" xr:uid="{260FF03E-7B71-4A18-92C7-35EAD1B46296}"/>
  </dataValidations>
  <pageMargins left="0" right="0" top="0.39370000000000011" bottom="0.39370000000000011" header="0" footer="0"/>
  <pageSetup paperSize="0" fitToWidth="0" fitToHeight="0" pageOrder="overThenDown" horizontalDpi="0" verticalDpi="0" copie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21088-E18C-41F7-92B8-F8633A7B2F94}">
  <sheetPr codeName="TBMDJoinedSht">
    <tabColor theme="9"/>
  </sheetPr>
  <dimension ref="A1:KX139"/>
  <sheetViews>
    <sheetView workbookViewId="0">
      <pane ySplit="3" topLeftCell="A4" activePane="bottomLeft" state="frozen"/>
      <selection pane="bottomLeft" activeCell="I21" sqref="I21"/>
    </sheetView>
  </sheetViews>
  <sheetFormatPr defaultRowHeight="17.350000000000001" customHeight="1"/>
  <cols>
    <col min="1" max="2" width="8.59765625" style="59" customWidth="1"/>
    <col min="3" max="3" width="40.59765625" style="59" customWidth="1"/>
    <col min="4" max="4" width="11.59765625" style="59" customWidth="1"/>
    <col min="5" max="5" width="7.59765625" style="59" customWidth="1"/>
    <col min="6" max="6" width="15.59765625" style="59" customWidth="1"/>
    <col min="7" max="10" width="9.59765625" style="24" customWidth="1"/>
    <col min="11" max="11" width="6.59765625" style="59" customWidth="1"/>
    <col min="12" max="12" width="4.59765625" style="59" customWidth="1"/>
    <col min="13" max="13" width="8.59765625" style="59" customWidth="1"/>
    <col min="14" max="16" width="9.59765625" style="24" customWidth="1"/>
    <col min="17" max="17" width="8.59765625" style="24" customWidth="1"/>
    <col min="18" max="21" width="12.59765625" style="65" customWidth="1"/>
    <col min="22" max="23" width="8.59765625" style="24" customWidth="1"/>
    <col min="66" max="67" width="8.59765625" style="59" customWidth="1"/>
    <col min="68" max="68" width="30.59765625" style="59" customWidth="1"/>
    <col min="69" max="69" width="11.59765625" style="59" customWidth="1"/>
    <col min="70" max="70" width="7.59765625" style="59" customWidth="1"/>
    <col min="71" max="71" width="15.59765625" style="59" customWidth="1"/>
    <col min="72" max="72" width="8.59765625" style="59" customWidth="1"/>
    <col min="73" max="73" width="10.59765625" style="59" customWidth="1"/>
    <col min="74" max="74" width="8.59765625" style="59" customWidth="1"/>
    <col min="75" max="75" width="10.59765625" style="59" customWidth="1"/>
    <col min="76" max="77" width="20.59765625" style="59" customWidth="1"/>
    <col min="78" max="88" width="10.59765625" style="59" customWidth="1"/>
    <col min="235" max="235" width="15.59765625" style="59" customWidth="1"/>
  </cols>
  <sheetData>
    <row r="1" spans="1:310" ht="17.350000000000001" customHeight="1">
      <c r="A1" s="76" t="s">
        <v>23</v>
      </c>
      <c r="B1" s="76" t="s">
        <v>24</v>
      </c>
      <c r="C1" s="76" t="s">
        <v>29</v>
      </c>
      <c r="D1" s="76" t="s">
        <v>30</v>
      </c>
      <c r="E1" s="76" t="s">
        <v>257</v>
      </c>
      <c r="F1" s="76" t="s">
        <v>28</v>
      </c>
      <c r="G1" s="21" t="s">
        <v>27</v>
      </c>
      <c r="H1" s="21" t="s">
        <v>74</v>
      </c>
      <c r="I1" s="21" t="s">
        <v>726</v>
      </c>
      <c r="J1" s="21" t="s">
        <v>73</v>
      </c>
      <c r="K1" s="76" t="s">
        <v>25</v>
      </c>
      <c r="L1" s="76" t="s">
        <v>67</v>
      </c>
      <c r="M1" s="76" t="s">
        <v>44</v>
      </c>
      <c r="N1" s="21" t="s">
        <v>51</v>
      </c>
      <c r="O1" s="21" t="s">
        <v>52</v>
      </c>
      <c r="P1" s="21" t="s">
        <v>53</v>
      </c>
      <c r="Q1" s="21" t="s">
        <v>54</v>
      </c>
      <c r="R1" s="85" t="s">
        <v>45</v>
      </c>
      <c r="S1" s="85" t="s">
        <v>46</v>
      </c>
      <c r="T1" s="85" t="s">
        <v>48</v>
      </c>
      <c r="U1" s="85" t="s">
        <v>49</v>
      </c>
      <c r="V1" s="21" t="s">
        <v>47</v>
      </c>
      <c r="W1" s="21" t="s">
        <v>50</v>
      </c>
      <c r="X1" s="76" t="s">
        <v>1251</v>
      </c>
      <c r="Y1" s="76" t="s">
        <v>1252</v>
      </c>
      <c r="Z1" s="76" t="s">
        <v>55</v>
      </c>
      <c r="AA1" s="76" t="s">
        <v>258</v>
      </c>
      <c r="AB1" s="76" t="s">
        <v>56</v>
      </c>
      <c r="AC1" s="76" t="s">
        <v>57</v>
      </c>
      <c r="AD1" s="76" t="s">
        <v>60</v>
      </c>
      <c r="AE1" s="76" t="s">
        <v>58</v>
      </c>
      <c r="AF1" s="76" t="s">
        <v>59</v>
      </c>
      <c r="AG1" s="76" t="s">
        <v>62</v>
      </c>
      <c r="AH1" s="76" t="s">
        <v>61</v>
      </c>
      <c r="AI1" s="76" t="s">
        <v>43</v>
      </c>
      <c r="AJ1" s="76" t="s">
        <v>31</v>
      </c>
      <c r="AK1" s="76" t="s">
        <v>32</v>
      </c>
      <c r="AL1" s="76" t="s">
        <v>33</v>
      </c>
      <c r="AM1" s="76" t="s">
        <v>34</v>
      </c>
      <c r="AN1" s="76" t="s">
        <v>35</v>
      </c>
      <c r="AO1" s="76" t="s">
        <v>727</v>
      </c>
      <c r="AP1" s="76" t="s">
        <v>63</v>
      </c>
      <c r="AQ1" s="76" t="s">
        <v>64</v>
      </c>
      <c r="AR1" s="76" t="s">
        <v>65</v>
      </c>
      <c r="AS1" s="76" t="s">
        <v>66</v>
      </c>
      <c r="AT1" s="76" t="s">
        <v>68</v>
      </c>
      <c r="AU1" s="76" t="s">
        <v>75</v>
      </c>
      <c r="AV1" s="76" t="s">
        <v>76</v>
      </c>
      <c r="AW1" s="76" t="s">
        <v>71</v>
      </c>
      <c r="AX1" s="76" t="s">
        <v>72</v>
      </c>
      <c r="AY1" s="76" t="s">
        <v>259</v>
      </c>
      <c r="AZ1" s="76" t="s">
        <v>70</v>
      </c>
      <c r="BA1" s="76" t="s">
        <v>69</v>
      </c>
      <c r="BB1" s="76" t="s">
        <v>728</v>
      </c>
      <c r="BC1" s="76" t="s">
        <v>77</v>
      </c>
      <c r="BD1" s="76" t="s">
        <v>78</v>
      </c>
      <c r="BE1" s="76" t="s">
        <v>38</v>
      </c>
      <c r="BF1" s="76" t="s">
        <v>39</v>
      </c>
      <c r="BG1" s="76" t="s">
        <v>40</v>
      </c>
      <c r="BH1" s="76" t="s">
        <v>41</v>
      </c>
      <c r="BI1" s="76" t="s">
        <v>36</v>
      </c>
      <c r="BJ1" s="76" t="s">
        <v>37</v>
      </c>
      <c r="BK1" s="76" t="s">
        <v>42</v>
      </c>
      <c r="BL1" s="76" t="s">
        <v>2651</v>
      </c>
      <c r="BM1" s="76" t="s">
        <v>2650</v>
      </c>
      <c r="BN1" s="60" t="s">
        <v>87</v>
      </c>
      <c r="BO1" s="60" t="s">
        <v>746</v>
      </c>
      <c r="BP1" s="60" t="s">
        <v>88</v>
      </c>
      <c r="BQ1" s="60" t="s">
        <v>747</v>
      </c>
      <c r="BR1" s="60" t="s">
        <v>748</v>
      </c>
      <c r="BS1" s="60" t="s">
        <v>28</v>
      </c>
      <c r="BT1" s="60" t="s">
        <v>123</v>
      </c>
      <c r="BU1" s="60" t="s">
        <v>112</v>
      </c>
      <c r="BV1" s="60" t="s">
        <v>125</v>
      </c>
      <c r="BW1" s="60" t="s">
        <v>173</v>
      </c>
      <c r="BX1" s="60" t="s">
        <v>137</v>
      </c>
      <c r="BY1" s="60" t="s">
        <v>136</v>
      </c>
      <c r="BZ1" s="60" t="s">
        <v>118</v>
      </c>
      <c r="CA1" s="60" t="s">
        <v>111</v>
      </c>
      <c r="CB1" s="60" t="s">
        <v>113</v>
      </c>
      <c r="CC1" s="60" t="s">
        <v>115</v>
      </c>
      <c r="CD1" s="60" t="s">
        <v>116</v>
      </c>
      <c r="CE1" s="60" t="s">
        <v>117</v>
      </c>
      <c r="CF1" s="60" t="s">
        <v>92</v>
      </c>
      <c r="CG1" s="60" t="s">
        <v>1207</v>
      </c>
      <c r="CH1" s="60" t="s">
        <v>750</v>
      </c>
      <c r="CI1" s="60" t="s">
        <v>106</v>
      </c>
      <c r="CJ1" s="60" t="s">
        <v>122</v>
      </c>
      <c r="CK1" s="60" t="s">
        <v>121</v>
      </c>
      <c r="CL1" s="60" t="s">
        <v>138</v>
      </c>
      <c r="CM1" s="60" t="s">
        <v>170</v>
      </c>
      <c r="CN1" s="60" t="s">
        <v>120</v>
      </c>
      <c r="CO1" s="60" t="s">
        <v>150</v>
      </c>
      <c r="CP1" s="60" t="s">
        <v>153</v>
      </c>
      <c r="CQ1" s="60" t="s">
        <v>147</v>
      </c>
      <c r="CR1" s="60" t="s">
        <v>149</v>
      </c>
      <c r="CS1" s="60" t="s">
        <v>151</v>
      </c>
      <c r="CT1" s="60" t="s">
        <v>152</v>
      </c>
      <c r="CU1" s="60" t="s">
        <v>148</v>
      </c>
      <c r="CV1" s="60" t="s">
        <v>89</v>
      </c>
      <c r="CW1" s="60" t="s">
        <v>161</v>
      </c>
      <c r="CX1" s="60" t="s">
        <v>97</v>
      </c>
      <c r="CY1" s="60" t="s">
        <v>96</v>
      </c>
      <c r="CZ1" s="60" t="s">
        <v>162</v>
      </c>
      <c r="DA1" s="60" t="s">
        <v>1208</v>
      </c>
      <c r="DB1" s="60" t="s">
        <v>98</v>
      </c>
      <c r="DC1" s="60" t="s">
        <v>99</v>
      </c>
      <c r="DD1" s="60" t="s">
        <v>100</v>
      </c>
      <c r="DE1" s="60" t="s">
        <v>101</v>
      </c>
      <c r="DF1" s="60" t="s">
        <v>124</v>
      </c>
      <c r="DG1" s="60" t="s">
        <v>102</v>
      </c>
      <c r="DH1" s="123" t="s">
        <v>751</v>
      </c>
      <c r="DI1" s="123" t="s">
        <v>752</v>
      </c>
      <c r="DJ1" s="60" t="s">
        <v>753</v>
      </c>
      <c r="DK1" s="89" t="s">
        <v>754</v>
      </c>
      <c r="DL1" s="60" t="s">
        <v>166</v>
      </c>
      <c r="DM1" s="60" t="s">
        <v>169</v>
      </c>
      <c r="DN1" s="60" t="s">
        <v>126</v>
      </c>
      <c r="DO1" s="60" t="s">
        <v>171</v>
      </c>
      <c r="DP1" s="60" t="s">
        <v>172</v>
      </c>
      <c r="DQ1" s="60" t="s">
        <v>94</v>
      </c>
      <c r="DR1" s="60" t="s">
        <v>93</v>
      </c>
      <c r="DS1" s="60" t="s">
        <v>159</v>
      </c>
      <c r="DT1" s="60" t="s">
        <v>154</v>
      </c>
      <c r="DU1" s="60" t="s">
        <v>2414</v>
      </c>
      <c r="DV1" s="60" t="s">
        <v>156</v>
      </c>
      <c r="DW1" s="60" t="s">
        <v>164</v>
      </c>
      <c r="DX1" s="60" t="s">
        <v>157</v>
      </c>
      <c r="DY1" s="60" t="s">
        <v>158</v>
      </c>
      <c r="DZ1" s="60" t="s">
        <v>160</v>
      </c>
      <c r="EA1" s="60" t="s">
        <v>132</v>
      </c>
      <c r="EB1" s="60" t="s">
        <v>95</v>
      </c>
      <c r="EC1" s="60" t="s">
        <v>139</v>
      </c>
      <c r="ED1" s="60" t="s">
        <v>146</v>
      </c>
      <c r="EE1" s="60" t="s">
        <v>141</v>
      </c>
      <c r="EF1" s="60" t="s">
        <v>1209</v>
      </c>
      <c r="EG1" s="60" t="s">
        <v>140</v>
      </c>
      <c r="EH1" s="60" t="s">
        <v>1210</v>
      </c>
      <c r="EI1" s="60" t="s">
        <v>1211</v>
      </c>
      <c r="EJ1" s="60" t="s">
        <v>1212</v>
      </c>
      <c r="EK1" s="60" t="s">
        <v>1213</v>
      </c>
      <c r="EL1" s="60" t="s">
        <v>1214</v>
      </c>
      <c r="EM1" s="60" t="s">
        <v>1215</v>
      </c>
      <c r="EN1" s="60" t="s">
        <v>1216</v>
      </c>
      <c r="EO1" s="60" t="s">
        <v>1217</v>
      </c>
      <c r="EP1" s="60" t="s">
        <v>1218</v>
      </c>
      <c r="EQ1" s="60" t="s">
        <v>476</v>
      </c>
      <c r="ER1" s="60" t="s">
        <v>142</v>
      </c>
      <c r="ES1" s="60" t="s">
        <v>1219</v>
      </c>
      <c r="ET1" s="60" t="s">
        <v>144</v>
      </c>
      <c r="EU1" s="60" t="s">
        <v>143</v>
      </c>
      <c r="EV1" s="60" t="s">
        <v>1220</v>
      </c>
      <c r="EW1" s="60" t="s">
        <v>165</v>
      </c>
      <c r="EX1" s="60" t="s">
        <v>1253</v>
      </c>
      <c r="EY1" s="124" t="s">
        <v>1739</v>
      </c>
      <c r="EZ1" s="60" t="s">
        <v>127</v>
      </c>
      <c r="FA1" s="123" t="s">
        <v>128</v>
      </c>
      <c r="FB1" s="60" t="s">
        <v>129</v>
      </c>
      <c r="FC1" s="60" t="s">
        <v>755</v>
      </c>
      <c r="FD1" s="60" t="s">
        <v>130</v>
      </c>
      <c r="FE1" s="60" t="s">
        <v>131</v>
      </c>
      <c r="FF1" s="60" t="s">
        <v>119</v>
      </c>
      <c r="FG1" s="60" t="s">
        <v>108</v>
      </c>
      <c r="FH1" s="60" t="s">
        <v>168</v>
      </c>
      <c r="FI1" s="60" t="s">
        <v>163</v>
      </c>
      <c r="FJ1" s="60" t="s">
        <v>145</v>
      </c>
      <c r="FK1" s="60" t="s">
        <v>107</v>
      </c>
      <c r="FL1" s="60" t="s">
        <v>133</v>
      </c>
      <c r="FM1" s="60" t="s">
        <v>68</v>
      </c>
      <c r="FN1" s="60" t="s">
        <v>182</v>
      </c>
      <c r="FO1" s="123" t="s">
        <v>109</v>
      </c>
      <c r="FP1" s="124" t="s">
        <v>110</v>
      </c>
      <c r="FQ1" s="60" t="s">
        <v>103</v>
      </c>
      <c r="FR1" s="60" t="s">
        <v>104</v>
      </c>
      <c r="FS1" s="60" t="s">
        <v>105</v>
      </c>
      <c r="FT1" s="60" t="s">
        <v>167</v>
      </c>
      <c r="FU1" s="60" t="s">
        <v>155</v>
      </c>
      <c r="FV1" s="60" t="s">
        <v>90</v>
      </c>
      <c r="FW1" s="60" t="s">
        <v>91</v>
      </c>
      <c r="FX1" s="60" t="s">
        <v>135</v>
      </c>
      <c r="FY1" s="60" t="s">
        <v>114</v>
      </c>
      <c r="FZ1" s="60" t="s">
        <v>756</v>
      </c>
      <c r="GA1" s="60" t="s">
        <v>757</v>
      </c>
      <c r="GB1" s="60" t="s">
        <v>758</v>
      </c>
      <c r="GC1" s="60" t="s">
        <v>759</v>
      </c>
      <c r="GD1" s="60" t="s">
        <v>760</v>
      </c>
      <c r="GE1" s="123" t="s">
        <v>765</v>
      </c>
      <c r="GF1" s="60" t="s">
        <v>1249</v>
      </c>
      <c r="GG1" s="60" t="s">
        <v>761</v>
      </c>
      <c r="GH1" s="60" t="s">
        <v>762</v>
      </c>
      <c r="GI1" s="60" t="s">
        <v>763</v>
      </c>
      <c r="GJ1" s="60" t="s">
        <v>764</v>
      </c>
      <c r="GK1" s="68" t="s">
        <v>1193</v>
      </c>
      <c r="GL1" s="68" t="s">
        <v>1194</v>
      </c>
      <c r="GM1" s="68" t="s">
        <v>1195</v>
      </c>
      <c r="GN1" s="68" t="s">
        <v>1196</v>
      </c>
      <c r="GO1" s="68" t="s">
        <v>1197</v>
      </c>
      <c r="GP1" s="68" t="s">
        <v>1198</v>
      </c>
      <c r="GQ1" s="68" t="s">
        <v>1199</v>
      </c>
      <c r="GR1" s="68" t="s">
        <v>1200</v>
      </c>
      <c r="GS1" s="68" t="s">
        <v>1201</v>
      </c>
      <c r="GT1" s="60" t="s">
        <v>1254</v>
      </c>
      <c r="GU1" s="60" t="s">
        <v>1255</v>
      </c>
      <c r="GV1" s="60" t="s">
        <v>1256</v>
      </c>
      <c r="GW1" s="60" t="s">
        <v>1257</v>
      </c>
      <c r="GX1" s="60" t="s">
        <v>1258</v>
      </c>
      <c r="GY1" s="60" t="s">
        <v>1259</v>
      </c>
      <c r="GZ1" s="60" t="s">
        <v>1456</v>
      </c>
      <c r="HA1" s="60" t="s">
        <v>1448</v>
      </c>
      <c r="HB1" s="60" t="s">
        <v>1469</v>
      </c>
      <c r="HC1" s="60" t="s">
        <v>1463</v>
      </c>
      <c r="HD1" s="60" t="s">
        <v>1401</v>
      </c>
      <c r="HE1" s="60" t="s">
        <v>1338</v>
      </c>
      <c r="HF1" s="60" t="s">
        <v>1353</v>
      </c>
      <c r="HG1" s="60" t="s">
        <v>1485</v>
      </c>
      <c r="HH1" s="60" t="s">
        <v>1329</v>
      </c>
      <c r="HI1" s="60" t="s">
        <v>1412</v>
      </c>
      <c r="HJ1" s="60" t="s">
        <v>1372</v>
      </c>
      <c r="HK1" s="60" t="s">
        <v>1394</v>
      </c>
      <c r="HL1" s="123" t="s">
        <v>1502</v>
      </c>
      <c r="HM1" s="123" t="s">
        <v>1503</v>
      </c>
      <c r="HN1" s="123" t="s">
        <v>1504</v>
      </c>
      <c r="HO1" s="125" t="s">
        <v>1505</v>
      </c>
      <c r="HP1" s="123" t="s">
        <v>1506</v>
      </c>
      <c r="HQ1" s="123" t="s">
        <v>1507</v>
      </c>
      <c r="HR1" s="123" t="s">
        <v>1508</v>
      </c>
      <c r="HS1" s="123" t="s">
        <v>1509</v>
      </c>
      <c r="HT1" s="123" t="s">
        <v>1510</v>
      </c>
      <c r="HU1" s="123" t="s">
        <v>1511</v>
      </c>
      <c r="HV1" s="60" t="s">
        <v>1512</v>
      </c>
      <c r="HW1" s="60" t="s">
        <v>1391</v>
      </c>
      <c r="HX1" s="60" t="s">
        <v>1513</v>
      </c>
      <c r="HY1" s="124" t="s">
        <v>1514</v>
      </c>
      <c r="HZ1" s="60" t="s">
        <v>1515</v>
      </c>
      <c r="IA1" s="60" t="s">
        <v>2080</v>
      </c>
      <c r="IB1" s="60" t="s">
        <v>2081</v>
      </c>
      <c r="IC1" s="60" t="s">
        <v>2086</v>
      </c>
      <c r="ID1" s="60" t="s">
        <v>2094</v>
      </c>
      <c r="IE1" s="60" t="s">
        <v>2082</v>
      </c>
      <c r="IF1" s="60" t="s">
        <v>2083</v>
      </c>
      <c r="IG1" s="60" t="s">
        <v>2084</v>
      </c>
      <c r="IH1" s="60" t="s">
        <v>2238</v>
      </c>
      <c r="II1" s="60" t="s">
        <v>2239</v>
      </c>
      <c r="IJ1" s="60" t="s">
        <v>2240</v>
      </c>
      <c r="IK1" s="60" t="s">
        <v>2241</v>
      </c>
      <c r="IL1" s="60" t="s">
        <v>2242</v>
      </c>
      <c r="IM1" s="60" t="s">
        <v>2243</v>
      </c>
      <c r="IN1" s="60" t="s">
        <v>2244</v>
      </c>
      <c r="IO1" s="60" t="s">
        <v>2245</v>
      </c>
      <c r="IP1" s="60" t="s">
        <v>2246</v>
      </c>
      <c r="IQ1" s="124" t="s">
        <v>2247</v>
      </c>
      <c r="IR1" s="60" t="s">
        <v>2248</v>
      </c>
      <c r="IS1" s="60" t="s">
        <v>2249</v>
      </c>
      <c r="IT1" s="60" t="s">
        <v>2250</v>
      </c>
      <c r="IU1" s="124" t="s">
        <v>2251</v>
      </c>
      <c r="IV1" s="60" t="s">
        <v>2252</v>
      </c>
      <c r="IW1" s="60" t="s">
        <v>2253</v>
      </c>
      <c r="IX1" s="60" t="s">
        <v>2254</v>
      </c>
      <c r="IY1" s="124" t="s">
        <v>2255</v>
      </c>
      <c r="IZ1" s="60" t="s">
        <v>2256</v>
      </c>
      <c r="JA1" s="60" t="s">
        <v>2257</v>
      </c>
      <c r="JB1" s="60" t="s">
        <v>2258</v>
      </c>
      <c r="JC1" s="60" t="s">
        <v>2259</v>
      </c>
      <c r="JD1" s="60" t="s">
        <v>2260</v>
      </c>
      <c r="JE1" s="124" t="s">
        <v>2261</v>
      </c>
      <c r="JF1" s="60" t="s">
        <v>2262</v>
      </c>
      <c r="JG1" s="60" t="s">
        <v>2263</v>
      </c>
      <c r="JH1" s="60" t="s">
        <v>2264</v>
      </c>
      <c r="JI1" s="60" t="s">
        <v>2265</v>
      </c>
      <c r="JJ1" s="60" t="s">
        <v>2266</v>
      </c>
      <c r="JK1" s="60" t="s">
        <v>2267</v>
      </c>
      <c r="JL1" s="123" t="s">
        <v>2268</v>
      </c>
      <c r="JM1" s="60" t="s">
        <v>2269</v>
      </c>
      <c r="JN1" s="60" t="s">
        <v>2384</v>
      </c>
      <c r="JO1" s="76" t="s">
        <v>1260</v>
      </c>
      <c r="JP1" s="76" t="s">
        <v>1261</v>
      </c>
      <c r="JQ1" s="76" t="s">
        <v>1262</v>
      </c>
      <c r="JR1" s="76" t="s">
        <v>1263</v>
      </c>
      <c r="JS1" s="76" t="s">
        <v>1264</v>
      </c>
      <c r="JT1" s="76" t="s">
        <v>1265</v>
      </c>
      <c r="JU1" s="76" t="s">
        <v>1266</v>
      </c>
      <c r="JV1" s="76" t="s">
        <v>1267</v>
      </c>
      <c r="JW1" s="76" t="s">
        <v>1268</v>
      </c>
      <c r="JX1" s="76" t="s">
        <v>1269</v>
      </c>
      <c r="JY1" s="76" t="s">
        <v>1270</v>
      </c>
      <c r="JZ1" s="76" t="s">
        <v>1271</v>
      </c>
      <c r="KA1" s="76" t="s">
        <v>1272</v>
      </c>
      <c r="KB1" s="76" t="s">
        <v>1273</v>
      </c>
      <c r="KC1" s="76" t="s">
        <v>1274</v>
      </c>
      <c r="KD1" s="76" t="s">
        <v>1275</v>
      </c>
      <c r="KE1" s="76" t="s">
        <v>1276</v>
      </c>
      <c r="KF1" s="76" t="s">
        <v>1277</v>
      </c>
      <c r="KG1" s="76" t="s">
        <v>1278</v>
      </c>
      <c r="KH1" s="76" t="s">
        <v>1279</v>
      </c>
      <c r="KI1" s="76" t="s">
        <v>1280</v>
      </c>
      <c r="KJ1" s="76" t="s">
        <v>1281</v>
      </c>
      <c r="KK1" s="76" t="s">
        <v>1282</v>
      </c>
      <c r="KL1" s="76" t="s">
        <v>1283</v>
      </c>
      <c r="KM1" s="76" t="s">
        <v>1284</v>
      </c>
      <c r="KN1" s="76" t="s">
        <v>1285</v>
      </c>
      <c r="KO1" s="76" t="s">
        <v>1286</v>
      </c>
      <c r="KP1" s="76" t="s">
        <v>1287</v>
      </c>
      <c r="KQ1" s="76" t="s">
        <v>1288</v>
      </c>
      <c r="KR1" s="76" t="s">
        <v>1289</v>
      </c>
      <c r="KS1" s="76" t="s">
        <v>1290</v>
      </c>
      <c r="KT1" s="76" t="s">
        <v>1291</v>
      </c>
      <c r="KU1" s="76" t="s">
        <v>1292</v>
      </c>
      <c r="KV1" s="76" t="s">
        <v>1293</v>
      </c>
      <c r="KW1" s="76" t="s">
        <v>1294</v>
      </c>
      <c r="KX1" s="76" t="s">
        <v>1295</v>
      </c>
    </row>
    <row r="2" spans="1:310" ht="32.25" customHeight="1">
      <c r="A2" s="139" t="s">
        <v>2423</v>
      </c>
      <c r="E2" s="59" t="s">
        <v>2424</v>
      </c>
    </row>
    <row r="3" spans="1:310" ht="17.350000000000001" customHeight="1">
      <c r="A3" s="78" t="s">
        <v>1</v>
      </c>
      <c r="B3" s="78" t="s">
        <v>260</v>
      </c>
      <c r="C3" s="78" t="s">
        <v>2</v>
      </c>
      <c r="D3" s="78" t="s">
        <v>3</v>
      </c>
      <c r="E3" s="78" t="s">
        <v>261</v>
      </c>
      <c r="F3" s="78" t="s">
        <v>445</v>
      </c>
      <c r="G3" s="118" t="s">
        <v>730</v>
      </c>
      <c r="H3" s="118" t="s">
        <v>74</v>
      </c>
      <c r="I3" s="118" t="s">
        <v>731</v>
      </c>
      <c r="J3" s="118" t="s">
        <v>262</v>
      </c>
      <c r="K3" s="78" t="s">
        <v>440</v>
      </c>
      <c r="L3" s="78" t="s">
        <v>446</v>
      </c>
      <c r="M3" s="78" t="s">
        <v>265</v>
      </c>
      <c r="N3" s="118" t="s">
        <v>732</v>
      </c>
      <c r="O3" s="118" t="s">
        <v>733</v>
      </c>
      <c r="P3" s="118" t="s">
        <v>734</v>
      </c>
      <c r="Q3" s="118" t="s">
        <v>735</v>
      </c>
      <c r="R3" s="117" t="s">
        <v>11</v>
      </c>
      <c r="S3" s="117" t="s">
        <v>12</v>
      </c>
      <c r="T3" s="117" t="s">
        <v>736</v>
      </c>
      <c r="U3" s="117" t="s">
        <v>737</v>
      </c>
      <c r="V3" s="118" t="s">
        <v>263</v>
      </c>
      <c r="W3" s="118" t="s">
        <v>264</v>
      </c>
      <c r="X3" s="78" t="s">
        <v>1296</v>
      </c>
      <c r="Y3" s="78" t="s">
        <v>1297</v>
      </c>
      <c r="Z3" s="78" t="s">
        <v>442</v>
      </c>
      <c r="AA3" s="78" t="s">
        <v>738</v>
      </c>
      <c r="AB3" s="78" t="s">
        <v>739</v>
      </c>
      <c r="AC3" s="78" t="s">
        <v>364</v>
      </c>
      <c r="AD3" s="78" t="s">
        <v>740</v>
      </c>
      <c r="AE3" s="78" t="s">
        <v>741</v>
      </c>
      <c r="AF3" s="78" t="s">
        <v>742</v>
      </c>
      <c r="AG3" s="78" t="s">
        <v>62</v>
      </c>
      <c r="AH3" s="78" t="s">
        <v>444</v>
      </c>
      <c r="AI3" s="78" t="s">
        <v>82</v>
      </c>
      <c r="AJ3" s="78" t="s">
        <v>31</v>
      </c>
      <c r="AK3" s="78" t="s">
        <v>32</v>
      </c>
      <c r="AL3" s="78" t="s">
        <v>33</v>
      </c>
      <c r="AM3" s="78" t="s">
        <v>34</v>
      </c>
      <c r="AN3" s="78" t="s">
        <v>35</v>
      </c>
      <c r="AO3" s="78" t="s">
        <v>727</v>
      </c>
      <c r="AP3" s="78" t="s">
        <v>63</v>
      </c>
      <c r="AQ3" s="78" t="s">
        <v>64</v>
      </c>
      <c r="AR3" s="78" t="s">
        <v>441</v>
      </c>
      <c r="AS3" s="78" t="s">
        <v>66</v>
      </c>
      <c r="AT3" s="78" t="s">
        <v>68</v>
      </c>
      <c r="AU3" s="78" t="s">
        <v>75</v>
      </c>
      <c r="AV3" s="78" t="s">
        <v>76</v>
      </c>
      <c r="AW3" s="78" t="s">
        <v>71</v>
      </c>
      <c r="AX3" s="78" t="s">
        <v>72</v>
      </c>
      <c r="AY3" s="78" t="s">
        <v>267</v>
      </c>
      <c r="AZ3" s="78" t="s">
        <v>70</v>
      </c>
      <c r="BA3" s="78" t="s">
        <v>69</v>
      </c>
      <c r="BB3" s="78" t="s">
        <v>728</v>
      </c>
      <c r="BC3" s="78" t="s">
        <v>77</v>
      </c>
      <c r="BD3" s="78" t="s">
        <v>78</v>
      </c>
      <c r="BE3" s="78" t="s">
        <v>38</v>
      </c>
      <c r="BF3" s="78" t="s">
        <v>39</v>
      </c>
      <c r="BG3" s="78" t="s">
        <v>40</v>
      </c>
      <c r="BH3" s="78" t="s">
        <v>41</v>
      </c>
      <c r="BI3" s="78" t="s">
        <v>743</v>
      </c>
      <c r="BJ3" s="78" t="s">
        <v>5</v>
      </c>
      <c r="BK3" s="78" t="s">
        <v>81</v>
      </c>
      <c r="BL3" s="78" t="s">
        <v>2651</v>
      </c>
      <c r="BM3" s="78" t="s">
        <v>2650</v>
      </c>
      <c r="BN3" s="78" t="s">
        <v>268</v>
      </c>
      <c r="BO3" s="71" t="s">
        <v>260</v>
      </c>
      <c r="BP3" s="71" t="s">
        <v>2</v>
      </c>
      <c r="BQ3" s="71" t="s">
        <v>3</v>
      </c>
      <c r="BR3" s="71" t="s">
        <v>261</v>
      </c>
      <c r="BS3" s="71" t="s">
        <v>445</v>
      </c>
      <c r="BT3" s="71" t="s">
        <v>802</v>
      </c>
      <c r="BU3" s="71" t="s">
        <v>4</v>
      </c>
      <c r="BV3" s="71" t="s">
        <v>192</v>
      </c>
      <c r="BW3" s="71" t="s">
        <v>479</v>
      </c>
      <c r="BX3" s="71" t="s">
        <v>396</v>
      </c>
      <c r="BY3" s="71" t="s">
        <v>194</v>
      </c>
      <c r="BZ3" s="71" t="s">
        <v>1221</v>
      </c>
      <c r="CA3" s="71" t="s">
        <v>81</v>
      </c>
      <c r="CB3" s="71" t="s">
        <v>2411</v>
      </c>
      <c r="CC3" s="71" t="s">
        <v>1225</v>
      </c>
      <c r="CD3" s="71" t="s">
        <v>1226</v>
      </c>
      <c r="CE3" s="71" t="s">
        <v>352</v>
      </c>
      <c r="CF3" s="71" t="s">
        <v>184</v>
      </c>
      <c r="CG3" s="71" t="s">
        <v>1222</v>
      </c>
      <c r="CH3" s="71" t="s">
        <v>767</v>
      </c>
      <c r="CI3" s="71" t="s">
        <v>399</v>
      </c>
      <c r="CJ3" s="71" t="s">
        <v>191</v>
      </c>
      <c r="CK3" s="71" t="s">
        <v>528</v>
      </c>
      <c r="CL3" s="71" t="s">
        <v>774</v>
      </c>
      <c r="CM3" s="71" t="s">
        <v>193</v>
      </c>
      <c r="CN3" s="71" t="s">
        <v>356</v>
      </c>
      <c r="CO3" s="71" t="s">
        <v>555</v>
      </c>
      <c r="CP3" s="71" t="s">
        <v>448</v>
      </c>
      <c r="CQ3" s="71" t="s">
        <v>449</v>
      </c>
      <c r="CR3" s="71" t="s">
        <v>450</v>
      </c>
      <c r="CS3" s="71" t="s">
        <v>451</v>
      </c>
      <c r="CT3" s="71" t="s">
        <v>452</v>
      </c>
      <c r="CU3" s="71" t="s">
        <v>453</v>
      </c>
      <c r="CV3" s="71" t="s">
        <v>775</v>
      </c>
      <c r="CW3" s="71" t="s">
        <v>720</v>
      </c>
      <c r="CX3" s="71" t="s">
        <v>768</v>
      </c>
      <c r="CY3" s="71" t="s">
        <v>185</v>
      </c>
      <c r="CZ3" s="71" t="s">
        <v>18</v>
      </c>
      <c r="DA3" s="71" t="s">
        <v>2413</v>
      </c>
      <c r="DB3" s="71" t="s">
        <v>186</v>
      </c>
      <c r="DC3" s="71" t="s">
        <v>187</v>
      </c>
      <c r="DD3" s="71" t="s">
        <v>188</v>
      </c>
      <c r="DE3" s="71" t="s">
        <v>189</v>
      </c>
      <c r="DF3" s="71" t="s">
        <v>682</v>
      </c>
      <c r="DG3" s="71" t="s">
        <v>1227</v>
      </c>
      <c r="DH3" s="67" t="s">
        <v>1228</v>
      </c>
      <c r="DI3" s="67" t="s">
        <v>776</v>
      </c>
      <c r="DJ3" s="71" t="s">
        <v>777</v>
      </c>
      <c r="DK3" s="71" t="s">
        <v>778</v>
      </c>
      <c r="DL3" s="71" t="s">
        <v>769</v>
      </c>
      <c r="DM3" s="71" t="s">
        <v>678</v>
      </c>
      <c r="DN3" s="71" t="s">
        <v>354</v>
      </c>
      <c r="DO3" s="71" t="s">
        <v>779</v>
      </c>
      <c r="DP3" s="71" t="s">
        <v>666</v>
      </c>
      <c r="DQ3" s="71" t="s">
        <v>516</v>
      </c>
      <c r="DR3" s="71" t="s">
        <v>527</v>
      </c>
      <c r="DS3" s="71" t="s">
        <v>770</v>
      </c>
      <c r="DT3" s="71" t="s">
        <v>780</v>
      </c>
      <c r="DU3" s="71" t="s">
        <v>2426</v>
      </c>
      <c r="DV3" s="71" t="s">
        <v>781</v>
      </c>
      <c r="DW3" s="71" t="s">
        <v>782</v>
      </c>
      <c r="DX3" s="71" t="s">
        <v>783</v>
      </c>
      <c r="DY3" s="71" t="s">
        <v>784</v>
      </c>
      <c r="DZ3" s="71" t="s">
        <v>785</v>
      </c>
      <c r="EA3" s="71" t="s">
        <v>1229</v>
      </c>
      <c r="EB3" s="71" t="s">
        <v>786</v>
      </c>
      <c r="EC3" s="71" t="s">
        <v>787</v>
      </c>
      <c r="ED3" s="71" t="s">
        <v>793</v>
      </c>
      <c r="EE3" s="71" t="s">
        <v>790</v>
      </c>
      <c r="EF3" s="71" t="s">
        <v>1230</v>
      </c>
      <c r="EG3" s="71" t="s">
        <v>789</v>
      </c>
      <c r="EH3" s="71" t="s">
        <v>1231</v>
      </c>
      <c r="EI3" s="71" t="s">
        <v>1232</v>
      </c>
      <c r="EJ3" s="71" t="s">
        <v>1233</v>
      </c>
      <c r="EK3" s="71" t="s">
        <v>1234</v>
      </c>
      <c r="EL3" s="71" t="s">
        <v>1235</v>
      </c>
      <c r="EM3" s="71" t="s">
        <v>1236</v>
      </c>
      <c r="EN3" s="71" t="s">
        <v>1237</v>
      </c>
      <c r="EO3" s="71" t="s">
        <v>1238</v>
      </c>
      <c r="EP3" s="71" t="s">
        <v>1239</v>
      </c>
      <c r="EQ3" s="71" t="s">
        <v>477</v>
      </c>
      <c r="ER3" s="71" t="s">
        <v>788</v>
      </c>
      <c r="ES3" s="71" t="s">
        <v>1240</v>
      </c>
      <c r="ET3" s="71" t="s">
        <v>791</v>
      </c>
      <c r="EU3" s="71" t="s">
        <v>792</v>
      </c>
      <c r="EV3" s="71" t="s">
        <v>1241</v>
      </c>
      <c r="EW3" s="71" t="s">
        <v>794</v>
      </c>
      <c r="EX3" s="71" t="s">
        <v>1516</v>
      </c>
      <c r="EY3" s="87" t="s">
        <v>1298</v>
      </c>
      <c r="EZ3" s="71" t="s">
        <v>455</v>
      </c>
      <c r="FA3" s="67" t="s">
        <v>456</v>
      </c>
      <c r="FB3" s="71" t="s">
        <v>8</v>
      </c>
      <c r="FC3" s="71" t="s">
        <v>446</v>
      </c>
      <c r="FD3" s="71" t="s">
        <v>615</v>
      </c>
      <c r="FE3" s="71" t="s">
        <v>612</v>
      </c>
      <c r="FF3" s="71" t="s">
        <v>365</v>
      </c>
      <c r="FG3" s="71" t="s">
        <v>795</v>
      </c>
      <c r="FH3" s="71" t="s">
        <v>796</v>
      </c>
      <c r="FI3" s="71" t="s">
        <v>797</v>
      </c>
      <c r="FJ3" s="71" t="s">
        <v>798</v>
      </c>
      <c r="FK3" s="71" t="s">
        <v>107</v>
      </c>
      <c r="FL3" s="71" t="s">
        <v>799</v>
      </c>
      <c r="FM3" s="71" t="s">
        <v>68</v>
      </c>
      <c r="FN3" s="71" t="s">
        <v>182</v>
      </c>
      <c r="FO3" s="67" t="s">
        <v>800</v>
      </c>
      <c r="FP3" s="87" t="s">
        <v>801</v>
      </c>
      <c r="FQ3" s="71" t="s">
        <v>20</v>
      </c>
      <c r="FR3" s="71" t="s">
        <v>280</v>
      </c>
      <c r="FS3" s="71" t="s">
        <v>454</v>
      </c>
      <c r="FT3" s="71" t="s">
        <v>803</v>
      </c>
      <c r="FU3" s="71" t="s">
        <v>804</v>
      </c>
      <c r="FV3" s="71" t="s">
        <v>86</v>
      </c>
      <c r="FW3" s="71" t="s">
        <v>366</v>
      </c>
      <c r="FX3" s="71" t="s">
        <v>805</v>
      </c>
      <c r="FY3" s="71" t="s">
        <v>190</v>
      </c>
      <c r="FZ3" s="71" t="s">
        <v>806</v>
      </c>
      <c r="GA3" s="71" t="s">
        <v>807</v>
      </c>
      <c r="GB3" s="71" t="s">
        <v>808</v>
      </c>
      <c r="GC3" s="71" t="s">
        <v>809</v>
      </c>
      <c r="GD3" s="71" t="s">
        <v>810</v>
      </c>
      <c r="GE3" s="67" t="s">
        <v>815</v>
      </c>
      <c r="GF3" s="71" t="s">
        <v>1250</v>
      </c>
      <c r="GG3" s="71" t="s">
        <v>811</v>
      </c>
      <c r="GH3" s="71" t="s">
        <v>812</v>
      </c>
      <c r="GI3" s="71" t="s">
        <v>813</v>
      </c>
      <c r="GJ3" s="71" t="s">
        <v>814</v>
      </c>
      <c r="GK3" s="66" t="s">
        <v>1193</v>
      </c>
      <c r="GL3" s="66" t="s">
        <v>1194</v>
      </c>
      <c r="GM3" s="66" t="s">
        <v>1195</v>
      </c>
      <c r="GN3" s="66" t="s">
        <v>1196</v>
      </c>
      <c r="GO3" s="66" t="s">
        <v>1197</v>
      </c>
      <c r="GP3" s="66" t="s">
        <v>1198</v>
      </c>
      <c r="GQ3" s="66" t="s">
        <v>1199</v>
      </c>
      <c r="GR3" s="66" t="s">
        <v>1200</v>
      </c>
      <c r="GS3" s="66" t="s">
        <v>1201</v>
      </c>
      <c r="GT3" s="71" t="s">
        <v>1299</v>
      </c>
      <c r="GU3" s="71" t="s">
        <v>1300</v>
      </c>
      <c r="GV3" s="71" t="s">
        <v>1301</v>
      </c>
      <c r="GW3" s="71" t="s">
        <v>1302</v>
      </c>
      <c r="GX3" s="71" t="s">
        <v>1303</v>
      </c>
      <c r="GY3" s="71" t="s">
        <v>1304</v>
      </c>
      <c r="GZ3" s="71" t="s">
        <v>1454</v>
      </c>
      <c r="HA3" s="71" t="s">
        <v>1517</v>
      </c>
      <c r="HB3" s="71" t="s">
        <v>1518</v>
      </c>
      <c r="HC3" s="71" t="s">
        <v>1519</v>
      </c>
      <c r="HD3" s="71" t="s">
        <v>1520</v>
      </c>
      <c r="HE3" s="71" t="s">
        <v>1521</v>
      </c>
      <c r="HF3" s="71" t="s">
        <v>1522</v>
      </c>
      <c r="HG3" s="71" t="s">
        <v>1523</v>
      </c>
      <c r="HH3" s="71" t="s">
        <v>1524</v>
      </c>
      <c r="HI3" s="71" t="s">
        <v>1525</v>
      </c>
      <c r="HJ3" s="71" t="s">
        <v>1526</v>
      </c>
      <c r="HK3" s="71" t="s">
        <v>1527</v>
      </c>
      <c r="HL3" s="67" t="s">
        <v>1528</v>
      </c>
      <c r="HM3" s="67" t="s">
        <v>1529</v>
      </c>
      <c r="HN3" s="67" t="s">
        <v>1530</v>
      </c>
      <c r="HO3" s="67" t="s">
        <v>1531</v>
      </c>
      <c r="HP3" s="67" t="s">
        <v>1532</v>
      </c>
      <c r="HQ3" s="67" t="s">
        <v>1533</v>
      </c>
      <c r="HR3" s="67" t="s">
        <v>1534</v>
      </c>
      <c r="HS3" s="67" t="s">
        <v>1535</v>
      </c>
      <c r="HT3" s="67" t="s">
        <v>1536</v>
      </c>
      <c r="HU3" s="67" t="s">
        <v>1537</v>
      </c>
      <c r="HV3" s="71" t="s">
        <v>1538</v>
      </c>
      <c r="HW3" s="71" t="s">
        <v>1539</v>
      </c>
      <c r="HX3" s="71" t="s">
        <v>1540</v>
      </c>
      <c r="HY3" s="87" t="s">
        <v>1541</v>
      </c>
      <c r="HZ3" s="71" t="s">
        <v>1542</v>
      </c>
      <c r="IA3" s="71" t="s">
        <v>1804</v>
      </c>
      <c r="IB3" s="71" t="s">
        <v>1320</v>
      </c>
      <c r="IC3" s="71" t="s">
        <v>2085</v>
      </c>
      <c r="ID3" s="71" t="s">
        <v>2092</v>
      </c>
      <c r="IE3" s="71" t="s">
        <v>2291</v>
      </c>
      <c r="IF3" s="71" t="s">
        <v>2292</v>
      </c>
      <c r="IG3" s="71" t="s">
        <v>2293</v>
      </c>
      <c r="IH3" s="71" t="s">
        <v>2294</v>
      </c>
      <c r="II3" s="71" t="s">
        <v>2295</v>
      </c>
      <c r="IJ3" s="71" t="s">
        <v>2296</v>
      </c>
      <c r="IK3" s="71" t="s">
        <v>2297</v>
      </c>
      <c r="IL3" s="71" t="s">
        <v>2298</v>
      </c>
      <c r="IM3" s="71" t="s">
        <v>2284</v>
      </c>
      <c r="IN3" s="71" t="s">
        <v>2285</v>
      </c>
      <c r="IO3" s="71" t="s">
        <v>987</v>
      </c>
      <c r="IP3" s="71" t="s">
        <v>2286</v>
      </c>
      <c r="IQ3" s="87" t="s">
        <v>2299</v>
      </c>
      <c r="IR3" s="71" t="s">
        <v>2287</v>
      </c>
      <c r="IS3" s="71" t="s">
        <v>2288</v>
      </c>
      <c r="IT3" s="71" t="s">
        <v>2300</v>
      </c>
      <c r="IU3" s="87" t="s">
        <v>2301</v>
      </c>
      <c r="IV3" s="71" t="s">
        <v>2302</v>
      </c>
      <c r="IW3" s="71" t="s">
        <v>2303</v>
      </c>
      <c r="IX3" s="71" t="s">
        <v>2289</v>
      </c>
      <c r="IY3" s="87" t="s">
        <v>2304</v>
      </c>
      <c r="IZ3" s="71" t="s">
        <v>2305</v>
      </c>
      <c r="JA3" s="71" t="s">
        <v>2306</v>
      </c>
      <c r="JB3" s="71" t="s">
        <v>2307</v>
      </c>
      <c r="JC3" s="71" t="s">
        <v>2308</v>
      </c>
      <c r="JD3" s="71" t="s">
        <v>2309</v>
      </c>
      <c r="JE3" s="87" t="s">
        <v>2310</v>
      </c>
      <c r="JF3" s="71" t="s">
        <v>2311</v>
      </c>
      <c r="JG3" s="71" t="s">
        <v>2312</v>
      </c>
      <c r="JH3" s="71" t="s">
        <v>2313</v>
      </c>
      <c r="JI3" s="71" t="s">
        <v>2314</v>
      </c>
      <c r="JJ3" s="71" t="s">
        <v>2315</v>
      </c>
      <c r="JK3" s="71" t="s">
        <v>2290</v>
      </c>
      <c r="JL3" s="67" t="s">
        <v>2316</v>
      </c>
      <c r="JM3" s="71" t="s">
        <v>2317</v>
      </c>
      <c r="JN3" s="71" t="s">
        <v>2385</v>
      </c>
      <c r="JO3" s="78" t="s">
        <v>1260</v>
      </c>
      <c r="JP3" s="78" t="s">
        <v>1261</v>
      </c>
      <c r="JQ3" s="78" t="s">
        <v>1262</v>
      </c>
      <c r="JR3" s="78" t="s">
        <v>1263</v>
      </c>
      <c r="JS3" s="78" t="s">
        <v>1264</v>
      </c>
      <c r="JT3" s="78" t="s">
        <v>1265</v>
      </c>
      <c r="JU3" s="78" t="s">
        <v>1266</v>
      </c>
      <c r="JV3" s="78" t="s">
        <v>1267</v>
      </c>
      <c r="JW3" s="78" t="s">
        <v>1268</v>
      </c>
      <c r="JX3" s="78" t="s">
        <v>1269</v>
      </c>
      <c r="JY3" s="78" t="s">
        <v>1270</v>
      </c>
      <c r="JZ3" s="78" t="s">
        <v>1271</v>
      </c>
      <c r="KA3" s="78" t="s">
        <v>1272</v>
      </c>
      <c r="KB3" s="78" t="s">
        <v>1273</v>
      </c>
      <c r="KC3" s="78" t="s">
        <v>1274</v>
      </c>
      <c r="KD3" s="78" t="s">
        <v>1275</v>
      </c>
      <c r="KE3" s="78" t="s">
        <v>1276</v>
      </c>
      <c r="KF3" s="78" t="s">
        <v>1277</v>
      </c>
      <c r="KG3" s="78" t="s">
        <v>1278</v>
      </c>
      <c r="KH3" s="78" t="s">
        <v>1279</v>
      </c>
      <c r="KI3" s="78" t="s">
        <v>1280</v>
      </c>
      <c r="KJ3" s="78" t="s">
        <v>1281</v>
      </c>
      <c r="KK3" s="78" t="s">
        <v>1282</v>
      </c>
      <c r="KL3" s="78" t="s">
        <v>1283</v>
      </c>
      <c r="KM3" s="78" t="s">
        <v>1284</v>
      </c>
      <c r="KN3" s="78" t="s">
        <v>1285</v>
      </c>
      <c r="KO3" s="78" t="s">
        <v>1286</v>
      </c>
      <c r="KP3" s="78" t="s">
        <v>1287</v>
      </c>
      <c r="KQ3" s="78" t="s">
        <v>1288</v>
      </c>
      <c r="KR3" s="78" t="s">
        <v>1289</v>
      </c>
      <c r="KS3" s="78" t="s">
        <v>1290</v>
      </c>
      <c r="KT3" s="78" t="s">
        <v>1291</v>
      </c>
      <c r="KU3" s="78" t="s">
        <v>1292</v>
      </c>
      <c r="KV3" s="78" t="s">
        <v>1293</v>
      </c>
      <c r="KW3" s="78" t="s">
        <v>1294</v>
      </c>
      <c r="KX3" s="78" t="s">
        <v>1295</v>
      </c>
    </row>
    <row r="4" spans="1:310" s="58" customFormat="1" ht="18" customHeight="1">
      <c r="A4" s="58" t="s">
        <v>3103</v>
      </c>
      <c r="C4" s="160" t="s">
        <v>633</v>
      </c>
      <c r="D4" s="160" t="s">
        <v>86</v>
      </c>
      <c r="F4" s="58" t="s">
        <v>2407</v>
      </c>
      <c r="G4" s="58">
        <v>34</v>
      </c>
      <c r="H4" s="58">
        <v>76</v>
      </c>
      <c r="J4" s="58">
        <v>0</v>
      </c>
      <c r="M4" s="58" t="s">
        <v>2408</v>
      </c>
      <c r="N4" s="58">
        <v>793.5</v>
      </c>
      <c r="O4" s="58">
        <v>0</v>
      </c>
      <c r="P4" s="58">
        <v>793.5</v>
      </c>
      <c r="Q4" s="58">
        <v>0</v>
      </c>
      <c r="R4" s="162">
        <v>46293</v>
      </c>
      <c r="S4" s="162">
        <v>46653</v>
      </c>
      <c r="V4" s="58">
        <v>250</v>
      </c>
      <c r="W4" s="58">
        <v>250</v>
      </c>
      <c r="Z4" s="58">
        <v>57959.5</v>
      </c>
      <c r="AA4" s="58">
        <v>0</v>
      </c>
      <c r="AB4" s="58">
        <v>57959.5</v>
      </c>
      <c r="AJ4" s="58" t="s">
        <v>633</v>
      </c>
      <c r="BA4" s="58">
        <v>44</v>
      </c>
      <c r="BE4" s="58" t="s">
        <v>3104</v>
      </c>
      <c r="BK4" s="58" t="s">
        <v>625</v>
      </c>
      <c r="BN4" s="58" t="s">
        <v>3103</v>
      </c>
      <c r="BP4" s="58" t="s">
        <v>633</v>
      </c>
      <c r="BQ4" s="58" t="s">
        <v>86</v>
      </c>
      <c r="BU4" s="58" t="s">
        <v>716</v>
      </c>
      <c r="BV4" s="58" t="s">
        <v>2407</v>
      </c>
      <c r="BX4" s="58" t="s">
        <v>3141</v>
      </c>
      <c r="BZ4" s="58" t="s">
        <v>202</v>
      </c>
      <c r="CA4" s="58" t="s">
        <v>625</v>
      </c>
      <c r="CB4" s="58" t="s">
        <v>196</v>
      </c>
      <c r="CK4" s="58" t="s">
        <v>209</v>
      </c>
      <c r="CO4" s="58" t="s">
        <v>202</v>
      </c>
      <c r="CP4" s="58" t="s">
        <v>202</v>
      </c>
      <c r="CQ4" s="58" t="s">
        <v>202</v>
      </c>
      <c r="CR4" s="58" t="s">
        <v>202</v>
      </c>
      <c r="CS4" s="58" t="s">
        <v>202</v>
      </c>
      <c r="CT4" s="58" t="s">
        <v>202</v>
      </c>
      <c r="CU4" s="58" t="s">
        <v>202</v>
      </c>
      <c r="CV4" s="58" t="s">
        <v>583</v>
      </c>
      <c r="CW4" s="58" t="s">
        <v>3142</v>
      </c>
      <c r="CX4" s="58" t="s">
        <v>594</v>
      </c>
      <c r="CY4" s="58" t="s">
        <v>3097</v>
      </c>
      <c r="CZ4" s="58" t="s">
        <v>621</v>
      </c>
      <c r="DB4" s="58" t="s">
        <v>3143</v>
      </c>
      <c r="DC4" s="58" t="s">
        <v>562</v>
      </c>
      <c r="DD4" s="58" t="s">
        <v>568</v>
      </c>
      <c r="DE4" s="58" t="s">
        <v>576</v>
      </c>
      <c r="DF4" s="58" t="s">
        <v>242</v>
      </c>
      <c r="DG4" s="58" t="s">
        <v>620</v>
      </c>
      <c r="DL4" s="58" t="s">
        <v>209</v>
      </c>
      <c r="DR4" s="58" t="s">
        <v>3142</v>
      </c>
      <c r="FQ4" s="58">
        <v>44</v>
      </c>
    </row>
    <row r="5" spans="1:310" s="58" customFormat="1" ht="18" customHeight="1">
      <c r="A5" s="58" t="s">
        <v>3093</v>
      </c>
      <c r="B5" s="58" t="s">
        <v>3103</v>
      </c>
      <c r="C5" s="161" t="s">
        <v>3105</v>
      </c>
      <c r="D5" s="161" t="s">
        <v>79</v>
      </c>
      <c r="F5" s="58" t="s">
        <v>2409</v>
      </c>
      <c r="G5" s="58">
        <v>77</v>
      </c>
      <c r="H5" s="58">
        <v>119</v>
      </c>
      <c r="J5" s="58">
        <v>0</v>
      </c>
      <c r="M5" s="58" t="s">
        <v>2408</v>
      </c>
      <c r="N5" s="58">
        <v>395.5</v>
      </c>
      <c r="O5" s="58">
        <v>0</v>
      </c>
      <c r="P5" s="58">
        <v>395.5</v>
      </c>
      <c r="Q5" s="58">
        <v>0</v>
      </c>
      <c r="R5" s="162">
        <v>46293</v>
      </c>
      <c r="S5" s="162">
        <v>46564</v>
      </c>
      <c r="V5" s="58">
        <v>189</v>
      </c>
      <c r="W5" s="58">
        <v>189</v>
      </c>
      <c r="Z5" s="58">
        <v>28962.5</v>
      </c>
      <c r="AA5" s="58">
        <v>0</v>
      </c>
      <c r="AB5" s="58">
        <v>28962.5</v>
      </c>
      <c r="AJ5" s="58" t="s">
        <v>633</v>
      </c>
      <c r="AK5" s="58" t="s">
        <v>3105</v>
      </c>
      <c r="BA5" s="58">
        <v>44</v>
      </c>
      <c r="BE5" s="58" t="s">
        <v>3104</v>
      </c>
      <c r="BK5" s="58" t="s">
        <v>625</v>
      </c>
      <c r="BN5" s="58" t="s">
        <v>3093</v>
      </c>
      <c r="BO5" s="58" t="s">
        <v>3103</v>
      </c>
      <c r="BP5" s="58" t="s">
        <v>3105</v>
      </c>
      <c r="BQ5" s="58" t="s">
        <v>79</v>
      </c>
      <c r="BU5" s="58" t="s">
        <v>716</v>
      </c>
      <c r="BV5" s="58" t="s">
        <v>2409</v>
      </c>
      <c r="BX5" s="58" t="s">
        <v>3064</v>
      </c>
      <c r="BY5" s="58" t="s">
        <v>3148</v>
      </c>
      <c r="BZ5" s="58" t="s">
        <v>202</v>
      </c>
      <c r="CA5" s="58" t="s">
        <v>625</v>
      </c>
      <c r="CB5" s="58" t="s">
        <v>196</v>
      </c>
      <c r="CK5" s="58" t="s">
        <v>3145</v>
      </c>
      <c r="CL5" s="58" t="s">
        <v>3144</v>
      </c>
      <c r="CO5" s="58" t="s">
        <v>202</v>
      </c>
      <c r="CP5" s="58" t="s">
        <v>202</v>
      </c>
      <c r="CQ5" s="58" t="s">
        <v>202</v>
      </c>
      <c r="CR5" s="58" t="s">
        <v>202</v>
      </c>
      <c r="CS5" s="58" t="s">
        <v>202</v>
      </c>
      <c r="CT5" s="58" t="s">
        <v>202</v>
      </c>
      <c r="CU5" s="58" t="s">
        <v>202</v>
      </c>
      <c r="CV5" s="58" t="s">
        <v>583</v>
      </c>
      <c r="CW5" s="58" t="s">
        <v>3142</v>
      </c>
      <c r="CX5" s="58" t="s">
        <v>3146</v>
      </c>
      <c r="CY5" s="58" t="s">
        <v>3097</v>
      </c>
      <c r="CZ5" s="58" t="s">
        <v>621</v>
      </c>
      <c r="DB5" s="58" t="s">
        <v>3143</v>
      </c>
      <c r="DC5" s="58" t="s">
        <v>562</v>
      </c>
      <c r="DD5" s="58" t="s">
        <v>568</v>
      </c>
      <c r="DE5" s="58" t="s">
        <v>576</v>
      </c>
      <c r="DF5" s="58" t="s">
        <v>242</v>
      </c>
      <c r="DG5" s="58" t="s">
        <v>620</v>
      </c>
      <c r="DL5" s="58" t="s">
        <v>209</v>
      </c>
      <c r="DQ5" s="58" t="s">
        <v>3147</v>
      </c>
      <c r="DR5" s="58" t="s">
        <v>3142</v>
      </c>
      <c r="DS5" s="58" t="s">
        <v>2158</v>
      </c>
      <c r="EW5" s="58" t="s">
        <v>506</v>
      </c>
      <c r="FG5" s="58">
        <v>710</v>
      </c>
      <c r="FQ5" s="58">
        <v>44</v>
      </c>
    </row>
    <row r="6" spans="1:310" s="58" customFormat="1" ht="18" customHeight="1">
      <c r="A6" s="58" t="s">
        <v>3094</v>
      </c>
      <c r="B6" s="58" t="s">
        <v>3093</v>
      </c>
      <c r="C6" s="178" t="s">
        <v>1685</v>
      </c>
      <c r="D6" s="178" t="s">
        <v>83</v>
      </c>
      <c r="F6" s="58" t="s">
        <v>744</v>
      </c>
      <c r="G6" s="58">
        <v>117</v>
      </c>
      <c r="H6" s="58">
        <v>159</v>
      </c>
      <c r="J6" s="58">
        <v>0</v>
      </c>
      <c r="M6" s="58" t="s">
        <v>2408</v>
      </c>
      <c r="N6" s="58">
        <v>64</v>
      </c>
      <c r="O6" s="58">
        <v>0</v>
      </c>
      <c r="P6" s="58">
        <v>64</v>
      </c>
      <c r="Q6" s="58">
        <v>0</v>
      </c>
      <c r="R6" s="162">
        <v>46293</v>
      </c>
      <c r="S6" s="162">
        <v>46382</v>
      </c>
      <c r="V6" s="58">
        <v>63</v>
      </c>
      <c r="W6" s="58">
        <v>63</v>
      </c>
      <c r="Z6" s="58">
        <v>4100</v>
      </c>
      <c r="AA6" s="58">
        <v>0</v>
      </c>
      <c r="AB6" s="58">
        <v>4100</v>
      </c>
      <c r="AJ6" s="58" t="s">
        <v>633</v>
      </c>
      <c r="AK6" s="58" t="s">
        <v>3105</v>
      </c>
      <c r="AL6" s="58" t="s">
        <v>1685</v>
      </c>
      <c r="BA6" s="58">
        <v>44</v>
      </c>
      <c r="BK6" s="58" t="s">
        <v>625</v>
      </c>
      <c r="BN6" s="58" t="s">
        <v>3094</v>
      </c>
      <c r="BO6" s="58" t="s">
        <v>3093</v>
      </c>
      <c r="BP6" s="58" t="s">
        <v>1685</v>
      </c>
      <c r="BQ6" s="58" t="s">
        <v>83</v>
      </c>
      <c r="BU6" s="58" t="s">
        <v>716</v>
      </c>
      <c r="BV6" s="58" t="s">
        <v>744</v>
      </c>
      <c r="BX6" s="58" t="s">
        <v>3096</v>
      </c>
      <c r="BY6" s="58" t="s">
        <v>3148</v>
      </c>
      <c r="BZ6" s="58" t="s">
        <v>202</v>
      </c>
      <c r="CA6" s="58" t="s">
        <v>625</v>
      </c>
      <c r="CB6" s="58" t="s">
        <v>196</v>
      </c>
      <c r="CK6" s="58" t="s">
        <v>3145</v>
      </c>
      <c r="CL6" s="58" t="s">
        <v>3144</v>
      </c>
      <c r="CO6" s="58" t="s">
        <v>202</v>
      </c>
      <c r="CP6" s="58" t="s">
        <v>202</v>
      </c>
      <c r="CQ6" s="58" t="s">
        <v>202</v>
      </c>
      <c r="CR6" s="58" t="s">
        <v>202</v>
      </c>
      <c r="CS6" s="58" t="s">
        <v>202</v>
      </c>
      <c r="CT6" s="58" t="s">
        <v>202</v>
      </c>
      <c r="CU6" s="58" t="s">
        <v>202</v>
      </c>
      <c r="CV6" s="58" t="s">
        <v>583</v>
      </c>
      <c r="CW6" s="58" t="s">
        <v>3142</v>
      </c>
      <c r="CX6" s="58" t="s">
        <v>3150</v>
      </c>
      <c r="CY6" s="58" t="s">
        <v>3095</v>
      </c>
      <c r="CZ6" s="58" t="s">
        <v>621</v>
      </c>
      <c r="DB6" s="58" t="s">
        <v>3143</v>
      </c>
      <c r="DC6" s="58" t="s">
        <v>562</v>
      </c>
      <c r="DD6" s="58" t="s">
        <v>568</v>
      </c>
      <c r="DE6" s="58" t="s">
        <v>576</v>
      </c>
      <c r="DF6" s="58" t="s">
        <v>242</v>
      </c>
      <c r="DG6" s="58" t="s">
        <v>620</v>
      </c>
      <c r="DL6" s="58" t="s">
        <v>209</v>
      </c>
      <c r="DQ6" s="58" t="s">
        <v>3147</v>
      </c>
      <c r="DR6" s="58" t="s">
        <v>3142</v>
      </c>
      <c r="DS6" s="58" t="s">
        <v>2156</v>
      </c>
      <c r="EW6" s="58" t="s">
        <v>3149</v>
      </c>
      <c r="FQ6" s="58">
        <v>44</v>
      </c>
    </row>
    <row r="7" spans="1:310" s="58" customFormat="1" ht="18" customHeight="1">
      <c r="A7" s="58">
        <v>3773</v>
      </c>
      <c r="B7" s="58" t="s">
        <v>3094</v>
      </c>
      <c r="C7" s="177" t="s">
        <v>3106</v>
      </c>
      <c r="D7" s="177" t="s">
        <v>84</v>
      </c>
      <c r="E7" s="58" t="s">
        <v>84</v>
      </c>
      <c r="F7" s="58" t="s">
        <v>745</v>
      </c>
      <c r="G7" s="58">
        <v>155</v>
      </c>
      <c r="H7" s="58">
        <v>197</v>
      </c>
      <c r="J7" s="58">
        <v>0</v>
      </c>
      <c r="M7" s="58" t="s">
        <v>2408</v>
      </c>
      <c r="N7" s="58">
        <v>20</v>
      </c>
      <c r="O7" s="58">
        <v>0</v>
      </c>
      <c r="P7" s="58">
        <v>20</v>
      </c>
      <c r="Q7" s="58">
        <v>0</v>
      </c>
      <c r="R7" s="162">
        <v>46293</v>
      </c>
      <c r="S7" s="162">
        <v>46305</v>
      </c>
      <c r="V7" s="58">
        <v>10</v>
      </c>
      <c r="W7" s="58">
        <v>10</v>
      </c>
      <c r="Z7" s="58">
        <v>1500</v>
      </c>
      <c r="AA7" s="58">
        <v>0</v>
      </c>
      <c r="AB7" s="58">
        <v>1500</v>
      </c>
      <c r="AC7" s="58">
        <v>8</v>
      </c>
      <c r="AD7" s="58">
        <v>40</v>
      </c>
      <c r="AE7" s="58">
        <v>50</v>
      </c>
      <c r="AF7" s="58">
        <v>100</v>
      </c>
      <c r="AJ7" s="58" t="s">
        <v>633</v>
      </c>
      <c r="AK7" s="58" t="s">
        <v>3105</v>
      </c>
      <c r="AL7" s="58" t="s">
        <v>1685</v>
      </c>
      <c r="AM7" s="58" t="s">
        <v>3106</v>
      </c>
      <c r="AR7" s="58">
        <v>0</v>
      </c>
      <c r="AS7" s="58">
        <v>0</v>
      </c>
      <c r="AT7" s="58">
        <v>1</v>
      </c>
      <c r="BA7" s="58">
        <v>44</v>
      </c>
      <c r="BI7" s="58" t="s">
        <v>493</v>
      </c>
      <c r="BJ7" s="58" t="s">
        <v>196</v>
      </c>
      <c r="BK7" s="58" t="s">
        <v>625</v>
      </c>
      <c r="BN7" s="58">
        <v>3773</v>
      </c>
      <c r="BO7" s="58" t="s">
        <v>3094</v>
      </c>
      <c r="BP7" s="58" t="s">
        <v>3106</v>
      </c>
      <c r="BQ7" s="58" t="s">
        <v>84</v>
      </c>
      <c r="BR7" s="58" t="s">
        <v>84</v>
      </c>
      <c r="BU7" s="58" t="s">
        <v>716</v>
      </c>
      <c r="BV7" s="58" t="s">
        <v>745</v>
      </c>
      <c r="BZ7" s="58" t="s">
        <v>554</v>
      </c>
      <c r="CA7" s="58" t="s">
        <v>625</v>
      </c>
      <c r="CB7" s="58" t="s">
        <v>196</v>
      </c>
      <c r="CH7" s="58" t="s">
        <v>554</v>
      </c>
      <c r="CO7" s="58" t="s">
        <v>202</v>
      </c>
      <c r="CP7" s="58" t="s">
        <v>202</v>
      </c>
      <c r="CQ7" s="58" t="s">
        <v>202</v>
      </c>
      <c r="CR7" s="58" t="s">
        <v>202</v>
      </c>
      <c r="CS7" s="58" t="s">
        <v>202</v>
      </c>
      <c r="CT7" s="58" t="s">
        <v>202</v>
      </c>
      <c r="CU7" s="58" t="s">
        <v>202</v>
      </c>
      <c r="CV7" s="58" t="s">
        <v>583</v>
      </c>
      <c r="CW7" s="58" t="s">
        <v>3142</v>
      </c>
      <c r="CX7" s="58" t="s">
        <v>3151</v>
      </c>
      <c r="CY7" s="58" t="s">
        <v>3095</v>
      </c>
      <c r="CZ7" s="58" t="s">
        <v>621</v>
      </c>
      <c r="DB7" s="58" t="s">
        <v>3143</v>
      </c>
      <c r="DC7" s="58" t="s">
        <v>562</v>
      </c>
      <c r="DD7" s="58" t="s">
        <v>568</v>
      </c>
      <c r="DE7" s="58" t="s">
        <v>576</v>
      </c>
      <c r="DF7" s="58" t="s">
        <v>242</v>
      </c>
      <c r="DG7" s="58" t="s">
        <v>620</v>
      </c>
    </row>
    <row r="8" spans="1:310" s="58" customFormat="1" ht="18" customHeight="1">
      <c r="A8" s="58" t="s">
        <v>3107</v>
      </c>
      <c r="B8" s="58" t="s">
        <v>3093</v>
      </c>
      <c r="C8" s="178" t="s">
        <v>3108</v>
      </c>
      <c r="D8" s="178" t="s">
        <v>83</v>
      </c>
      <c r="F8" s="58" t="s">
        <v>1117</v>
      </c>
      <c r="G8" s="58">
        <v>117</v>
      </c>
      <c r="H8" s="58">
        <v>159</v>
      </c>
      <c r="J8" s="58">
        <v>0</v>
      </c>
      <c r="M8" s="58" t="s">
        <v>2408</v>
      </c>
      <c r="N8" s="58">
        <v>146.6</v>
      </c>
      <c r="O8" s="58">
        <v>0</v>
      </c>
      <c r="P8" s="58">
        <v>146.6</v>
      </c>
      <c r="Q8" s="58">
        <v>0</v>
      </c>
      <c r="R8" s="162">
        <v>46391</v>
      </c>
      <c r="S8" s="162">
        <v>46450</v>
      </c>
      <c r="V8" s="58">
        <v>44</v>
      </c>
      <c r="W8" s="58">
        <v>44</v>
      </c>
      <c r="Z8" s="58">
        <v>10996.9</v>
      </c>
      <c r="AA8" s="58">
        <v>0</v>
      </c>
      <c r="AB8" s="58">
        <v>10996.9</v>
      </c>
      <c r="AJ8" s="58" t="s">
        <v>633</v>
      </c>
      <c r="AK8" s="58" t="s">
        <v>3105</v>
      </c>
      <c r="AL8" s="58" t="s">
        <v>3108</v>
      </c>
      <c r="BA8" s="58">
        <v>44</v>
      </c>
      <c r="BK8" s="58" t="s">
        <v>625</v>
      </c>
      <c r="BN8" s="58" t="s">
        <v>3107</v>
      </c>
      <c r="BO8" s="58" t="s">
        <v>3093</v>
      </c>
      <c r="BP8" s="58" t="s">
        <v>3108</v>
      </c>
      <c r="BQ8" s="58" t="s">
        <v>83</v>
      </c>
      <c r="BU8" s="58" t="s">
        <v>716</v>
      </c>
      <c r="BV8" s="58" t="s">
        <v>1117</v>
      </c>
      <c r="BX8" s="58" t="s">
        <v>3152</v>
      </c>
      <c r="BY8" s="58" t="s">
        <v>3154</v>
      </c>
      <c r="BZ8" s="58" t="s">
        <v>202</v>
      </c>
      <c r="CA8" s="58" t="s">
        <v>625</v>
      </c>
      <c r="CB8" s="58" t="s">
        <v>196</v>
      </c>
      <c r="CO8" s="58" t="s">
        <v>202</v>
      </c>
      <c r="CP8" s="58" t="s">
        <v>202</v>
      </c>
      <c r="CQ8" s="58" t="s">
        <v>202</v>
      </c>
      <c r="CR8" s="58" t="s">
        <v>202</v>
      </c>
      <c r="CS8" s="58" t="s">
        <v>202</v>
      </c>
      <c r="CT8" s="58" t="s">
        <v>202</v>
      </c>
      <c r="CU8" s="58" t="s">
        <v>202</v>
      </c>
      <c r="CV8" s="58" t="s">
        <v>583</v>
      </c>
      <c r="CW8" s="58" t="s">
        <v>3142</v>
      </c>
      <c r="CX8" s="58" t="s">
        <v>3153</v>
      </c>
      <c r="CY8" s="58" t="s">
        <v>3095</v>
      </c>
      <c r="CZ8" s="58" t="s">
        <v>621</v>
      </c>
      <c r="DB8" s="58" t="s">
        <v>3143</v>
      </c>
      <c r="DC8" s="58" t="s">
        <v>562</v>
      </c>
      <c r="DD8" s="58" t="s">
        <v>568</v>
      </c>
      <c r="DE8" s="58" t="s">
        <v>576</v>
      </c>
      <c r="DF8" s="58" t="s">
        <v>242</v>
      </c>
      <c r="DG8" s="58" t="s">
        <v>620</v>
      </c>
      <c r="DL8" s="58" t="s">
        <v>209</v>
      </c>
      <c r="DQ8" s="58" t="s">
        <v>3147</v>
      </c>
      <c r="DR8" s="58" t="s">
        <v>3142</v>
      </c>
      <c r="DS8" s="58" t="s">
        <v>2156</v>
      </c>
      <c r="EW8" s="58" t="s">
        <v>3149</v>
      </c>
      <c r="FQ8" s="58">
        <v>44</v>
      </c>
    </row>
    <row r="9" spans="1:310" s="58" customFormat="1" ht="18" customHeight="1">
      <c r="A9" s="58">
        <v>3954</v>
      </c>
      <c r="B9" s="58" t="s">
        <v>3107</v>
      </c>
      <c r="C9" s="177" t="s">
        <v>3109</v>
      </c>
      <c r="D9" s="177" t="s">
        <v>84</v>
      </c>
      <c r="E9" s="58" t="s">
        <v>485</v>
      </c>
      <c r="F9" s="58" t="s">
        <v>1116</v>
      </c>
      <c r="G9" s="58">
        <v>155</v>
      </c>
      <c r="H9" s="58">
        <v>197</v>
      </c>
      <c r="J9" s="58">
        <v>0</v>
      </c>
      <c r="M9" s="58" t="s">
        <v>2408</v>
      </c>
      <c r="N9" s="58">
        <v>146.6</v>
      </c>
      <c r="O9" s="58">
        <v>0</v>
      </c>
      <c r="P9" s="58">
        <v>146.6</v>
      </c>
      <c r="Q9" s="58">
        <v>0</v>
      </c>
      <c r="R9" s="162">
        <v>46391</v>
      </c>
      <c r="S9" s="162">
        <v>46424</v>
      </c>
      <c r="V9" s="58">
        <v>25</v>
      </c>
      <c r="W9" s="58">
        <v>25</v>
      </c>
      <c r="Z9" s="58">
        <v>10996.9</v>
      </c>
      <c r="AA9" s="58">
        <v>0</v>
      </c>
      <c r="AB9" s="58">
        <v>10996.9</v>
      </c>
      <c r="AC9" s="58">
        <v>9</v>
      </c>
      <c r="AD9" s="58">
        <v>41</v>
      </c>
      <c r="AE9" s="58">
        <v>51</v>
      </c>
      <c r="AF9" s="58">
        <v>101</v>
      </c>
      <c r="AJ9" s="58" t="s">
        <v>633</v>
      </c>
      <c r="AK9" s="58" t="s">
        <v>3105</v>
      </c>
      <c r="AL9" s="58" t="s">
        <v>3108</v>
      </c>
      <c r="AM9" s="58" t="s">
        <v>3109</v>
      </c>
      <c r="AR9" s="58">
        <v>0</v>
      </c>
      <c r="AS9" s="58">
        <v>0</v>
      </c>
      <c r="AT9" s="58">
        <v>1</v>
      </c>
      <c r="BA9" s="58">
        <v>44</v>
      </c>
      <c r="BI9" s="58" t="s">
        <v>493</v>
      </c>
      <c r="BJ9" s="58" t="s">
        <v>196</v>
      </c>
      <c r="BK9" s="58" t="s">
        <v>625</v>
      </c>
      <c r="BN9" s="58">
        <v>3954</v>
      </c>
      <c r="BO9" s="58" t="s">
        <v>3107</v>
      </c>
      <c r="BP9" s="58" t="s">
        <v>3109</v>
      </c>
      <c r="BQ9" s="58" t="s">
        <v>84</v>
      </c>
      <c r="BR9" s="58" t="s">
        <v>485</v>
      </c>
      <c r="BU9" s="58" t="s">
        <v>716</v>
      </c>
      <c r="BV9" s="58" t="s">
        <v>1116</v>
      </c>
      <c r="BZ9" s="58" t="s">
        <v>554</v>
      </c>
      <c r="CA9" s="58" t="s">
        <v>625</v>
      </c>
      <c r="CB9" s="58" t="s">
        <v>196</v>
      </c>
      <c r="CH9" s="58" t="s">
        <v>554</v>
      </c>
      <c r="CO9" s="58" t="s">
        <v>202</v>
      </c>
      <c r="CP9" s="58" t="s">
        <v>202</v>
      </c>
      <c r="CQ9" s="58" t="s">
        <v>202</v>
      </c>
      <c r="CR9" s="58" t="s">
        <v>202</v>
      </c>
      <c r="CS9" s="58" t="s">
        <v>202</v>
      </c>
      <c r="CT9" s="58" t="s">
        <v>202</v>
      </c>
      <c r="CU9" s="58" t="s">
        <v>202</v>
      </c>
      <c r="CV9" s="58" t="s">
        <v>583</v>
      </c>
      <c r="CW9" s="58" t="s">
        <v>3142</v>
      </c>
      <c r="CX9" s="58" t="s">
        <v>3155</v>
      </c>
      <c r="CY9" s="58" t="s">
        <v>3095</v>
      </c>
      <c r="CZ9" s="58" t="s">
        <v>621</v>
      </c>
      <c r="DB9" s="58" t="s">
        <v>3143</v>
      </c>
      <c r="DC9" s="58" t="s">
        <v>562</v>
      </c>
      <c r="DD9" s="58" t="s">
        <v>568</v>
      </c>
      <c r="DE9" s="58" t="s">
        <v>576</v>
      </c>
      <c r="DF9" s="58" t="s">
        <v>242</v>
      </c>
      <c r="DG9" s="58" t="s">
        <v>620</v>
      </c>
    </row>
    <row r="10" spans="1:310" s="58" customFormat="1" ht="18" customHeight="1">
      <c r="A10" s="58" t="s">
        <v>3092</v>
      </c>
      <c r="B10" s="58" t="s">
        <v>3093</v>
      </c>
      <c r="C10" s="178" t="s">
        <v>1638</v>
      </c>
      <c r="D10" s="178" t="s">
        <v>83</v>
      </c>
      <c r="F10" s="58" t="s">
        <v>1098</v>
      </c>
      <c r="G10" s="58">
        <v>115</v>
      </c>
      <c r="H10" s="58">
        <v>157</v>
      </c>
      <c r="J10" s="58">
        <v>0</v>
      </c>
      <c r="M10" s="58" t="s">
        <v>2408</v>
      </c>
      <c r="N10" s="58">
        <v>184.9</v>
      </c>
      <c r="O10" s="58">
        <v>0</v>
      </c>
      <c r="P10" s="58">
        <v>184.9</v>
      </c>
      <c r="Q10" s="58">
        <v>0</v>
      </c>
      <c r="R10" s="162">
        <v>46455</v>
      </c>
      <c r="S10" s="162">
        <v>46538</v>
      </c>
      <c r="V10" s="58">
        <v>57</v>
      </c>
      <c r="W10" s="58">
        <v>57</v>
      </c>
      <c r="Z10" s="58">
        <v>13865.6</v>
      </c>
      <c r="AA10" s="58">
        <v>0</v>
      </c>
      <c r="AB10" s="58">
        <v>13865.6</v>
      </c>
      <c r="AJ10" s="58" t="s">
        <v>633</v>
      </c>
      <c r="AK10" s="58" t="s">
        <v>3105</v>
      </c>
      <c r="AL10" s="58" t="s">
        <v>1638</v>
      </c>
      <c r="BA10" s="58">
        <v>44</v>
      </c>
      <c r="BK10" s="58" t="s">
        <v>625</v>
      </c>
      <c r="BN10" s="58" t="s">
        <v>3092</v>
      </c>
      <c r="BO10" s="58" t="s">
        <v>3093</v>
      </c>
      <c r="BP10" s="58" t="s">
        <v>1638</v>
      </c>
      <c r="BQ10" s="58" t="s">
        <v>83</v>
      </c>
      <c r="BU10" s="58" t="s">
        <v>716</v>
      </c>
      <c r="BV10" s="58" t="s">
        <v>1098</v>
      </c>
      <c r="BX10" s="58" t="s">
        <v>3156</v>
      </c>
      <c r="BY10" s="58" t="s">
        <v>3159</v>
      </c>
      <c r="BZ10" s="58" t="s">
        <v>202</v>
      </c>
      <c r="CA10" s="58" t="s">
        <v>625</v>
      </c>
      <c r="CB10" s="58" t="s">
        <v>196</v>
      </c>
      <c r="CO10" s="58" t="s">
        <v>202</v>
      </c>
      <c r="CP10" s="58" t="s">
        <v>202</v>
      </c>
      <c r="CQ10" s="58" t="s">
        <v>202</v>
      </c>
      <c r="CR10" s="58" t="s">
        <v>202</v>
      </c>
      <c r="CS10" s="58" t="s">
        <v>202</v>
      </c>
      <c r="CT10" s="58" t="s">
        <v>202</v>
      </c>
      <c r="CU10" s="58" t="s">
        <v>202</v>
      </c>
      <c r="CV10" s="58" t="s">
        <v>583</v>
      </c>
      <c r="CW10" s="58" t="s">
        <v>3142</v>
      </c>
      <c r="CX10" s="58" t="s">
        <v>3157</v>
      </c>
      <c r="CY10" s="58" t="s">
        <v>3095</v>
      </c>
      <c r="CZ10" s="58" t="s">
        <v>621</v>
      </c>
      <c r="DB10" s="58" t="s">
        <v>3143</v>
      </c>
      <c r="DC10" s="58" t="s">
        <v>562</v>
      </c>
      <c r="DD10" s="58" t="s">
        <v>568</v>
      </c>
      <c r="DE10" s="58" t="s">
        <v>576</v>
      </c>
      <c r="DF10" s="58" t="s">
        <v>242</v>
      </c>
      <c r="DG10" s="58" t="s">
        <v>620</v>
      </c>
      <c r="DL10" s="58" t="s">
        <v>209</v>
      </c>
      <c r="DQ10" s="58" t="s">
        <v>3158</v>
      </c>
      <c r="DR10" s="58" t="s">
        <v>3142</v>
      </c>
      <c r="DS10" s="58" t="s">
        <v>2158</v>
      </c>
      <c r="EW10" s="58" t="s">
        <v>506</v>
      </c>
      <c r="FQ10" s="58">
        <v>44</v>
      </c>
    </row>
    <row r="11" spans="1:310" s="58" customFormat="1" ht="18" customHeight="1">
      <c r="A11" s="58">
        <v>3955</v>
      </c>
      <c r="B11" s="58" t="s">
        <v>3092</v>
      </c>
      <c r="C11" s="177" t="s">
        <v>3110</v>
      </c>
      <c r="D11" s="177" t="s">
        <v>84</v>
      </c>
      <c r="E11" s="58" t="s">
        <v>84</v>
      </c>
      <c r="F11" s="58" t="s">
        <v>1095</v>
      </c>
      <c r="G11" s="58">
        <v>153</v>
      </c>
      <c r="H11" s="58">
        <v>195</v>
      </c>
      <c r="J11" s="58">
        <v>0</v>
      </c>
      <c r="M11" s="58" t="s">
        <v>2408</v>
      </c>
      <c r="N11" s="58">
        <v>184.9</v>
      </c>
      <c r="O11" s="58">
        <v>0</v>
      </c>
      <c r="P11" s="58">
        <v>184.9</v>
      </c>
      <c r="Q11" s="58">
        <v>0</v>
      </c>
      <c r="R11" s="162">
        <v>46455</v>
      </c>
      <c r="S11" s="162">
        <v>46497</v>
      </c>
      <c r="V11" s="58">
        <v>29</v>
      </c>
      <c r="W11" s="58">
        <v>29</v>
      </c>
      <c r="Z11" s="58">
        <v>13865.6</v>
      </c>
      <c r="AA11" s="58">
        <v>0</v>
      </c>
      <c r="AB11" s="58">
        <v>13865.6</v>
      </c>
      <c r="AC11" s="58">
        <v>10</v>
      </c>
      <c r="AD11" s="58">
        <v>42</v>
      </c>
      <c r="AE11" s="58">
        <v>52</v>
      </c>
      <c r="AF11" s="58">
        <v>102</v>
      </c>
      <c r="AJ11" s="58" t="s">
        <v>633</v>
      </c>
      <c r="AK11" s="58" t="s">
        <v>3105</v>
      </c>
      <c r="AL11" s="58" t="s">
        <v>1638</v>
      </c>
      <c r="AM11" s="58" t="s">
        <v>3110</v>
      </c>
      <c r="AR11" s="58">
        <v>0</v>
      </c>
      <c r="AS11" s="58">
        <v>0</v>
      </c>
      <c r="AT11" s="58">
        <v>1</v>
      </c>
      <c r="BA11" s="58">
        <v>44</v>
      </c>
      <c r="BI11" s="58" t="s">
        <v>493</v>
      </c>
      <c r="BJ11" s="58" t="s">
        <v>196</v>
      </c>
      <c r="BK11" s="58" t="s">
        <v>625</v>
      </c>
      <c r="BN11" s="58">
        <v>3955</v>
      </c>
      <c r="BO11" s="58" t="s">
        <v>3092</v>
      </c>
      <c r="BP11" s="58" t="s">
        <v>3110</v>
      </c>
      <c r="BQ11" s="58" t="s">
        <v>84</v>
      </c>
      <c r="BR11" s="58" t="s">
        <v>84</v>
      </c>
      <c r="BU11" s="58" t="s">
        <v>716</v>
      </c>
      <c r="BV11" s="58" t="s">
        <v>1095</v>
      </c>
      <c r="BZ11" s="58" t="s">
        <v>554</v>
      </c>
      <c r="CA11" s="58" t="s">
        <v>625</v>
      </c>
      <c r="CB11" s="58" t="s">
        <v>196</v>
      </c>
      <c r="CH11" s="58" t="s">
        <v>554</v>
      </c>
      <c r="CO11" s="58" t="s">
        <v>202</v>
      </c>
      <c r="CP11" s="58" t="s">
        <v>202</v>
      </c>
      <c r="CQ11" s="58" t="s">
        <v>202</v>
      </c>
      <c r="CR11" s="58" t="s">
        <v>202</v>
      </c>
      <c r="CS11" s="58" t="s">
        <v>202</v>
      </c>
      <c r="CT11" s="58" t="s">
        <v>202</v>
      </c>
      <c r="CU11" s="58" t="s">
        <v>202</v>
      </c>
      <c r="CV11" s="58" t="s">
        <v>583</v>
      </c>
      <c r="CW11" s="58" t="s">
        <v>3142</v>
      </c>
      <c r="CX11" s="58" t="s">
        <v>3160</v>
      </c>
      <c r="CY11" s="58" t="s">
        <v>3095</v>
      </c>
      <c r="CZ11" s="58" t="s">
        <v>621</v>
      </c>
      <c r="DB11" s="58" t="s">
        <v>3143</v>
      </c>
      <c r="DC11" s="58" t="s">
        <v>562</v>
      </c>
      <c r="DD11" s="58" t="s">
        <v>568</v>
      </c>
      <c r="DE11" s="58" t="s">
        <v>576</v>
      </c>
      <c r="DF11" s="58" t="s">
        <v>242</v>
      </c>
      <c r="DG11" s="58" t="s">
        <v>620</v>
      </c>
    </row>
    <row r="12" spans="1:310" s="58" customFormat="1" ht="18" customHeight="1">
      <c r="A12" s="58">
        <v>11100</v>
      </c>
      <c r="B12" s="58">
        <v>3955</v>
      </c>
      <c r="C12" s="177" t="s">
        <v>816</v>
      </c>
      <c r="D12" s="177" t="s">
        <v>85</v>
      </c>
      <c r="F12" s="58" t="s">
        <v>1094</v>
      </c>
      <c r="G12" s="58">
        <v>183</v>
      </c>
      <c r="H12" s="58">
        <v>225</v>
      </c>
      <c r="J12" s="58">
        <v>0</v>
      </c>
      <c r="L12" s="58">
        <v>902</v>
      </c>
      <c r="M12" s="58" t="s">
        <v>816</v>
      </c>
      <c r="N12" s="58">
        <v>184.9</v>
      </c>
      <c r="O12" s="58">
        <v>0</v>
      </c>
      <c r="P12" s="58">
        <v>184.9</v>
      </c>
      <c r="Q12" s="58">
        <v>0</v>
      </c>
      <c r="R12" s="162">
        <v>46455</v>
      </c>
      <c r="S12" s="162">
        <v>46497</v>
      </c>
      <c r="V12" s="58">
        <v>29</v>
      </c>
      <c r="W12" s="58">
        <v>29</v>
      </c>
      <c r="Z12" s="58">
        <v>13865.6</v>
      </c>
      <c r="AA12" s="58">
        <v>0</v>
      </c>
      <c r="AB12" s="58">
        <v>13865.6</v>
      </c>
      <c r="AC12" s="58">
        <v>8.5</v>
      </c>
      <c r="AD12" s="58">
        <v>6.375</v>
      </c>
      <c r="AE12" s="58">
        <v>75</v>
      </c>
      <c r="AF12" s="58">
        <v>75</v>
      </c>
      <c r="AH12" s="58" t="s">
        <v>581</v>
      </c>
      <c r="AJ12" s="58" t="s">
        <v>633</v>
      </c>
      <c r="AK12" s="58" t="s">
        <v>3105</v>
      </c>
      <c r="AL12" s="58" t="s">
        <v>1638</v>
      </c>
      <c r="AM12" s="58" t="s">
        <v>3110</v>
      </c>
      <c r="AN12" s="58" t="s">
        <v>816</v>
      </c>
      <c r="AR12" s="58">
        <v>0</v>
      </c>
      <c r="AS12" s="58">
        <v>0</v>
      </c>
      <c r="AT12" s="58">
        <v>1</v>
      </c>
      <c r="BA12" s="58">
        <v>44</v>
      </c>
      <c r="BN12" s="58">
        <v>11100</v>
      </c>
      <c r="BO12" s="58">
        <v>3955</v>
      </c>
      <c r="BP12" s="58" t="s">
        <v>816</v>
      </c>
      <c r="BQ12" s="58" t="s">
        <v>85</v>
      </c>
      <c r="BU12" s="58" t="s">
        <v>716</v>
      </c>
      <c r="BV12" s="58" t="s">
        <v>1094</v>
      </c>
      <c r="BZ12" s="58" t="s">
        <v>554</v>
      </c>
      <c r="CA12" s="58" t="s">
        <v>625</v>
      </c>
      <c r="CB12" s="58" t="s">
        <v>196</v>
      </c>
      <c r="CH12" s="58" t="s">
        <v>554</v>
      </c>
      <c r="CO12" s="58" t="s">
        <v>202</v>
      </c>
      <c r="CP12" s="58" t="s">
        <v>202</v>
      </c>
      <c r="CQ12" s="58" t="s">
        <v>202</v>
      </c>
      <c r="CR12" s="58" t="s">
        <v>202</v>
      </c>
      <c r="CS12" s="58" t="s">
        <v>202</v>
      </c>
      <c r="CT12" s="58" t="s">
        <v>202</v>
      </c>
      <c r="CU12" s="58" t="s">
        <v>202</v>
      </c>
      <c r="CV12" s="58" t="s">
        <v>583</v>
      </c>
      <c r="CW12" s="58" t="s">
        <v>3142</v>
      </c>
      <c r="CX12" s="58" t="s">
        <v>3161</v>
      </c>
      <c r="CY12" s="58" t="s">
        <v>3095</v>
      </c>
      <c r="CZ12" s="58" t="s">
        <v>621</v>
      </c>
      <c r="DB12" s="58" t="s">
        <v>3143</v>
      </c>
      <c r="DC12" s="58" t="s">
        <v>562</v>
      </c>
      <c r="DD12" s="58" t="s">
        <v>568</v>
      </c>
      <c r="DE12" s="58" t="s">
        <v>576</v>
      </c>
      <c r="DF12" s="58" t="s">
        <v>242</v>
      </c>
      <c r="DG12" s="58" t="s">
        <v>620</v>
      </c>
    </row>
    <row r="13" spans="1:310" s="58" customFormat="1" ht="18" customHeight="1">
      <c r="A13" s="58">
        <v>3964</v>
      </c>
      <c r="B13" s="58" t="s">
        <v>3093</v>
      </c>
      <c r="C13" s="177" t="s">
        <v>3111</v>
      </c>
      <c r="D13" s="177" t="s">
        <v>708</v>
      </c>
      <c r="F13" s="58" t="s">
        <v>1080</v>
      </c>
      <c r="G13" s="58">
        <v>61</v>
      </c>
      <c r="H13" s="58">
        <v>103</v>
      </c>
      <c r="J13" s="58">
        <v>0</v>
      </c>
      <c r="M13" s="58" t="s">
        <v>2408</v>
      </c>
      <c r="N13" s="58">
        <v>0</v>
      </c>
      <c r="O13" s="58">
        <v>0</v>
      </c>
      <c r="P13" s="58">
        <v>0</v>
      </c>
      <c r="Q13" s="58">
        <v>0</v>
      </c>
      <c r="R13" s="162">
        <v>46564</v>
      </c>
      <c r="S13" s="162">
        <v>46699</v>
      </c>
      <c r="V13" s="58">
        <v>92</v>
      </c>
      <c r="W13" s="58">
        <v>92</v>
      </c>
      <c r="Z13" s="58">
        <v>0</v>
      </c>
      <c r="AA13" s="58">
        <v>0</v>
      </c>
      <c r="AB13" s="58">
        <v>0</v>
      </c>
      <c r="AC13" s="58">
        <v>11</v>
      </c>
      <c r="AD13" s="58">
        <v>43</v>
      </c>
      <c r="AE13" s="58">
        <v>53</v>
      </c>
      <c r="AF13" s="58">
        <v>103</v>
      </c>
      <c r="AJ13" s="58" t="s">
        <v>633</v>
      </c>
      <c r="AK13" s="58" t="s">
        <v>3105</v>
      </c>
      <c r="AL13" s="58" t="s">
        <v>3111</v>
      </c>
      <c r="AR13" s="58">
        <v>0</v>
      </c>
      <c r="AS13" s="58">
        <v>0</v>
      </c>
      <c r="AT13" s="58">
        <v>1</v>
      </c>
      <c r="BA13" s="58">
        <v>44</v>
      </c>
      <c r="BK13" s="58" t="s">
        <v>625</v>
      </c>
      <c r="BN13" s="58">
        <v>3964</v>
      </c>
      <c r="BO13" s="58" t="s">
        <v>3093</v>
      </c>
      <c r="BP13" s="58" t="s">
        <v>3111</v>
      </c>
      <c r="BQ13" s="58" t="s">
        <v>708</v>
      </c>
      <c r="BU13" s="58" t="s">
        <v>716</v>
      </c>
      <c r="BV13" s="58" t="s">
        <v>1080</v>
      </c>
      <c r="BZ13" s="58" t="s">
        <v>554</v>
      </c>
      <c r="CA13" s="58" t="s">
        <v>625</v>
      </c>
      <c r="CB13" s="58" t="s">
        <v>196</v>
      </c>
      <c r="CH13" s="58" t="s">
        <v>554</v>
      </c>
      <c r="CV13" s="58" t="s">
        <v>583</v>
      </c>
      <c r="CW13" s="58" t="s">
        <v>3142</v>
      </c>
      <c r="CY13" s="58" t="s">
        <v>3095</v>
      </c>
      <c r="DF13" s="58" t="s">
        <v>242</v>
      </c>
    </row>
    <row r="14" spans="1:310" s="58" customFormat="1" ht="18" customHeight="1">
      <c r="A14" s="58" t="s">
        <v>3112</v>
      </c>
      <c r="B14" s="58" t="s">
        <v>3103</v>
      </c>
      <c r="C14" s="161" t="s">
        <v>3113</v>
      </c>
      <c r="D14" s="161" t="s">
        <v>79</v>
      </c>
      <c r="F14" s="58" t="s">
        <v>494</v>
      </c>
      <c r="G14" s="58">
        <v>387</v>
      </c>
      <c r="H14" s="58">
        <v>429</v>
      </c>
      <c r="J14" s="58">
        <v>0</v>
      </c>
      <c r="M14" s="58" t="s">
        <v>2408</v>
      </c>
      <c r="N14" s="58">
        <v>60.1</v>
      </c>
      <c r="O14" s="58">
        <v>0</v>
      </c>
      <c r="P14" s="58">
        <v>60.1</v>
      </c>
      <c r="Q14" s="58">
        <v>0</v>
      </c>
      <c r="R14" s="162">
        <v>46307</v>
      </c>
      <c r="S14" s="162">
        <v>46429</v>
      </c>
      <c r="V14" s="58">
        <v>86</v>
      </c>
      <c r="W14" s="58">
        <v>86</v>
      </c>
      <c r="Z14" s="58">
        <v>3656.3</v>
      </c>
      <c r="AA14" s="58">
        <v>0</v>
      </c>
      <c r="AB14" s="58">
        <v>3656.3</v>
      </c>
      <c r="AJ14" s="58" t="s">
        <v>633</v>
      </c>
      <c r="AK14" s="58" t="s">
        <v>3113</v>
      </c>
      <c r="BA14" s="58">
        <v>44</v>
      </c>
      <c r="BK14" s="58" t="s">
        <v>625</v>
      </c>
      <c r="BN14" s="58" t="s">
        <v>3112</v>
      </c>
      <c r="BO14" s="58" t="s">
        <v>3103</v>
      </c>
      <c r="BP14" s="58" t="s">
        <v>3113</v>
      </c>
      <c r="BQ14" s="58" t="s">
        <v>79</v>
      </c>
      <c r="BU14" s="58" t="s">
        <v>716</v>
      </c>
      <c r="BV14" s="58" t="s">
        <v>494</v>
      </c>
      <c r="BZ14" s="58" t="s">
        <v>202</v>
      </c>
      <c r="CA14" s="58" t="s">
        <v>625</v>
      </c>
      <c r="CB14" s="58" t="s">
        <v>196</v>
      </c>
      <c r="CV14" s="58" t="s">
        <v>583</v>
      </c>
      <c r="CW14" s="58" t="s">
        <v>3142</v>
      </c>
      <c r="CY14" s="58" t="s">
        <v>3095</v>
      </c>
      <c r="DF14" s="58" t="s">
        <v>242</v>
      </c>
      <c r="DL14" s="58" t="s">
        <v>209</v>
      </c>
      <c r="FQ14" s="58">
        <v>44</v>
      </c>
    </row>
    <row r="15" spans="1:310" s="58" customFormat="1" ht="18" customHeight="1">
      <c r="A15" s="58" t="s">
        <v>3114</v>
      </c>
      <c r="B15" s="58" t="s">
        <v>3112</v>
      </c>
      <c r="C15" s="178" t="s">
        <v>3115</v>
      </c>
      <c r="D15" s="178" t="s">
        <v>83</v>
      </c>
      <c r="F15" s="58" t="s">
        <v>3061</v>
      </c>
      <c r="G15" s="58">
        <v>432</v>
      </c>
      <c r="H15" s="58">
        <v>474</v>
      </c>
      <c r="J15" s="58">
        <v>0</v>
      </c>
      <c r="M15" s="58" t="s">
        <v>2408</v>
      </c>
      <c r="N15" s="58">
        <v>26.3</v>
      </c>
      <c r="O15" s="58">
        <v>0</v>
      </c>
      <c r="P15" s="58">
        <v>26.3</v>
      </c>
      <c r="Q15" s="58">
        <v>0</v>
      </c>
      <c r="R15" s="162">
        <v>46307</v>
      </c>
      <c r="S15" s="162">
        <v>46361</v>
      </c>
      <c r="V15" s="58">
        <v>39</v>
      </c>
      <c r="W15" s="58">
        <v>39</v>
      </c>
      <c r="Z15" s="58">
        <v>1968.8</v>
      </c>
      <c r="AA15" s="58">
        <v>0</v>
      </c>
      <c r="AB15" s="58">
        <v>1968.8</v>
      </c>
      <c r="AJ15" s="58" t="s">
        <v>633</v>
      </c>
      <c r="AK15" s="58" t="s">
        <v>3113</v>
      </c>
      <c r="AL15" s="58" t="s">
        <v>3115</v>
      </c>
      <c r="BA15" s="58">
        <v>44</v>
      </c>
      <c r="BK15" s="58" t="s">
        <v>625</v>
      </c>
      <c r="BN15" s="58" t="s">
        <v>3114</v>
      </c>
      <c r="BO15" s="58" t="s">
        <v>3112</v>
      </c>
      <c r="BP15" s="58" t="s">
        <v>3115</v>
      </c>
      <c r="BQ15" s="58" t="s">
        <v>83</v>
      </c>
      <c r="BU15" s="58" t="s">
        <v>716</v>
      </c>
      <c r="BV15" s="58" t="s">
        <v>3061</v>
      </c>
      <c r="BZ15" s="58" t="s">
        <v>202</v>
      </c>
      <c r="CA15" s="58" t="s">
        <v>625</v>
      </c>
      <c r="CB15" s="58" t="s">
        <v>196</v>
      </c>
      <c r="CV15" s="58" t="s">
        <v>583</v>
      </c>
      <c r="CW15" s="58" t="s">
        <v>3142</v>
      </c>
      <c r="CY15" s="58" t="s">
        <v>3095</v>
      </c>
      <c r="DF15" s="58" t="s">
        <v>242</v>
      </c>
      <c r="DL15" s="58" t="s">
        <v>209</v>
      </c>
      <c r="FQ15" s="58">
        <v>44</v>
      </c>
    </row>
    <row r="16" spans="1:310" s="58" customFormat="1" ht="18" customHeight="1">
      <c r="A16" s="58">
        <v>3775</v>
      </c>
      <c r="B16" s="58" t="s">
        <v>3114</v>
      </c>
      <c r="C16" s="177" t="s">
        <v>3116</v>
      </c>
      <c r="D16" s="177" t="s">
        <v>84</v>
      </c>
      <c r="E16" s="58" t="s">
        <v>84</v>
      </c>
      <c r="F16" s="58" t="s">
        <v>3090</v>
      </c>
      <c r="G16" s="58">
        <v>482</v>
      </c>
      <c r="H16" s="58">
        <v>512</v>
      </c>
      <c r="J16" s="58">
        <v>0</v>
      </c>
      <c r="M16" s="58" t="s">
        <v>2408</v>
      </c>
      <c r="N16" s="58">
        <v>26.3</v>
      </c>
      <c r="O16" s="58">
        <v>0</v>
      </c>
      <c r="P16" s="58">
        <v>26.3</v>
      </c>
      <c r="Q16" s="58">
        <v>0</v>
      </c>
      <c r="R16" s="162">
        <v>46307</v>
      </c>
      <c r="S16" s="162">
        <v>46326</v>
      </c>
      <c r="V16" s="58">
        <v>14</v>
      </c>
      <c r="W16" s="58">
        <v>14</v>
      </c>
      <c r="Z16" s="58">
        <v>1968.8</v>
      </c>
      <c r="AA16" s="58">
        <v>0</v>
      </c>
      <c r="AB16" s="58">
        <v>1968.8</v>
      </c>
      <c r="AC16" s="58">
        <v>12</v>
      </c>
      <c r="AD16" s="58">
        <v>44</v>
      </c>
      <c r="AE16" s="58">
        <v>54</v>
      </c>
      <c r="AF16" s="58">
        <v>104</v>
      </c>
      <c r="AJ16" s="58" t="s">
        <v>633</v>
      </c>
      <c r="AK16" s="58" t="s">
        <v>3113</v>
      </c>
      <c r="AL16" s="58" t="s">
        <v>3115</v>
      </c>
      <c r="AM16" s="58" t="s">
        <v>3116</v>
      </c>
      <c r="AR16" s="58">
        <v>0</v>
      </c>
      <c r="AS16" s="58">
        <v>0</v>
      </c>
      <c r="AT16" s="58">
        <v>1</v>
      </c>
      <c r="BA16" s="58">
        <v>10</v>
      </c>
      <c r="BI16" s="58" t="s">
        <v>493</v>
      </c>
      <c r="BJ16" s="58" t="s">
        <v>196</v>
      </c>
      <c r="BK16" s="58" t="s">
        <v>625</v>
      </c>
      <c r="BN16" s="58">
        <v>3775</v>
      </c>
      <c r="BO16" s="58" t="s">
        <v>3114</v>
      </c>
      <c r="BP16" s="58" t="s">
        <v>3116</v>
      </c>
      <c r="BQ16" s="58" t="s">
        <v>84</v>
      </c>
      <c r="BR16" s="58" t="s">
        <v>84</v>
      </c>
      <c r="BU16" s="58" t="s">
        <v>716</v>
      </c>
      <c r="BV16" s="58" t="s">
        <v>3090</v>
      </c>
      <c r="BZ16" s="58" t="s">
        <v>554</v>
      </c>
      <c r="CA16" s="58" t="s">
        <v>625</v>
      </c>
      <c r="CB16" s="58" t="s">
        <v>196</v>
      </c>
      <c r="CH16" s="58" t="s">
        <v>554</v>
      </c>
      <c r="CV16" s="58" t="s">
        <v>583</v>
      </c>
      <c r="CW16" s="58" t="s">
        <v>3142</v>
      </c>
      <c r="CY16" s="58" t="s">
        <v>3095</v>
      </c>
      <c r="DF16" s="58" t="s">
        <v>242</v>
      </c>
    </row>
    <row r="17" spans="1:175" s="58" customFormat="1" ht="18" customHeight="1">
      <c r="A17" s="58" t="s">
        <v>3117</v>
      </c>
      <c r="B17" s="58" t="s">
        <v>3112</v>
      </c>
      <c r="C17" s="178" t="s">
        <v>3118</v>
      </c>
      <c r="D17" s="178" t="s">
        <v>83</v>
      </c>
      <c r="F17" s="58" t="s">
        <v>3119</v>
      </c>
      <c r="G17" s="58">
        <v>432</v>
      </c>
      <c r="H17" s="58">
        <v>486</v>
      </c>
      <c r="J17" s="58">
        <v>0</v>
      </c>
      <c r="M17" s="58" t="s">
        <v>2408</v>
      </c>
      <c r="N17" s="58">
        <v>33.799999999999997</v>
      </c>
      <c r="O17" s="58">
        <v>0</v>
      </c>
      <c r="P17" s="58">
        <v>33.799999999999997</v>
      </c>
      <c r="Q17" s="58">
        <v>0</v>
      </c>
      <c r="R17" s="162">
        <v>46363</v>
      </c>
      <c r="S17" s="162">
        <v>46416</v>
      </c>
      <c r="V17" s="58">
        <v>38</v>
      </c>
      <c r="W17" s="58">
        <v>38</v>
      </c>
      <c r="Z17" s="58">
        <v>1687.5</v>
      </c>
      <c r="AA17" s="58">
        <v>0</v>
      </c>
      <c r="AB17" s="58">
        <v>1687.5</v>
      </c>
      <c r="AJ17" s="58" t="s">
        <v>633</v>
      </c>
      <c r="AK17" s="58" t="s">
        <v>3113</v>
      </c>
      <c r="AL17" s="58" t="s">
        <v>3118</v>
      </c>
      <c r="BA17" s="58">
        <v>44</v>
      </c>
      <c r="BK17" s="58" t="s">
        <v>625</v>
      </c>
      <c r="BN17" s="58" t="s">
        <v>3117</v>
      </c>
      <c r="BO17" s="58" t="s">
        <v>3112</v>
      </c>
      <c r="BP17" s="58" t="s">
        <v>3118</v>
      </c>
      <c r="BQ17" s="58" t="s">
        <v>83</v>
      </c>
      <c r="BU17" s="58" t="s">
        <v>716</v>
      </c>
      <c r="BV17" s="58" t="s">
        <v>3119</v>
      </c>
      <c r="BZ17" s="58" t="s">
        <v>202</v>
      </c>
      <c r="CA17" s="58" t="s">
        <v>625</v>
      </c>
      <c r="CB17" s="58" t="s">
        <v>196</v>
      </c>
      <c r="CV17" s="58" t="s">
        <v>583</v>
      </c>
      <c r="CW17" s="58" t="s">
        <v>3142</v>
      </c>
      <c r="CY17" s="58" t="s">
        <v>3095</v>
      </c>
      <c r="DF17" s="58" t="s">
        <v>242</v>
      </c>
      <c r="DL17" s="58" t="s">
        <v>209</v>
      </c>
      <c r="FQ17" s="58">
        <v>44</v>
      </c>
    </row>
    <row r="18" spans="1:175" s="58" customFormat="1" ht="18" customHeight="1">
      <c r="A18" s="58">
        <v>3777</v>
      </c>
      <c r="B18" s="58" t="s">
        <v>3117</v>
      </c>
      <c r="C18" s="177" t="s">
        <v>3120</v>
      </c>
      <c r="D18" s="177" t="s">
        <v>84</v>
      </c>
      <c r="E18" s="58" t="s">
        <v>84</v>
      </c>
      <c r="F18" s="58" t="s">
        <v>3121</v>
      </c>
      <c r="G18" s="58">
        <v>548</v>
      </c>
      <c r="H18" s="58">
        <v>524</v>
      </c>
      <c r="J18" s="58">
        <v>0</v>
      </c>
      <c r="K18" s="58">
        <v>16057</v>
      </c>
      <c r="M18" s="58" t="s">
        <v>2408</v>
      </c>
      <c r="N18" s="58">
        <v>33.799999999999997</v>
      </c>
      <c r="O18" s="58">
        <v>0</v>
      </c>
      <c r="P18" s="58">
        <v>33.799999999999997</v>
      </c>
      <c r="Q18" s="58">
        <v>0</v>
      </c>
      <c r="R18" s="162">
        <v>46349</v>
      </c>
      <c r="S18" s="162">
        <v>46361</v>
      </c>
      <c r="V18" s="58">
        <v>10</v>
      </c>
      <c r="W18" s="58">
        <v>10</v>
      </c>
      <c r="Z18" s="58">
        <v>1687.5</v>
      </c>
      <c r="AA18" s="58">
        <v>0</v>
      </c>
      <c r="AB18" s="58">
        <v>1687.5</v>
      </c>
      <c r="AC18" s="58">
        <v>13</v>
      </c>
      <c r="AD18" s="58">
        <v>45</v>
      </c>
      <c r="AE18" s="58">
        <v>55</v>
      </c>
      <c r="AF18" s="58">
        <v>105</v>
      </c>
      <c r="AJ18" s="58" t="s">
        <v>633</v>
      </c>
      <c r="AK18" s="58" t="s">
        <v>3113</v>
      </c>
      <c r="AL18" s="58" t="s">
        <v>3118</v>
      </c>
      <c r="AM18" s="58" t="s">
        <v>3120</v>
      </c>
      <c r="AR18" s="58">
        <v>0</v>
      </c>
      <c r="AS18" s="58">
        <v>0</v>
      </c>
      <c r="AT18" s="58">
        <v>1</v>
      </c>
      <c r="BA18" s="58">
        <v>10</v>
      </c>
      <c r="BI18" s="58" t="s">
        <v>493</v>
      </c>
      <c r="BJ18" s="58" t="s">
        <v>196</v>
      </c>
      <c r="BK18" s="58" t="s">
        <v>625</v>
      </c>
      <c r="BN18" s="58">
        <v>3777</v>
      </c>
      <c r="BO18" s="58" t="s">
        <v>3117</v>
      </c>
      <c r="BP18" s="58" t="s">
        <v>3120</v>
      </c>
      <c r="BQ18" s="58" t="s">
        <v>84</v>
      </c>
      <c r="BR18" s="58" t="s">
        <v>84</v>
      </c>
      <c r="BU18" s="58" t="s">
        <v>716</v>
      </c>
      <c r="BV18" s="58" t="s">
        <v>3121</v>
      </c>
      <c r="BZ18" s="58" t="s">
        <v>554</v>
      </c>
      <c r="CA18" s="58" t="s">
        <v>625</v>
      </c>
      <c r="CB18" s="58" t="s">
        <v>196</v>
      </c>
      <c r="CH18" s="58" t="s">
        <v>554</v>
      </c>
      <c r="CV18" s="58" t="s">
        <v>583</v>
      </c>
      <c r="CW18" s="58" t="s">
        <v>3142</v>
      </c>
      <c r="CY18" s="58" t="s">
        <v>3095</v>
      </c>
      <c r="DF18" s="58" t="s">
        <v>242</v>
      </c>
    </row>
    <row r="19" spans="1:175" s="58" customFormat="1" ht="18" customHeight="1">
      <c r="A19" s="58" t="s">
        <v>3122</v>
      </c>
      <c r="B19" s="58" t="s">
        <v>3103</v>
      </c>
      <c r="C19" s="161" t="s">
        <v>3123</v>
      </c>
      <c r="D19" s="161" t="s">
        <v>79</v>
      </c>
      <c r="F19" s="58" t="s">
        <v>495</v>
      </c>
      <c r="G19" s="58">
        <v>663</v>
      </c>
      <c r="H19" s="58">
        <v>624</v>
      </c>
      <c r="J19" s="58">
        <v>0</v>
      </c>
      <c r="M19" s="58" t="s">
        <v>2408</v>
      </c>
      <c r="N19" s="58">
        <v>337.9</v>
      </c>
      <c r="O19" s="58">
        <v>0</v>
      </c>
      <c r="P19" s="58">
        <v>337.9</v>
      </c>
      <c r="Q19" s="58">
        <v>0</v>
      </c>
      <c r="R19" s="162">
        <v>46321</v>
      </c>
      <c r="S19" s="162">
        <v>46470</v>
      </c>
      <c r="V19" s="58">
        <v>106</v>
      </c>
      <c r="W19" s="58">
        <v>106</v>
      </c>
      <c r="Z19" s="58">
        <v>25340.7</v>
      </c>
      <c r="AA19" s="58">
        <v>0</v>
      </c>
      <c r="AB19" s="58">
        <v>25340.7</v>
      </c>
      <c r="AJ19" s="58" t="s">
        <v>633</v>
      </c>
      <c r="AK19" s="58" t="s">
        <v>3123</v>
      </c>
      <c r="BA19" s="58">
        <v>44</v>
      </c>
      <c r="BE19" s="58" t="s">
        <v>3104</v>
      </c>
      <c r="BK19" s="58" t="s">
        <v>625</v>
      </c>
      <c r="BN19" s="58" t="s">
        <v>3122</v>
      </c>
      <c r="BO19" s="58" t="s">
        <v>3103</v>
      </c>
      <c r="BP19" s="58" t="s">
        <v>3123</v>
      </c>
      <c r="BQ19" s="58" t="s">
        <v>79</v>
      </c>
      <c r="BU19" s="58" t="s">
        <v>716</v>
      </c>
      <c r="BV19" s="58" t="s">
        <v>495</v>
      </c>
      <c r="BZ19" s="58" t="s">
        <v>202</v>
      </c>
      <c r="CA19" s="58" t="s">
        <v>625</v>
      </c>
      <c r="CB19" s="58" t="s">
        <v>196</v>
      </c>
      <c r="CV19" s="58" t="s">
        <v>583</v>
      </c>
      <c r="CW19" s="58" t="s">
        <v>3142</v>
      </c>
      <c r="CY19" s="58" t="s">
        <v>3095</v>
      </c>
      <c r="DF19" s="58" t="s">
        <v>242</v>
      </c>
      <c r="DL19" s="58" t="s">
        <v>209</v>
      </c>
      <c r="FQ19" s="58">
        <v>44</v>
      </c>
    </row>
    <row r="20" spans="1:175" s="58" customFormat="1" ht="18" customHeight="1">
      <c r="A20" s="58" t="s">
        <v>3124</v>
      </c>
      <c r="B20" s="58" t="s">
        <v>3122</v>
      </c>
      <c r="C20" s="178" t="s">
        <v>3125</v>
      </c>
      <c r="D20" s="178" t="s">
        <v>83</v>
      </c>
      <c r="F20" s="58" t="s">
        <v>3062</v>
      </c>
      <c r="G20" s="58">
        <v>700</v>
      </c>
      <c r="H20" s="58">
        <v>661</v>
      </c>
      <c r="J20" s="58">
        <v>0</v>
      </c>
      <c r="M20" s="58" t="s">
        <v>2408</v>
      </c>
      <c r="N20" s="58">
        <v>140.30000000000001</v>
      </c>
      <c r="O20" s="58">
        <v>0</v>
      </c>
      <c r="P20" s="58">
        <v>140.30000000000001</v>
      </c>
      <c r="Q20" s="58">
        <v>0</v>
      </c>
      <c r="R20" s="162">
        <v>46321</v>
      </c>
      <c r="S20" s="162">
        <v>46382</v>
      </c>
      <c r="V20" s="58">
        <v>44</v>
      </c>
      <c r="W20" s="58">
        <v>44</v>
      </c>
      <c r="Z20" s="58">
        <v>10518.8</v>
      </c>
      <c r="AA20" s="58">
        <v>0</v>
      </c>
      <c r="AB20" s="58">
        <v>10518.8</v>
      </c>
      <c r="AJ20" s="58" t="s">
        <v>633</v>
      </c>
      <c r="AK20" s="58" t="s">
        <v>3123</v>
      </c>
      <c r="AL20" s="58" t="s">
        <v>3125</v>
      </c>
      <c r="BA20" s="58">
        <v>44</v>
      </c>
      <c r="BK20" s="58" t="s">
        <v>625</v>
      </c>
      <c r="BN20" s="58" t="s">
        <v>3124</v>
      </c>
      <c r="BO20" s="58" t="s">
        <v>3122</v>
      </c>
      <c r="BP20" s="58" t="s">
        <v>3125</v>
      </c>
      <c r="BQ20" s="58" t="s">
        <v>83</v>
      </c>
      <c r="BU20" s="58" t="s">
        <v>716</v>
      </c>
      <c r="BV20" s="58" t="s">
        <v>3062</v>
      </c>
      <c r="BZ20" s="58" t="s">
        <v>202</v>
      </c>
      <c r="CA20" s="58" t="s">
        <v>625</v>
      </c>
      <c r="CB20" s="58" t="s">
        <v>196</v>
      </c>
      <c r="CW20" s="58" t="s">
        <v>3142</v>
      </c>
      <c r="CY20" s="58" t="s">
        <v>3095</v>
      </c>
      <c r="DL20" s="58" t="s">
        <v>209</v>
      </c>
      <c r="FQ20" s="58">
        <v>44</v>
      </c>
    </row>
    <row r="21" spans="1:175" s="58" customFormat="1" ht="18" customHeight="1">
      <c r="A21" s="58">
        <v>3956</v>
      </c>
      <c r="B21" s="58" t="s">
        <v>3124</v>
      </c>
      <c r="C21" s="177" t="s">
        <v>3126</v>
      </c>
      <c r="D21" s="177" t="s">
        <v>84</v>
      </c>
      <c r="E21" s="58" t="s">
        <v>84</v>
      </c>
      <c r="F21" s="58" t="s">
        <v>3091</v>
      </c>
      <c r="G21" s="58">
        <v>744</v>
      </c>
      <c r="H21" s="58">
        <v>705</v>
      </c>
      <c r="J21" s="58">
        <v>0</v>
      </c>
      <c r="M21" s="58" t="s">
        <v>2408</v>
      </c>
      <c r="N21" s="58">
        <v>140.30000000000001</v>
      </c>
      <c r="O21" s="58">
        <v>0</v>
      </c>
      <c r="P21" s="58">
        <v>140.30000000000001</v>
      </c>
      <c r="Q21" s="58">
        <v>0</v>
      </c>
      <c r="R21" s="162">
        <v>46321</v>
      </c>
      <c r="S21" s="162">
        <v>46347</v>
      </c>
      <c r="V21" s="58">
        <v>20</v>
      </c>
      <c r="W21" s="58">
        <v>20</v>
      </c>
      <c r="Z21" s="58">
        <v>10518.8</v>
      </c>
      <c r="AA21" s="58">
        <v>0</v>
      </c>
      <c r="AB21" s="58">
        <v>10518.8</v>
      </c>
      <c r="AC21" s="58">
        <v>14</v>
      </c>
      <c r="AD21" s="58">
        <v>46</v>
      </c>
      <c r="AE21" s="58">
        <v>56</v>
      </c>
      <c r="AF21" s="58">
        <v>106</v>
      </c>
      <c r="AJ21" s="58" t="s">
        <v>633</v>
      </c>
      <c r="AK21" s="58" t="s">
        <v>3123</v>
      </c>
      <c r="AL21" s="58" t="s">
        <v>3125</v>
      </c>
      <c r="AM21" s="58" t="s">
        <v>3126</v>
      </c>
      <c r="AR21" s="58">
        <v>0</v>
      </c>
      <c r="AS21" s="58">
        <v>0</v>
      </c>
      <c r="AT21" s="58">
        <v>1</v>
      </c>
      <c r="BA21" s="58">
        <v>44</v>
      </c>
      <c r="BI21" s="58" t="s">
        <v>493</v>
      </c>
      <c r="BJ21" s="58" t="s">
        <v>196</v>
      </c>
      <c r="BK21" s="58" t="s">
        <v>625</v>
      </c>
      <c r="BN21" s="58">
        <v>3956</v>
      </c>
      <c r="BO21" s="58" t="s">
        <v>3124</v>
      </c>
      <c r="BP21" s="58" t="s">
        <v>3126</v>
      </c>
      <c r="BQ21" s="58" t="s">
        <v>84</v>
      </c>
      <c r="BR21" s="58" t="s">
        <v>84</v>
      </c>
      <c r="BU21" s="58" t="s">
        <v>716</v>
      </c>
      <c r="BV21" s="58" t="s">
        <v>3091</v>
      </c>
      <c r="BZ21" s="58" t="s">
        <v>554</v>
      </c>
      <c r="CA21" s="58" t="s">
        <v>625</v>
      </c>
      <c r="CB21" s="58" t="s">
        <v>196</v>
      </c>
      <c r="CH21" s="58" t="s">
        <v>554</v>
      </c>
    </row>
    <row r="22" spans="1:175" s="58" customFormat="1" ht="18" customHeight="1">
      <c r="A22" s="58" t="s">
        <v>3127</v>
      </c>
      <c r="B22" s="58" t="s">
        <v>3122</v>
      </c>
      <c r="C22" s="178" t="s">
        <v>3128</v>
      </c>
      <c r="D22" s="178" t="s">
        <v>83</v>
      </c>
      <c r="F22" s="58" t="s">
        <v>3063</v>
      </c>
      <c r="G22" s="58">
        <v>700</v>
      </c>
      <c r="H22" s="58">
        <v>661</v>
      </c>
      <c r="J22" s="58">
        <v>0</v>
      </c>
      <c r="M22" s="58" t="s">
        <v>2408</v>
      </c>
      <c r="N22" s="58">
        <v>197.6</v>
      </c>
      <c r="O22" s="58">
        <v>0</v>
      </c>
      <c r="P22" s="58">
        <v>197.6</v>
      </c>
      <c r="Q22" s="58">
        <v>0</v>
      </c>
      <c r="R22" s="162">
        <v>46384</v>
      </c>
      <c r="S22" s="162">
        <v>46471</v>
      </c>
      <c r="V22" s="58">
        <v>63</v>
      </c>
      <c r="W22" s="58">
        <v>63</v>
      </c>
      <c r="Z22" s="58">
        <v>14821.9</v>
      </c>
      <c r="AA22" s="58">
        <v>0</v>
      </c>
      <c r="AB22" s="58">
        <v>14821.9</v>
      </c>
      <c r="AJ22" s="58" t="s">
        <v>633</v>
      </c>
      <c r="AK22" s="58" t="s">
        <v>3123</v>
      </c>
      <c r="AL22" s="58" t="s">
        <v>3128</v>
      </c>
      <c r="BA22" s="58">
        <v>44</v>
      </c>
      <c r="BK22" s="58" t="s">
        <v>625</v>
      </c>
      <c r="BN22" s="58" t="s">
        <v>3127</v>
      </c>
      <c r="BO22" s="58" t="s">
        <v>3122</v>
      </c>
      <c r="BP22" s="58" t="s">
        <v>3128</v>
      </c>
      <c r="BQ22" s="58" t="s">
        <v>83</v>
      </c>
      <c r="BU22" s="58" t="s">
        <v>716</v>
      </c>
      <c r="BV22" s="58" t="s">
        <v>3063</v>
      </c>
      <c r="BZ22" s="58" t="s">
        <v>202</v>
      </c>
      <c r="CA22" s="58" t="s">
        <v>625</v>
      </c>
      <c r="CB22" s="58" t="s">
        <v>196</v>
      </c>
      <c r="CN22" s="58" t="s">
        <v>662</v>
      </c>
      <c r="DN22" s="58" t="s">
        <v>711</v>
      </c>
      <c r="DR22" s="58" t="s">
        <v>711</v>
      </c>
      <c r="FB22" s="58" t="s">
        <v>584</v>
      </c>
      <c r="FD22" s="58" t="s">
        <v>617</v>
      </c>
      <c r="FE22" s="58" t="s">
        <v>614</v>
      </c>
      <c r="FF22" s="58" t="s">
        <v>701</v>
      </c>
      <c r="FQ22" s="58">
        <v>44</v>
      </c>
      <c r="FS22" s="58" t="s">
        <v>3162</v>
      </c>
    </row>
    <row r="23" spans="1:175" s="58" customFormat="1" ht="18" customHeight="1">
      <c r="A23" s="58">
        <v>3957</v>
      </c>
      <c r="B23" s="58" t="s">
        <v>3127</v>
      </c>
      <c r="C23" s="177" t="s">
        <v>3110</v>
      </c>
      <c r="D23" s="177" t="s">
        <v>84</v>
      </c>
      <c r="E23" s="58" t="s">
        <v>84</v>
      </c>
      <c r="F23" s="58" t="s">
        <v>3129</v>
      </c>
      <c r="G23" s="58">
        <v>750</v>
      </c>
      <c r="H23" s="58">
        <v>711</v>
      </c>
      <c r="J23" s="58">
        <v>0</v>
      </c>
      <c r="M23" s="58" t="s">
        <v>2408</v>
      </c>
      <c r="N23" s="58">
        <v>197.6</v>
      </c>
      <c r="O23" s="58">
        <v>0</v>
      </c>
      <c r="P23" s="58">
        <v>197.6</v>
      </c>
      <c r="Q23" s="58">
        <v>0</v>
      </c>
      <c r="R23" s="162">
        <v>46384</v>
      </c>
      <c r="S23" s="162">
        <v>46424</v>
      </c>
      <c r="V23" s="58">
        <v>29</v>
      </c>
      <c r="W23" s="58">
        <v>29</v>
      </c>
      <c r="Z23" s="58">
        <v>14821.9</v>
      </c>
      <c r="AA23" s="58">
        <v>0</v>
      </c>
      <c r="AB23" s="58">
        <v>14821.9</v>
      </c>
      <c r="AC23" s="58">
        <v>15</v>
      </c>
      <c r="AD23" s="58">
        <v>47</v>
      </c>
      <c r="AE23" s="58">
        <v>57</v>
      </c>
      <c r="AF23" s="58">
        <v>107</v>
      </c>
      <c r="AJ23" s="58" t="s">
        <v>633</v>
      </c>
      <c r="AK23" s="58" t="s">
        <v>3123</v>
      </c>
      <c r="AL23" s="58" t="s">
        <v>3128</v>
      </c>
      <c r="AM23" s="58" t="s">
        <v>3110</v>
      </c>
      <c r="AR23" s="58">
        <v>0</v>
      </c>
      <c r="AS23" s="58">
        <v>0</v>
      </c>
      <c r="AT23" s="58">
        <v>1</v>
      </c>
      <c r="BA23" s="58">
        <v>44</v>
      </c>
      <c r="BI23" s="58" t="s">
        <v>493</v>
      </c>
      <c r="BJ23" s="58" t="s">
        <v>196</v>
      </c>
      <c r="BK23" s="58" t="s">
        <v>625</v>
      </c>
      <c r="BN23" s="58">
        <v>3957</v>
      </c>
      <c r="BO23" s="58" t="s">
        <v>3127</v>
      </c>
      <c r="BP23" s="58" t="s">
        <v>3110</v>
      </c>
      <c r="BQ23" s="58" t="s">
        <v>84</v>
      </c>
      <c r="BR23" s="58" t="s">
        <v>84</v>
      </c>
      <c r="BU23" s="58" t="s">
        <v>716</v>
      </c>
      <c r="BV23" s="58" t="s">
        <v>3129</v>
      </c>
      <c r="BZ23" s="58" t="s">
        <v>554</v>
      </c>
      <c r="CA23" s="58" t="s">
        <v>625</v>
      </c>
      <c r="CB23" s="58" t="s">
        <v>196</v>
      </c>
      <c r="CH23" s="58" t="s">
        <v>554</v>
      </c>
      <c r="CN23" s="58" t="s">
        <v>662</v>
      </c>
    </row>
    <row r="24" spans="1:175" s="58" customFormat="1" ht="18" customHeight="1">
      <c r="A24" s="58">
        <v>3962</v>
      </c>
      <c r="B24" s="58" t="s">
        <v>3092</v>
      </c>
      <c r="C24" s="177" t="s">
        <v>3130</v>
      </c>
      <c r="D24" s="177" t="s">
        <v>708</v>
      </c>
      <c r="F24" s="58" t="s">
        <v>1090</v>
      </c>
      <c r="G24" s="58">
        <v>360</v>
      </c>
      <c r="H24" s="58">
        <v>402</v>
      </c>
      <c r="J24" s="58">
        <v>0</v>
      </c>
      <c r="M24" s="58" t="s">
        <v>2408</v>
      </c>
      <c r="N24" s="58">
        <v>0</v>
      </c>
      <c r="O24" s="58">
        <v>0</v>
      </c>
      <c r="P24" s="58">
        <v>0</v>
      </c>
      <c r="Q24" s="58">
        <v>0</v>
      </c>
      <c r="R24" s="162">
        <v>46428</v>
      </c>
      <c r="S24" s="162">
        <v>46503</v>
      </c>
      <c r="V24" s="58">
        <v>52</v>
      </c>
      <c r="W24" s="58">
        <v>52</v>
      </c>
      <c r="Z24" s="58">
        <v>0</v>
      </c>
      <c r="AA24" s="58">
        <v>0</v>
      </c>
      <c r="AB24" s="58">
        <v>0</v>
      </c>
      <c r="AC24" s="58">
        <v>16</v>
      </c>
      <c r="AD24" s="58">
        <v>48</v>
      </c>
      <c r="AE24" s="58">
        <v>58</v>
      </c>
      <c r="AF24" s="58">
        <v>108</v>
      </c>
      <c r="AJ24" s="58" t="s">
        <v>633</v>
      </c>
      <c r="AK24" s="58" t="s">
        <v>3105</v>
      </c>
      <c r="AL24" s="58" t="s">
        <v>1638</v>
      </c>
      <c r="AR24" s="58">
        <v>0</v>
      </c>
      <c r="AS24" s="58">
        <v>0</v>
      </c>
      <c r="AT24" s="58">
        <v>1</v>
      </c>
      <c r="BA24" s="58">
        <v>44</v>
      </c>
      <c r="BK24" s="58" t="s">
        <v>625</v>
      </c>
      <c r="BN24" s="58">
        <v>3962</v>
      </c>
      <c r="BO24" s="58" t="s">
        <v>3092</v>
      </c>
      <c r="BP24" s="58" t="s">
        <v>3130</v>
      </c>
      <c r="BQ24" s="58" t="s">
        <v>708</v>
      </c>
      <c r="BU24" s="58" t="s">
        <v>716</v>
      </c>
      <c r="BV24" s="58" t="s">
        <v>1090</v>
      </c>
      <c r="BZ24" s="58" t="s">
        <v>554</v>
      </c>
      <c r="CA24" s="58" t="s">
        <v>625</v>
      </c>
      <c r="CB24" s="58" t="s">
        <v>196</v>
      </c>
      <c r="CH24" s="58" t="s">
        <v>554</v>
      </c>
    </row>
    <row r="25" spans="1:175" s="58" customFormat="1" ht="18" customHeight="1">
      <c r="A25" s="58">
        <v>3963</v>
      </c>
      <c r="B25" s="58" t="s">
        <v>3112</v>
      </c>
      <c r="C25" s="177" t="s">
        <v>1689</v>
      </c>
      <c r="D25" s="177" t="s">
        <v>708</v>
      </c>
      <c r="F25" s="58" t="s">
        <v>3131</v>
      </c>
      <c r="G25" s="58">
        <v>347</v>
      </c>
      <c r="H25" s="58">
        <v>389</v>
      </c>
      <c r="J25" s="58">
        <v>0</v>
      </c>
      <c r="M25" s="58" t="s">
        <v>2408</v>
      </c>
      <c r="N25" s="58">
        <v>0</v>
      </c>
      <c r="O25" s="58">
        <v>0</v>
      </c>
      <c r="P25" s="58">
        <v>0</v>
      </c>
      <c r="Q25" s="58">
        <v>0</v>
      </c>
      <c r="R25" s="162">
        <v>46378</v>
      </c>
      <c r="S25" s="162">
        <v>46439</v>
      </c>
      <c r="V25" s="58">
        <v>42</v>
      </c>
      <c r="W25" s="58">
        <v>42</v>
      </c>
      <c r="Z25" s="58">
        <v>0</v>
      </c>
      <c r="AA25" s="58">
        <v>0</v>
      </c>
      <c r="AB25" s="58">
        <v>0</v>
      </c>
      <c r="AC25" s="58">
        <v>17</v>
      </c>
      <c r="AD25" s="58">
        <v>49</v>
      </c>
      <c r="AE25" s="58">
        <v>59</v>
      </c>
      <c r="AF25" s="58">
        <v>109</v>
      </c>
      <c r="AJ25" s="58" t="s">
        <v>633</v>
      </c>
      <c r="AK25" s="58" t="s">
        <v>3113</v>
      </c>
      <c r="AL25" s="58" t="s">
        <v>1689</v>
      </c>
      <c r="AR25" s="58">
        <v>0</v>
      </c>
      <c r="AS25" s="58">
        <v>0</v>
      </c>
      <c r="AT25" s="58">
        <v>1</v>
      </c>
      <c r="BA25" s="58">
        <v>44</v>
      </c>
      <c r="BK25" s="58" t="s">
        <v>625</v>
      </c>
      <c r="BN25" s="58">
        <v>3963</v>
      </c>
      <c r="BO25" s="58" t="s">
        <v>3112</v>
      </c>
      <c r="BP25" s="58" t="s">
        <v>1689</v>
      </c>
      <c r="BQ25" s="58" t="s">
        <v>708</v>
      </c>
      <c r="BU25" s="58" t="s">
        <v>716</v>
      </c>
      <c r="BV25" s="58" t="s">
        <v>3131</v>
      </c>
      <c r="BZ25" s="58" t="s">
        <v>554</v>
      </c>
      <c r="CA25" s="58" t="s">
        <v>625</v>
      </c>
      <c r="CB25" s="58" t="s">
        <v>196</v>
      </c>
      <c r="CH25" s="58" t="s">
        <v>554</v>
      </c>
    </row>
    <row r="26" spans="1:175" s="58" customFormat="1" ht="18" customHeight="1">
      <c r="A26" s="58">
        <v>16054</v>
      </c>
      <c r="B26" s="58" t="s">
        <v>3094</v>
      </c>
      <c r="C26" s="177" t="s">
        <v>3132</v>
      </c>
      <c r="D26" s="177" t="s">
        <v>84</v>
      </c>
      <c r="E26" s="58" t="s">
        <v>84</v>
      </c>
      <c r="F26" s="58" t="s">
        <v>1128</v>
      </c>
      <c r="G26" s="58">
        <v>161</v>
      </c>
      <c r="H26" s="58">
        <v>197</v>
      </c>
      <c r="J26" s="58">
        <v>0</v>
      </c>
      <c r="K26" s="58">
        <v>3773</v>
      </c>
      <c r="M26" s="58" t="s">
        <v>2408</v>
      </c>
      <c r="N26" s="58">
        <v>8</v>
      </c>
      <c r="O26" s="58">
        <v>0</v>
      </c>
      <c r="P26" s="58">
        <v>8</v>
      </c>
      <c r="Q26" s="58">
        <v>0</v>
      </c>
      <c r="R26" s="162">
        <v>46312</v>
      </c>
      <c r="S26" s="162">
        <v>46325</v>
      </c>
      <c r="V26" s="58">
        <v>10</v>
      </c>
      <c r="W26" s="58">
        <v>10</v>
      </c>
      <c r="Z26" s="58">
        <v>800</v>
      </c>
      <c r="AA26" s="58">
        <v>0</v>
      </c>
      <c r="AB26" s="58">
        <v>800</v>
      </c>
      <c r="AC26" s="58">
        <v>18</v>
      </c>
      <c r="AD26" s="58">
        <v>50</v>
      </c>
      <c r="AE26" s="58">
        <v>60</v>
      </c>
      <c r="AF26" s="58">
        <v>110</v>
      </c>
      <c r="AJ26" s="58" t="s">
        <v>633</v>
      </c>
      <c r="AK26" s="58" t="s">
        <v>3105</v>
      </c>
      <c r="AL26" s="58" t="s">
        <v>1685</v>
      </c>
      <c r="AM26" s="58" t="s">
        <v>3132</v>
      </c>
      <c r="AR26" s="58">
        <v>0</v>
      </c>
      <c r="AS26" s="58">
        <v>0</v>
      </c>
      <c r="AT26" s="58">
        <v>1</v>
      </c>
      <c r="BA26" s="58">
        <v>44</v>
      </c>
      <c r="BI26" s="58" t="s">
        <v>196</v>
      </c>
      <c r="BN26" s="58">
        <v>16054</v>
      </c>
      <c r="BO26" s="58" t="s">
        <v>3094</v>
      </c>
      <c r="BP26" s="58" t="s">
        <v>3132</v>
      </c>
      <c r="BQ26" s="58" t="s">
        <v>84</v>
      </c>
      <c r="BR26" s="58" t="s">
        <v>84</v>
      </c>
      <c r="BU26" s="58" t="s">
        <v>716</v>
      </c>
      <c r="BV26" s="58" t="s">
        <v>1128</v>
      </c>
      <c r="BZ26" s="58" t="s">
        <v>554</v>
      </c>
      <c r="CA26" s="58" t="s">
        <v>625</v>
      </c>
      <c r="CB26" s="58" t="s">
        <v>196</v>
      </c>
      <c r="CH26" s="58" t="s">
        <v>554</v>
      </c>
    </row>
    <row r="27" spans="1:175" s="58" customFormat="1" ht="18" customHeight="1">
      <c r="A27" s="58">
        <v>16055</v>
      </c>
      <c r="B27" s="58" t="s">
        <v>3094</v>
      </c>
      <c r="C27" s="177" t="s">
        <v>3133</v>
      </c>
      <c r="D27" s="177" t="s">
        <v>84</v>
      </c>
      <c r="E27" s="58" t="s">
        <v>84</v>
      </c>
      <c r="F27" s="58" t="s">
        <v>1123</v>
      </c>
      <c r="G27" s="58">
        <v>167</v>
      </c>
      <c r="H27" s="58">
        <v>197</v>
      </c>
      <c r="J27" s="58">
        <v>0</v>
      </c>
      <c r="K27" s="58">
        <v>16054</v>
      </c>
      <c r="M27" s="58" t="s">
        <v>2408</v>
      </c>
      <c r="N27" s="58">
        <v>36</v>
      </c>
      <c r="O27" s="58">
        <v>0</v>
      </c>
      <c r="P27" s="58">
        <v>36</v>
      </c>
      <c r="Q27" s="58">
        <v>0</v>
      </c>
      <c r="R27" s="162">
        <v>46331</v>
      </c>
      <c r="S27" s="162">
        <v>46343</v>
      </c>
      <c r="V27" s="58">
        <v>9</v>
      </c>
      <c r="W27" s="58">
        <v>9</v>
      </c>
      <c r="Z27" s="58">
        <v>1800</v>
      </c>
      <c r="AA27" s="58">
        <v>0</v>
      </c>
      <c r="AB27" s="58">
        <v>1800</v>
      </c>
      <c r="AC27" s="58">
        <v>19</v>
      </c>
      <c r="AD27" s="58">
        <v>51</v>
      </c>
      <c r="AE27" s="58">
        <v>61</v>
      </c>
      <c r="AF27" s="58">
        <v>111</v>
      </c>
      <c r="AJ27" s="58" t="s">
        <v>633</v>
      </c>
      <c r="AK27" s="58" t="s">
        <v>3105</v>
      </c>
      <c r="AL27" s="58" t="s">
        <v>1685</v>
      </c>
      <c r="AM27" s="58" t="s">
        <v>3133</v>
      </c>
      <c r="AR27" s="58">
        <v>0</v>
      </c>
      <c r="AS27" s="58">
        <v>0</v>
      </c>
      <c r="AT27" s="58">
        <v>1</v>
      </c>
      <c r="BA27" s="58">
        <v>44</v>
      </c>
      <c r="BI27" s="58" t="s">
        <v>196</v>
      </c>
      <c r="BN27" s="58">
        <v>16055</v>
      </c>
      <c r="BO27" s="58" t="s">
        <v>3094</v>
      </c>
      <c r="BP27" s="58" t="s">
        <v>3133</v>
      </c>
      <c r="BQ27" s="58" t="s">
        <v>84</v>
      </c>
      <c r="BR27" s="58" t="s">
        <v>84</v>
      </c>
      <c r="BU27" s="58" t="s">
        <v>716</v>
      </c>
      <c r="BV27" s="58" t="s">
        <v>1123</v>
      </c>
      <c r="BZ27" s="58" t="s">
        <v>554</v>
      </c>
      <c r="CA27" s="58" t="s">
        <v>625</v>
      </c>
      <c r="CB27" s="58" t="s">
        <v>196</v>
      </c>
      <c r="CH27" s="58" t="s">
        <v>554</v>
      </c>
    </row>
    <row r="28" spans="1:175" s="58" customFormat="1" ht="18" customHeight="1">
      <c r="A28" s="58">
        <v>16056</v>
      </c>
      <c r="B28" s="58" t="s">
        <v>3094</v>
      </c>
      <c r="C28" s="177" t="s">
        <v>3134</v>
      </c>
      <c r="D28" s="177" t="s">
        <v>84</v>
      </c>
      <c r="E28" s="58" t="s">
        <v>484</v>
      </c>
      <c r="F28" s="58" t="s">
        <v>3135</v>
      </c>
      <c r="G28" s="58">
        <v>285</v>
      </c>
      <c r="H28" s="58">
        <v>303</v>
      </c>
      <c r="J28" s="58">
        <v>0</v>
      </c>
      <c r="M28" s="58" t="s">
        <v>2408</v>
      </c>
      <c r="N28" s="58">
        <v>0</v>
      </c>
      <c r="O28" s="58">
        <v>0</v>
      </c>
      <c r="P28" s="58">
        <v>0</v>
      </c>
      <c r="Q28" s="58">
        <v>0</v>
      </c>
      <c r="R28" s="162">
        <v>46293</v>
      </c>
      <c r="S28" s="162">
        <v>46300</v>
      </c>
      <c r="V28" s="58">
        <v>6</v>
      </c>
      <c r="W28" s="58">
        <v>6</v>
      </c>
      <c r="Z28" s="58">
        <v>0</v>
      </c>
      <c r="AA28" s="58">
        <v>0</v>
      </c>
      <c r="AB28" s="58">
        <v>0</v>
      </c>
      <c r="AC28" s="58">
        <v>20</v>
      </c>
      <c r="AD28" s="58">
        <v>52</v>
      </c>
      <c r="AE28" s="58">
        <v>62</v>
      </c>
      <c r="AF28" s="58">
        <v>112</v>
      </c>
      <c r="AJ28" s="58" t="s">
        <v>633</v>
      </c>
      <c r="AK28" s="58" t="s">
        <v>3105</v>
      </c>
      <c r="AL28" s="58" t="s">
        <v>1685</v>
      </c>
      <c r="AM28" s="58" t="s">
        <v>3134</v>
      </c>
      <c r="AR28" s="58">
        <v>0</v>
      </c>
      <c r="AS28" s="58">
        <v>0</v>
      </c>
      <c r="AT28" s="58">
        <v>1</v>
      </c>
      <c r="BA28" s="58">
        <v>44</v>
      </c>
      <c r="BI28" s="58" t="s">
        <v>196</v>
      </c>
      <c r="BN28" s="58">
        <v>16056</v>
      </c>
      <c r="BO28" s="58" t="s">
        <v>3094</v>
      </c>
      <c r="BP28" s="58" t="s">
        <v>3134</v>
      </c>
      <c r="BQ28" s="58" t="s">
        <v>84</v>
      </c>
      <c r="BR28" s="58" t="s">
        <v>484</v>
      </c>
      <c r="BU28" s="58" t="s">
        <v>716</v>
      </c>
      <c r="BV28" s="58" t="s">
        <v>3137</v>
      </c>
      <c r="BZ28" s="58" t="s">
        <v>554</v>
      </c>
      <c r="CA28" s="58" t="s">
        <v>625</v>
      </c>
      <c r="CB28" s="58" t="s">
        <v>196</v>
      </c>
      <c r="CH28" s="58" t="s">
        <v>554</v>
      </c>
    </row>
    <row r="29" spans="1:175" s="58" customFormat="1" ht="18" customHeight="1">
      <c r="A29" s="58">
        <v>16057</v>
      </c>
      <c r="B29" s="58" t="s">
        <v>3114</v>
      </c>
      <c r="C29" s="177" t="s">
        <v>3136</v>
      </c>
      <c r="D29" s="177" t="s">
        <v>84</v>
      </c>
      <c r="E29" s="58" t="s">
        <v>84</v>
      </c>
      <c r="F29" s="58" t="s">
        <v>3137</v>
      </c>
      <c r="G29" s="58">
        <v>494</v>
      </c>
      <c r="H29" s="58">
        <v>512</v>
      </c>
      <c r="J29" s="58">
        <v>0</v>
      </c>
      <c r="K29" s="58">
        <v>3775</v>
      </c>
      <c r="M29" s="58" t="s">
        <v>2408</v>
      </c>
      <c r="N29" s="58">
        <v>0</v>
      </c>
      <c r="O29" s="58">
        <v>0</v>
      </c>
      <c r="P29" s="58">
        <v>0</v>
      </c>
      <c r="Q29" s="58">
        <v>0</v>
      </c>
      <c r="R29" s="162">
        <v>46331</v>
      </c>
      <c r="S29" s="162">
        <v>46350</v>
      </c>
      <c r="V29" s="58">
        <v>14</v>
      </c>
      <c r="W29" s="58">
        <v>14</v>
      </c>
      <c r="Z29" s="58">
        <v>0</v>
      </c>
      <c r="AA29" s="58">
        <v>0</v>
      </c>
      <c r="AB29" s="58">
        <v>0</v>
      </c>
      <c r="AC29" s="58">
        <v>21</v>
      </c>
      <c r="AD29" s="58">
        <v>53</v>
      </c>
      <c r="AE29" s="58">
        <v>63</v>
      </c>
      <c r="AF29" s="58">
        <v>113</v>
      </c>
      <c r="AJ29" s="58" t="s">
        <v>633</v>
      </c>
      <c r="AK29" s="58" t="s">
        <v>3113</v>
      </c>
      <c r="AL29" s="58" t="s">
        <v>3115</v>
      </c>
      <c r="AM29" s="58" t="s">
        <v>3136</v>
      </c>
      <c r="AR29" s="58">
        <v>0</v>
      </c>
      <c r="AS29" s="58">
        <v>0</v>
      </c>
      <c r="AT29" s="58">
        <v>1</v>
      </c>
      <c r="BA29" s="58">
        <v>44</v>
      </c>
      <c r="BI29" s="58" t="s">
        <v>196</v>
      </c>
      <c r="BN29" s="58">
        <v>16057</v>
      </c>
      <c r="BO29" s="58" t="s">
        <v>3114</v>
      </c>
      <c r="BP29" s="58" t="s">
        <v>3136</v>
      </c>
      <c r="BQ29" s="58" t="s">
        <v>84</v>
      </c>
      <c r="BR29" s="58" t="s">
        <v>84</v>
      </c>
      <c r="BU29" s="58" t="s">
        <v>716</v>
      </c>
      <c r="BV29" s="58" t="s">
        <v>3163</v>
      </c>
      <c r="BZ29" s="58" t="s">
        <v>554</v>
      </c>
      <c r="CA29" s="58" t="s">
        <v>625</v>
      </c>
      <c r="CB29" s="58" t="s">
        <v>196</v>
      </c>
      <c r="CH29" s="58" t="s">
        <v>554</v>
      </c>
    </row>
    <row r="30" spans="1:175" s="58" customFormat="1" ht="18" customHeight="1">
      <c r="A30" s="58">
        <v>27500</v>
      </c>
      <c r="B30" s="58" t="s">
        <v>3094</v>
      </c>
      <c r="C30" s="177" t="s">
        <v>3138</v>
      </c>
      <c r="D30" s="177" t="s">
        <v>84</v>
      </c>
      <c r="E30" s="58" t="s">
        <v>485</v>
      </c>
      <c r="F30" s="58" t="s">
        <v>3139</v>
      </c>
      <c r="G30" s="58">
        <v>239</v>
      </c>
      <c r="H30" s="58">
        <v>257</v>
      </c>
      <c r="J30" s="58">
        <v>0</v>
      </c>
      <c r="M30" s="58" t="s">
        <v>2408</v>
      </c>
      <c r="N30" s="58">
        <v>0</v>
      </c>
      <c r="O30" s="58">
        <v>0</v>
      </c>
      <c r="P30" s="58">
        <v>0</v>
      </c>
      <c r="Q30" s="58">
        <v>0</v>
      </c>
      <c r="R30" s="162">
        <v>46293</v>
      </c>
      <c r="S30" s="162">
        <v>46300</v>
      </c>
      <c r="V30" s="58">
        <v>6</v>
      </c>
      <c r="W30" s="58">
        <v>6</v>
      </c>
      <c r="Z30" s="58">
        <v>0</v>
      </c>
      <c r="AA30" s="58">
        <v>0</v>
      </c>
      <c r="AB30" s="58">
        <v>0</v>
      </c>
      <c r="AC30" s="58">
        <v>22</v>
      </c>
      <c r="AD30" s="58">
        <v>54</v>
      </c>
      <c r="AE30" s="58">
        <v>64</v>
      </c>
      <c r="AF30" s="58">
        <v>114</v>
      </c>
      <c r="AJ30" s="58" t="s">
        <v>633</v>
      </c>
      <c r="AK30" s="58" t="s">
        <v>3105</v>
      </c>
      <c r="AL30" s="58" t="s">
        <v>1685</v>
      </c>
      <c r="AM30" s="58" t="s">
        <v>3138</v>
      </c>
      <c r="AR30" s="58">
        <v>0</v>
      </c>
      <c r="AS30" s="58">
        <v>0</v>
      </c>
      <c r="AT30" s="58">
        <v>1</v>
      </c>
      <c r="BA30" s="58">
        <v>44</v>
      </c>
      <c r="BI30" s="58" t="s">
        <v>196</v>
      </c>
      <c r="BN30" s="58">
        <v>27500</v>
      </c>
      <c r="BO30" s="58" t="s">
        <v>3094</v>
      </c>
      <c r="BP30" s="58" t="s">
        <v>3138</v>
      </c>
      <c r="BQ30" s="58" t="s">
        <v>84</v>
      </c>
      <c r="BR30" s="58" t="s">
        <v>485</v>
      </c>
      <c r="BU30" s="58" t="s">
        <v>716</v>
      </c>
      <c r="BV30" s="58" t="s">
        <v>744</v>
      </c>
      <c r="BZ30" s="58" t="s">
        <v>554</v>
      </c>
      <c r="CA30" s="58" t="s">
        <v>625</v>
      </c>
      <c r="CB30" s="58" t="s">
        <v>196</v>
      </c>
      <c r="CH30" s="58" t="s">
        <v>554</v>
      </c>
    </row>
    <row r="31" spans="1:175" s="58" customFormat="1" ht="18" customHeight="1">
      <c r="A31" s="58">
        <v>2752066</v>
      </c>
      <c r="B31" s="58" t="s">
        <v>3093</v>
      </c>
      <c r="C31" s="177" t="s">
        <v>3140</v>
      </c>
      <c r="D31" s="177" t="s">
        <v>84</v>
      </c>
      <c r="E31" s="58" t="s">
        <v>1206</v>
      </c>
      <c r="F31" s="58" t="s">
        <v>1060</v>
      </c>
      <c r="G31" s="58">
        <v>325</v>
      </c>
      <c r="H31" s="58">
        <v>355</v>
      </c>
      <c r="J31" s="58">
        <v>0</v>
      </c>
      <c r="L31" s="58">
        <v>0</v>
      </c>
      <c r="M31" s="58" t="s">
        <v>2408</v>
      </c>
      <c r="N31" s="58">
        <v>0</v>
      </c>
      <c r="O31" s="58">
        <v>0</v>
      </c>
      <c r="P31" s="58">
        <v>0</v>
      </c>
      <c r="Q31" s="58">
        <v>0</v>
      </c>
      <c r="R31" s="162">
        <v>46293</v>
      </c>
      <c r="S31" s="162">
        <v>46300</v>
      </c>
      <c r="V31" s="58">
        <v>6</v>
      </c>
      <c r="W31" s="58">
        <v>6</v>
      </c>
      <c r="Z31" s="58">
        <v>0</v>
      </c>
      <c r="AA31" s="58">
        <v>0</v>
      </c>
      <c r="AB31" s="58">
        <v>0</v>
      </c>
      <c r="AJ31" s="58" t="s">
        <v>633</v>
      </c>
      <c r="AK31" s="58" t="s">
        <v>3105</v>
      </c>
      <c r="AM31" s="58" t="s">
        <v>3140</v>
      </c>
      <c r="AR31" s="58">
        <v>0</v>
      </c>
      <c r="AS31" s="58">
        <v>0</v>
      </c>
      <c r="AT31" s="58">
        <v>1</v>
      </c>
      <c r="BA31" s="58">
        <v>44</v>
      </c>
      <c r="BI31" s="58" t="s">
        <v>196</v>
      </c>
      <c r="BN31" s="58">
        <v>2752066</v>
      </c>
      <c r="BO31" s="58" t="s">
        <v>3093</v>
      </c>
      <c r="BP31" s="58" t="s">
        <v>3140</v>
      </c>
      <c r="BQ31" s="58" t="s">
        <v>84</v>
      </c>
      <c r="BR31" s="58" t="s">
        <v>1206</v>
      </c>
      <c r="BU31" s="58" t="s">
        <v>716</v>
      </c>
      <c r="BV31" s="58" t="s">
        <v>2409</v>
      </c>
      <c r="BZ31" s="58" t="s">
        <v>554</v>
      </c>
      <c r="CA31" s="58" t="s">
        <v>625</v>
      </c>
      <c r="CB31" s="58" t="s">
        <v>196</v>
      </c>
      <c r="CH31" s="58" t="s">
        <v>554</v>
      </c>
    </row>
    <row r="32" spans="1:175" s="58" customFormat="1" ht="18" customHeight="1">
      <c r="A32" s="58">
        <v>91</v>
      </c>
      <c r="B32" s="58">
        <v>3773</v>
      </c>
      <c r="C32" s="177" t="s">
        <v>2440</v>
      </c>
      <c r="D32" s="177" t="s">
        <v>85</v>
      </c>
      <c r="F32" s="58" t="s">
        <v>1131</v>
      </c>
      <c r="G32" s="58">
        <v>185</v>
      </c>
      <c r="L32" s="58">
        <v>789</v>
      </c>
      <c r="M32" s="58" t="s">
        <v>2439</v>
      </c>
      <c r="N32" s="58">
        <v>20</v>
      </c>
      <c r="O32" s="58">
        <v>0</v>
      </c>
      <c r="P32" s="58">
        <v>20</v>
      </c>
      <c r="Q32" s="58">
        <v>0</v>
      </c>
      <c r="R32" s="162">
        <v>46293</v>
      </c>
      <c r="S32" s="162">
        <v>46305</v>
      </c>
      <c r="V32" s="58">
        <v>10</v>
      </c>
      <c r="W32" s="58">
        <v>10</v>
      </c>
      <c r="Z32" s="58">
        <v>1500</v>
      </c>
      <c r="AA32" s="58">
        <v>0</v>
      </c>
      <c r="AB32" s="58">
        <v>1500</v>
      </c>
      <c r="AC32" s="58">
        <v>8</v>
      </c>
      <c r="AD32" s="58">
        <v>2</v>
      </c>
      <c r="AE32" s="58">
        <v>25</v>
      </c>
      <c r="AF32" s="58">
        <v>75</v>
      </c>
      <c r="AH32" s="58" t="s">
        <v>581</v>
      </c>
      <c r="AJ32" s="58" t="s">
        <v>633</v>
      </c>
      <c r="AK32" s="58" t="s">
        <v>3105</v>
      </c>
      <c r="AL32" s="58" t="s">
        <v>1685</v>
      </c>
      <c r="AM32" s="58" t="s">
        <v>3106</v>
      </c>
      <c r="AN32" s="58" t="s">
        <v>2440</v>
      </c>
      <c r="AR32" s="58">
        <v>0</v>
      </c>
      <c r="AS32" s="58">
        <v>0</v>
      </c>
      <c r="AT32" s="58">
        <v>1</v>
      </c>
      <c r="BA32" s="58">
        <v>44</v>
      </c>
      <c r="BI32" s="58" t="s">
        <v>196</v>
      </c>
      <c r="BN32" s="58">
        <v>91</v>
      </c>
      <c r="BP32" s="58" t="s">
        <v>3164</v>
      </c>
      <c r="BQ32" s="58" t="s">
        <v>85</v>
      </c>
      <c r="BV32" s="58" t="s">
        <v>745</v>
      </c>
      <c r="BX32" s="58">
        <v>0</v>
      </c>
      <c r="BY32" s="58">
        <v>0</v>
      </c>
      <c r="CN32" s="58" t="s">
        <v>358</v>
      </c>
      <c r="DH32" s="58">
        <v>0</v>
      </c>
      <c r="DN32" s="58" t="s">
        <v>2236</v>
      </c>
      <c r="DR32" s="58" t="s">
        <v>2236</v>
      </c>
      <c r="FB32" s="58" t="s">
        <v>587</v>
      </c>
      <c r="FD32" s="58" t="s">
        <v>2198</v>
      </c>
      <c r="FE32" s="58" t="s">
        <v>2170</v>
      </c>
      <c r="FQ32" s="58">
        <v>44</v>
      </c>
      <c r="FS32" s="58" t="s">
        <v>2440</v>
      </c>
    </row>
    <row r="33" spans="1:175" s="58" customFormat="1" ht="18" customHeight="1">
      <c r="A33" s="58">
        <v>92</v>
      </c>
      <c r="B33" s="58">
        <v>16054</v>
      </c>
      <c r="C33" s="177" t="s">
        <v>2444</v>
      </c>
      <c r="D33" s="177" t="s">
        <v>85</v>
      </c>
      <c r="F33" s="58" t="s">
        <v>1126</v>
      </c>
      <c r="G33" s="58">
        <v>191</v>
      </c>
      <c r="L33" s="58">
        <v>773</v>
      </c>
      <c r="M33" s="58" t="s">
        <v>2155</v>
      </c>
      <c r="N33" s="58">
        <v>8</v>
      </c>
      <c r="O33" s="58">
        <v>0</v>
      </c>
      <c r="P33" s="58">
        <v>8</v>
      </c>
      <c r="Q33" s="58">
        <v>0</v>
      </c>
      <c r="R33" s="162">
        <v>46312</v>
      </c>
      <c r="S33" s="162">
        <v>46325</v>
      </c>
      <c r="V33" s="58">
        <v>10</v>
      </c>
      <c r="W33" s="58">
        <v>10</v>
      </c>
      <c r="Z33" s="58">
        <v>800</v>
      </c>
      <c r="AA33" s="58">
        <v>0</v>
      </c>
      <c r="AB33" s="58">
        <v>800</v>
      </c>
      <c r="AC33" s="58">
        <v>8</v>
      </c>
      <c r="AD33" s="58">
        <v>0.8</v>
      </c>
      <c r="AE33" s="58">
        <v>10</v>
      </c>
      <c r="AF33" s="58">
        <v>100</v>
      </c>
      <c r="AH33" s="58" t="s">
        <v>581</v>
      </c>
      <c r="AJ33" s="58" t="s">
        <v>633</v>
      </c>
      <c r="AK33" s="58" t="s">
        <v>3105</v>
      </c>
      <c r="AL33" s="58" t="s">
        <v>1685</v>
      </c>
      <c r="AM33" s="58" t="s">
        <v>3132</v>
      </c>
      <c r="AN33" s="58" t="s">
        <v>2444</v>
      </c>
      <c r="AR33" s="58">
        <v>0</v>
      </c>
      <c r="AS33" s="58">
        <v>0</v>
      </c>
      <c r="AT33" s="58">
        <v>1</v>
      </c>
      <c r="BA33" s="58">
        <v>44</v>
      </c>
      <c r="BI33" s="58" t="s">
        <v>196</v>
      </c>
      <c r="BN33" s="58">
        <v>92</v>
      </c>
      <c r="BP33" s="58" t="s">
        <v>3165</v>
      </c>
      <c r="BQ33" s="58" t="s">
        <v>85</v>
      </c>
      <c r="BV33" s="58" t="s">
        <v>1128</v>
      </c>
      <c r="BX33" s="58">
        <v>0</v>
      </c>
      <c r="BY33" s="58">
        <v>0</v>
      </c>
      <c r="CN33" s="58" t="s">
        <v>358</v>
      </c>
      <c r="DH33" s="58">
        <v>0</v>
      </c>
      <c r="DN33" s="58" t="s">
        <v>2233</v>
      </c>
      <c r="DR33" s="58" t="s">
        <v>2233</v>
      </c>
      <c r="FB33" s="58" t="s">
        <v>586</v>
      </c>
      <c r="FD33" s="58" t="s">
        <v>559</v>
      </c>
      <c r="FE33" s="58" t="s">
        <v>2171</v>
      </c>
      <c r="FQ33" s="58">
        <v>44</v>
      </c>
      <c r="FS33" s="58" t="s">
        <v>2444</v>
      </c>
    </row>
    <row r="34" spans="1:175" s="58" customFormat="1" ht="18" customHeight="1">
      <c r="A34" s="58">
        <v>93</v>
      </c>
      <c r="B34" s="58">
        <v>16055</v>
      </c>
      <c r="C34" s="177" t="s">
        <v>1577</v>
      </c>
      <c r="D34" s="177" t="s">
        <v>85</v>
      </c>
      <c r="F34" s="58" t="s">
        <v>1120</v>
      </c>
      <c r="G34" s="58">
        <v>197</v>
      </c>
      <c r="L34" s="58">
        <v>700</v>
      </c>
      <c r="M34" s="58" t="s">
        <v>816</v>
      </c>
      <c r="N34" s="58">
        <v>36</v>
      </c>
      <c r="O34" s="58">
        <v>0</v>
      </c>
      <c r="P34" s="58">
        <v>36</v>
      </c>
      <c r="Q34" s="58">
        <v>0</v>
      </c>
      <c r="R34" s="162">
        <v>46331</v>
      </c>
      <c r="S34" s="162">
        <v>46343</v>
      </c>
      <c r="V34" s="58">
        <v>9</v>
      </c>
      <c r="W34" s="58">
        <v>9</v>
      </c>
      <c r="Z34" s="58">
        <v>1800</v>
      </c>
      <c r="AA34" s="58">
        <v>0</v>
      </c>
      <c r="AB34" s="58">
        <v>1800</v>
      </c>
      <c r="AC34" s="58">
        <v>8</v>
      </c>
      <c r="AD34" s="58">
        <v>4</v>
      </c>
      <c r="AE34" s="58">
        <v>50</v>
      </c>
      <c r="AF34" s="58">
        <v>50</v>
      </c>
      <c r="AH34" s="58" t="s">
        <v>581</v>
      </c>
      <c r="AJ34" s="58" t="s">
        <v>633</v>
      </c>
      <c r="AK34" s="58" t="s">
        <v>3105</v>
      </c>
      <c r="AL34" s="58" t="s">
        <v>1685</v>
      </c>
      <c r="AM34" s="58" t="s">
        <v>3133</v>
      </c>
      <c r="AN34" s="58" t="s">
        <v>1577</v>
      </c>
      <c r="AR34" s="58">
        <v>0</v>
      </c>
      <c r="AS34" s="58">
        <v>0</v>
      </c>
      <c r="AT34" s="58">
        <v>1</v>
      </c>
      <c r="BA34" s="58">
        <v>44</v>
      </c>
      <c r="BI34" s="58" t="s">
        <v>196</v>
      </c>
      <c r="BN34" s="58">
        <v>93</v>
      </c>
      <c r="BP34" s="58" t="s">
        <v>3166</v>
      </c>
      <c r="BQ34" s="58" t="s">
        <v>85</v>
      </c>
      <c r="BV34" s="58" t="s">
        <v>1123</v>
      </c>
      <c r="BX34" s="58">
        <v>0</v>
      </c>
      <c r="BY34" s="58">
        <v>0</v>
      </c>
      <c r="CN34" s="58" t="s">
        <v>358</v>
      </c>
      <c r="DH34" s="58">
        <v>0</v>
      </c>
      <c r="DN34" s="58" t="s">
        <v>2233</v>
      </c>
      <c r="DR34" s="58" t="s">
        <v>2233</v>
      </c>
      <c r="FB34" s="58" t="s">
        <v>584</v>
      </c>
      <c r="FD34" s="58" t="s">
        <v>2224</v>
      </c>
      <c r="FE34" s="58" t="s">
        <v>483</v>
      </c>
      <c r="FQ34" s="58">
        <v>44</v>
      </c>
      <c r="FS34" s="58" t="s">
        <v>1577</v>
      </c>
    </row>
    <row r="35" spans="1:175" s="58" customFormat="1" ht="18" customHeight="1"/>
    <row r="36" spans="1:175" s="58" customFormat="1" ht="18" customHeight="1"/>
    <row r="37" spans="1:175" s="58" customFormat="1" ht="18" customHeight="1"/>
    <row r="38" spans="1:175" s="58" customFormat="1" ht="18" customHeight="1"/>
    <row r="39" spans="1:175" s="58" customFormat="1" ht="18" customHeight="1"/>
    <row r="40" spans="1:175" s="58" customFormat="1" ht="18" customHeight="1"/>
    <row r="41" spans="1:175" s="58" customFormat="1" ht="18" customHeight="1"/>
    <row r="42" spans="1:175" s="58" customFormat="1" ht="18" customHeight="1"/>
    <row r="43" spans="1:175" s="58" customFormat="1" ht="18" customHeight="1"/>
    <row r="44" spans="1:175" s="58" customFormat="1" ht="18" customHeight="1"/>
    <row r="45" spans="1:175" s="58" customFormat="1" ht="18" customHeight="1"/>
    <row r="46" spans="1:175" s="58" customFormat="1" ht="18" customHeight="1"/>
    <row r="47" spans="1:175" s="58" customFormat="1" ht="18" customHeight="1"/>
    <row r="48" spans="1:175" s="58" customFormat="1" ht="18" customHeight="1"/>
    <row r="49" s="58" customFormat="1" ht="18" customHeight="1"/>
    <row r="50" s="58" customFormat="1" ht="18" customHeight="1"/>
    <row r="51" s="58" customFormat="1" ht="18" customHeight="1"/>
    <row r="52" s="58" customFormat="1" ht="18" customHeight="1"/>
    <row r="53" s="58" customFormat="1" ht="18" customHeight="1"/>
    <row r="54" s="58" customFormat="1" ht="18" customHeight="1"/>
    <row r="55" s="58" customFormat="1" ht="18" customHeight="1"/>
    <row r="56" s="58" customFormat="1" ht="18" customHeight="1"/>
    <row r="57" s="58" customFormat="1" ht="18" customHeight="1"/>
    <row r="58" s="58" customFormat="1" ht="18" customHeight="1"/>
    <row r="59" s="58" customFormat="1" ht="18" customHeight="1"/>
    <row r="60" s="58" customFormat="1" ht="18" customHeight="1"/>
    <row r="61" s="58" customFormat="1" ht="18" customHeight="1"/>
    <row r="62" s="58" customFormat="1" ht="18" customHeight="1"/>
    <row r="63" s="58" customFormat="1" ht="18" customHeight="1"/>
    <row r="64" s="58" customFormat="1" ht="18" customHeight="1"/>
    <row r="65" s="58" customFormat="1" ht="18" customHeight="1"/>
    <row r="66" s="58" customFormat="1" ht="18" customHeight="1"/>
    <row r="67" s="58" customFormat="1" ht="18" customHeight="1"/>
    <row r="68" s="58" customFormat="1" ht="18" customHeight="1"/>
    <row r="69" s="58" customFormat="1" ht="18" customHeight="1"/>
    <row r="70" s="58" customFormat="1" ht="18" customHeight="1"/>
    <row r="71" s="58" customFormat="1" ht="18" customHeight="1"/>
    <row r="72" s="58" customFormat="1" ht="18" customHeight="1"/>
    <row r="73" s="58" customFormat="1" ht="18" customHeight="1"/>
    <row r="74" s="58" customFormat="1" ht="18" customHeight="1"/>
    <row r="75" s="58" customFormat="1" ht="18" customHeight="1"/>
    <row r="76" s="58" customFormat="1" ht="18" customHeight="1"/>
    <row r="77" s="58" customFormat="1" ht="18" customHeight="1"/>
    <row r="78" s="58" customFormat="1" ht="18" customHeight="1"/>
    <row r="79" s="58" customFormat="1" ht="18" customHeight="1"/>
    <row r="80" s="58" customFormat="1" ht="18" customHeight="1"/>
    <row r="81" s="58" customFormat="1" ht="18" customHeight="1"/>
    <row r="82" s="58" customFormat="1" ht="18" customHeight="1"/>
    <row r="83" s="58" customFormat="1" ht="18" customHeight="1"/>
    <row r="84" s="58" customFormat="1" ht="18" customHeight="1"/>
    <row r="85" s="58" customFormat="1" ht="18" customHeight="1"/>
    <row r="86" s="58" customFormat="1" ht="18" customHeight="1"/>
    <row r="87" s="58" customFormat="1" ht="18" customHeight="1"/>
    <row r="88" s="58" customFormat="1" ht="18" customHeight="1"/>
    <row r="89" s="58" customFormat="1" ht="18" customHeight="1"/>
    <row r="90" s="58" customFormat="1" ht="18" customHeight="1"/>
    <row r="91" s="58" customFormat="1" ht="18" customHeight="1"/>
    <row r="92" s="58" customFormat="1" ht="18" customHeight="1"/>
    <row r="93" s="58" customFormat="1" ht="18" customHeight="1"/>
    <row r="94" s="58" customFormat="1" ht="18" customHeight="1"/>
    <row r="95" s="58" customFormat="1" ht="18" customHeight="1"/>
    <row r="96" s="58" customFormat="1" ht="18" customHeight="1"/>
    <row r="97" s="58" customFormat="1" ht="18" customHeight="1"/>
    <row r="98" s="58" customFormat="1" ht="18" customHeight="1"/>
    <row r="99" s="58" customFormat="1" ht="18" customHeight="1"/>
    <row r="100" s="58" customFormat="1" ht="18" customHeight="1"/>
    <row r="101" s="58" customFormat="1" ht="18" customHeight="1"/>
    <row r="102" s="58" customFormat="1" ht="18" customHeight="1"/>
    <row r="103" s="58" customFormat="1" ht="18" customHeight="1"/>
    <row r="104" s="58" customFormat="1" ht="18" customHeight="1"/>
    <row r="105" s="58" customFormat="1" ht="18" customHeight="1"/>
    <row r="106" s="58" customFormat="1" ht="18" customHeight="1"/>
    <row r="107" s="58" customFormat="1" ht="18" customHeight="1"/>
    <row r="108" s="58" customFormat="1" ht="18" customHeight="1"/>
    <row r="109" s="58" customFormat="1" ht="18" customHeight="1"/>
    <row r="110" s="58" customFormat="1" ht="18" customHeight="1"/>
    <row r="111" s="58" customFormat="1" ht="18" customHeight="1"/>
    <row r="112" s="58" customFormat="1" ht="18" customHeight="1"/>
    <row r="113" s="58" customFormat="1" ht="18" customHeight="1"/>
    <row r="114" s="58" customFormat="1" ht="18" customHeight="1"/>
    <row r="115" s="58" customFormat="1" ht="18" customHeight="1"/>
    <row r="116" s="58" customFormat="1" ht="18" customHeight="1"/>
    <row r="117" s="58" customFormat="1" ht="18" customHeight="1"/>
    <row r="118" s="58" customFormat="1" ht="18" customHeight="1"/>
    <row r="119" s="58" customFormat="1" ht="18" customHeight="1"/>
    <row r="120" s="58" customFormat="1" ht="18" customHeight="1"/>
    <row r="121" s="58" customFormat="1" ht="18" customHeight="1"/>
    <row r="122" s="58" customFormat="1" ht="18" customHeight="1"/>
    <row r="123" s="58" customFormat="1" ht="18" customHeight="1"/>
    <row r="124" s="58" customFormat="1" ht="18" customHeight="1"/>
    <row r="125" s="58" customFormat="1" ht="18" customHeight="1"/>
    <row r="126" s="58" customFormat="1" ht="18" customHeight="1"/>
    <row r="127" s="58" customFormat="1" ht="18" customHeight="1"/>
    <row r="128" s="58" customFormat="1" ht="18" customHeight="1"/>
    <row r="129" s="58" customFormat="1" ht="18" customHeight="1"/>
    <row r="130" s="58" customFormat="1" ht="18" customHeight="1"/>
    <row r="131" s="58" customFormat="1" ht="18" customHeight="1"/>
    <row r="132" s="58" customFormat="1" ht="18" customHeight="1"/>
    <row r="133" s="58" customFormat="1" ht="18" customHeight="1"/>
    <row r="134" customFormat="1" ht="17.350000000000001" customHeight="1"/>
    <row r="135" customFormat="1" ht="17.350000000000001" customHeight="1"/>
    <row r="136" customFormat="1" ht="17.350000000000001" customHeight="1"/>
    <row r="137" customFormat="1" ht="17.350000000000001" customHeight="1"/>
    <row r="138" customFormat="1" ht="17.350000000000001" customHeight="1"/>
    <row r="139" customFormat="1" ht="17.350000000000001" customHeight="1"/>
  </sheetData>
  <autoFilter ref="A3:KX3" xr:uid="{B3A21088-E18C-41F7-92B8-F8633A7B2F94}"/>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CF1D0-D24A-4821-B5BD-796C5DD60FD1}">
  <sheetPr codeName="ChartsSht">
    <tabColor theme="9"/>
  </sheetPr>
  <dimension ref="A1:L5"/>
  <sheetViews>
    <sheetView workbookViewId="0">
      <pane ySplit="3" topLeftCell="A4" activePane="bottomLeft" state="frozen"/>
      <selection pane="bottomLeft" activeCell="E13" sqref="E13"/>
    </sheetView>
  </sheetViews>
  <sheetFormatPr defaultColWidth="8.6640625" defaultRowHeight="13.5"/>
  <cols>
    <col min="1" max="1" width="12.53125" style="9" customWidth="1"/>
    <col min="2" max="2" width="15.1328125" style="9" customWidth="1"/>
    <col min="3" max="3" width="17.53125" style="9" customWidth="1"/>
    <col min="4" max="4" width="15.33203125" style="9" customWidth="1"/>
    <col min="5" max="5" width="40.1328125" style="9" customWidth="1"/>
    <col min="6" max="7" width="24.53125" style="9" customWidth="1"/>
    <col min="8" max="10" width="8.33203125" style="9" customWidth="1"/>
    <col min="11" max="11" width="8.53125" style="9" customWidth="1"/>
    <col min="12" max="12" width="10.86328125" style="9" customWidth="1"/>
    <col min="13" max="16384" width="8.6640625" style="9"/>
  </cols>
  <sheetData>
    <row r="1" spans="1:12" ht="16.5" customHeight="1">
      <c r="A1" s="76" t="s">
        <v>428</v>
      </c>
      <c r="B1" s="70" t="s">
        <v>429</v>
      </c>
      <c r="C1" s="70" t="s">
        <v>430</v>
      </c>
      <c r="D1" s="70" t="s">
        <v>431</v>
      </c>
      <c r="E1" s="70" t="s">
        <v>432</v>
      </c>
      <c r="F1" s="70" t="s">
        <v>433</v>
      </c>
      <c r="G1" s="70" t="s">
        <v>434</v>
      </c>
      <c r="H1" s="70" t="s">
        <v>435</v>
      </c>
      <c r="I1" s="70" t="s">
        <v>436</v>
      </c>
      <c r="J1" s="70" t="s">
        <v>437</v>
      </c>
      <c r="K1" s="70" t="s">
        <v>438</v>
      </c>
      <c r="L1" s="70" t="s">
        <v>439</v>
      </c>
    </row>
    <row r="2" spans="1:12" ht="27" customHeight="1">
      <c r="A2" s="94" t="s">
        <v>1501</v>
      </c>
      <c r="B2" s="69"/>
      <c r="C2" s="69"/>
      <c r="D2" s="69"/>
      <c r="E2" s="69"/>
      <c r="F2" s="69" t="s">
        <v>2425</v>
      </c>
      <c r="G2" s="69"/>
      <c r="H2" s="69"/>
      <c r="I2" s="69"/>
      <c r="J2" s="69"/>
      <c r="K2" s="69"/>
      <c r="L2" s="69"/>
    </row>
    <row r="3" spans="1:12" ht="23.25">
      <c r="A3" s="71" t="s">
        <v>428</v>
      </c>
      <c r="B3" s="71" t="s">
        <v>429</v>
      </c>
      <c r="C3" s="71" t="s">
        <v>430</v>
      </c>
      <c r="D3" s="71" t="s">
        <v>431</v>
      </c>
      <c r="E3" s="71" t="s">
        <v>432</v>
      </c>
      <c r="F3" s="71" t="s">
        <v>433</v>
      </c>
      <c r="G3" s="71" t="s">
        <v>434</v>
      </c>
      <c r="H3" s="71" t="s">
        <v>435</v>
      </c>
      <c r="I3" s="71" t="s">
        <v>436</v>
      </c>
      <c r="J3" s="71" t="s">
        <v>437</v>
      </c>
      <c r="K3" s="71" t="s">
        <v>438</v>
      </c>
      <c r="L3" s="71" t="s">
        <v>439</v>
      </c>
    </row>
    <row r="4" spans="1:12" s="62" customFormat="1" ht="18" customHeight="1">
      <c r="A4" s="62">
        <v>1</v>
      </c>
      <c r="B4" s="62">
        <v>2</v>
      </c>
      <c r="C4" s="62" t="s">
        <v>2432</v>
      </c>
      <c r="D4" s="62" t="s">
        <v>2433</v>
      </c>
      <c r="E4" s="62" t="s">
        <v>2434</v>
      </c>
      <c r="F4" s="62" t="s">
        <v>2435</v>
      </c>
      <c r="G4" s="62" t="s">
        <v>2436</v>
      </c>
      <c r="L4" s="62">
        <v>44</v>
      </c>
    </row>
    <row r="5" spans="1:12" s="62" customFormat="1" ht="18" customHeight="1"/>
  </sheetData>
  <autoFilter ref="A3:L3" xr:uid="{A14CF1D0-D24A-4821-B5BD-796C5DD60FD1}"/>
  <pageMargins left="0" right="0" top="0.39370000000000011" bottom="0.39370000000000011" header="0" footer="0"/>
  <pageSetup paperSize="0" fitToWidth="0" fitToHeight="0" pageOrder="overThenDown" horizontalDpi="0" verticalDpi="0" copies="0"/>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93BB4-E45A-4671-A66E-42AE28C68FC3}">
  <sheetPr codeName="ResourcesSht"/>
  <dimension ref="A1:CK77"/>
  <sheetViews>
    <sheetView workbookViewId="0">
      <pane ySplit="3" topLeftCell="A4" activePane="bottomLeft" state="frozen"/>
      <selection pane="bottomLeft" activeCell="B4" sqref="B4"/>
    </sheetView>
  </sheetViews>
  <sheetFormatPr defaultRowHeight="14.25"/>
  <cols>
    <col min="1" max="1" width="5.59765625" style="61" customWidth="1"/>
    <col min="2" max="2" width="6.59765625" style="61" customWidth="1"/>
    <col min="3" max="3" width="5.59765625" style="61" customWidth="1"/>
    <col min="4" max="4" width="9.59765625" style="126" customWidth="1"/>
    <col min="5" max="5" width="8.59765625" style="61" customWidth="1"/>
    <col min="6" max="7" width="20.59765625" style="59" customWidth="1"/>
    <col min="8" max="9" width="15.59765625" style="59" customWidth="1"/>
    <col min="10" max="10" width="21.46484375" style="59" customWidth="1"/>
    <col min="11" max="11" width="20.59765625" style="59" customWidth="1"/>
    <col min="12" max="12" width="10.59765625" style="59" customWidth="1"/>
    <col min="13" max="13" width="10.59765625" style="126" customWidth="1"/>
    <col min="14" max="14" width="30.59765625" style="59" customWidth="1"/>
    <col min="15" max="15" width="14.265625" style="65" customWidth="1"/>
    <col min="16" max="16" width="14.59765625" style="65" customWidth="1"/>
    <col min="17" max="40" width="9.59765625" style="24" customWidth="1"/>
    <col min="41" max="45" width="15.59765625" style="59" customWidth="1"/>
    <col min="46" max="69" width="10.59765625" style="59" customWidth="1"/>
    <col min="70" max="70" width="12.59765625" style="65" customWidth="1"/>
    <col min="71" max="83" width="10.59765625" style="59" customWidth="1"/>
    <col min="84" max="86" width="12.59765625" style="65" customWidth="1"/>
    <col min="87" max="87" width="10.59765625" style="59" customWidth="1"/>
    <col min="88" max="88" width="12.59765625" style="65" customWidth="1"/>
    <col min="89" max="89" width="10.59765625" style="59" customWidth="1"/>
  </cols>
  <sheetData>
    <row r="1" spans="1:89" ht="17.100000000000001" customHeight="1">
      <c r="A1" s="114" t="s">
        <v>67</v>
      </c>
      <c r="B1" s="114" t="s">
        <v>545</v>
      </c>
      <c r="C1" s="114" t="s">
        <v>517</v>
      </c>
      <c r="D1" s="148" t="s">
        <v>986</v>
      </c>
      <c r="E1" s="114" t="s">
        <v>535</v>
      </c>
      <c r="F1" s="60" t="s">
        <v>529</v>
      </c>
      <c r="G1" s="60" t="s">
        <v>532</v>
      </c>
      <c r="H1" s="60" t="s">
        <v>530</v>
      </c>
      <c r="I1" s="60" t="s">
        <v>549</v>
      </c>
      <c r="J1" s="60" t="s">
        <v>536</v>
      </c>
      <c r="K1" s="60" t="s">
        <v>531</v>
      </c>
      <c r="L1" s="60" t="s">
        <v>548</v>
      </c>
      <c r="M1" s="148" t="s">
        <v>543</v>
      </c>
      <c r="N1" s="60" t="s">
        <v>1547</v>
      </c>
      <c r="O1" s="124" t="s">
        <v>1548</v>
      </c>
      <c r="P1" s="124" t="s">
        <v>1549</v>
      </c>
      <c r="Q1" s="123" t="s">
        <v>1552</v>
      </c>
      <c r="R1" s="123" t="s">
        <v>1553</v>
      </c>
      <c r="S1" s="123" t="s">
        <v>1554</v>
      </c>
      <c r="T1" s="123" t="s">
        <v>1555</v>
      </c>
      <c r="U1" s="123" t="s">
        <v>1556</v>
      </c>
      <c r="V1" s="123" t="s">
        <v>1557</v>
      </c>
      <c r="W1" s="123" t="s">
        <v>1558</v>
      </c>
      <c r="X1" s="123" t="s">
        <v>1559</v>
      </c>
      <c r="Y1" s="123" t="s">
        <v>1560</v>
      </c>
      <c r="Z1" s="123" t="s">
        <v>1561</v>
      </c>
      <c r="AA1" s="123" t="s">
        <v>1562</v>
      </c>
      <c r="AB1" s="123" t="s">
        <v>1563</v>
      </c>
      <c r="AC1" s="123" t="s">
        <v>1564</v>
      </c>
      <c r="AD1" s="123" t="s">
        <v>1565</v>
      </c>
      <c r="AE1" s="123" t="s">
        <v>1566</v>
      </c>
      <c r="AF1" s="123" t="s">
        <v>1567</v>
      </c>
      <c r="AG1" s="123" t="s">
        <v>1568</v>
      </c>
      <c r="AH1" s="123" t="s">
        <v>1569</v>
      </c>
      <c r="AI1" s="123" t="s">
        <v>1570</v>
      </c>
      <c r="AJ1" s="123" t="s">
        <v>1571</v>
      </c>
      <c r="AK1" s="123" t="s">
        <v>1572</v>
      </c>
      <c r="AL1" s="123" t="s">
        <v>1573</v>
      </c>
      <c r="AM1" s="123" t="s">
        <v>1574</v>
      </c>
      <c r="AN1" s="123" t="s">
        <v>1575</v>
      </c>
      <c r="AO1" s="60" t="s">
        <v>533</v>
      </c>
      <c r="AP1" s="60" t="s">
        <v>534</v>
      </c>
      <c r="AQ1" s="60" t="s">
        <v>537</v>
      </c>
      <c r="AR1" s="60" t="s">
        <v>538</v>
      </c>
      <c r="AS1" s="60" t="s">
        <v>539</v>
      </c>
      <c r="AT1" s="60" t="s">
        <v>540</v>
      </c>
      <c r="AU1" s="60" t="s">
        <v>541</v>
      </c>
      <c r="AV1" s="60" t="s">
        <v>542</v>
      </c>
      <c r="AW1" s="60" t="s">
        <v>518</v>
      </c>
      <c r="AX1" s="60" t="s">
        <v>544</v>
      </c>
      <c r="AY1" s="60" t="s">
        <v>546</v>
      </c>
      <c r="AZ1" s="60" t="s">
        <v>551</v>
      </c>
      <c r="BA1" s="60" t="s">
        <v>984</v>
      </c>
      <c r="BB1" s="60" t="s">
        <v>983</v>
      </c>
      <c r="BC1" s="60" t="s">
        <v>982</v>
      </c>
      <c r="BD1" s="60" t="s">
        <v>981</v>
      </c>
      <c r="BE1" s="60" t="s">
        <v>980</v>
      </c>
      <c r="BF1" s="60" t="s">
        <v>979</v>
      </c>
      <c r="BG1" s="60" t="s">
        <v>978</v>
      </c>
      <c r="BH1" s="60" t="s">
        <v>977</v>
      </c>
      <c r="BI1" s="60" t="s">
        <v>976</v>
      </c>
      <c r="BJ1" s="60" t="s">
        <v>975</v>
      </c>
      <c r="BK1" s="60" t="s">
        <v>974</v>
      </c>
      <c r="BL1" s="60" t="s">
        <v>973</v>
      </c>
      <c r="BM1" s="60" t="s">
        <v>972</v>
      </c>
      <c r="BN1" s="60" t="s">
        <v>971</v>
      </c>
      <c r="BO1" s="60" t="s">
        <v>970</v>
      </c>
      <c r="BP1" s="60" t="s">
        <v>969</v>
      </c>
      <c r="BQ1" s="60" t="s">
        <v>968</v>
      </c>
      <c r="BR1" s="124" t="s">
        <v>967</v>
      </c>
      <c r="BS1" s="60" t="s">
        <v>966</v>
      </c>
      <c r="BT1" s="60" t="s">
        <v>965</v>
      </c>
      <c r="BU1" s="60" t="s">
        <v>964</v>
      </c>
      <c r="BV1" s="60" t="s">
        <v>963</v>
      </c>
      <c r="BW1" s="60" t="s">
        <v>962</v>
      </c>
      <c r="BX1" s="60" t="s">
        <v>961</v>
      </c>
      <c r="BY1" s="60" t="s">
        <v>960</v>
      </c>
      <c r="BZ1" s="60" t="s">
        <v>959</v>
      </c>
      <c r="CA1" s="60" t="s">
        <v>958</v>
      </c>
      <c r="CB1" s="60" t="s">
        <v>957</v>
      </c>
      <c r="CC1" s="60" t="s">
        <v>956</v>
      </c>
      <c r="CD1" s="60" t="s">
        <v>955</v>
      </c>
      <c r="CE1" s="60" t="s">
        <v>954</v>
      </c>
      <c r="CF1" s="124" t="s">
        <v>953</v>
      </c>
      <c r="CG1" s="124" t="s">
        <v>952</v>
      </c>
      <c r="CH1" s="124" t="s">
        <v>951</v>
      </c>
      <c r="CI1" s="60" t="s">
        <v>950</v>
      </c>
      <c r="CJ1" s="124" t="s">
        <v>547</v>
      </c>
      <c r="CK1" s="60" t="s">
        <v>550</v>
      </c>
    </row>
    <row r="2" spans="1:89" ht="48.6" customHeight="1">
      <c r="A2" s="122" t="s">
        <v>1701</v>
      </c>
      <c r="G2" s="59" t="s">
        <v>612</v>
      </c>
      <c r="K2" s="59" t="s">
        <v>615</v>
      </c>
      <c r="L2" s="59" t="s">
        <v>580</v>
      </c>
      <c r="N2" s="115" t="s">
        <v>1585</v>
      </c>
      <c r="O2" s="128" t="s">
        <v>1584</v>
      </c>
      <c r="P2" s="128" t="s">
        <v>1584</v>
      </c>
      <c r="AO2" s="59" t="s">
        <v>659</v>
      </c>
      <c r="AP2" s="59" t="s">
        <v>588</v>
      </c>
      <c r="AQ2" s="59" t="s">
        <v>8</v>
      </c>
      <c r="AR2" s="59" t="s">
        <v>702</v>
      </c>
      <c r="AS2" s="59" t="s">
        <v>696</v>
      </c>
      <c r="AT2" s="59" t="s">
        <v>595</v>
      </c>
      <c r="AU2" s="59" t="s">
        <v>663</v>
      </c>
      <c r="AV2" s="59" t="s">
        <v>653</v>
      </c>
    </row>
    <row r="3" spans="1:89" ht="36.75" customHeight="1">
      <c r="A3" s="113" t="s">
        <v>446</v>
      </c>
      <c r="B3" s="113" t="s">
        <v>1182</v>
      </c>
      <c r="C3" s="113" t="s">
        <v>364</v>
      </c>
      <c r="D3" s="149" t="s">
        <v>1183</v>
      </c>
      <c r="E3" s="113" t="s">
        <v>443</v>
      </c>
      <c r="F3" s="78" t="s">
        <v>2</v>
      </c>
      <c r="G3" s="78" t="s">
        <v>1181</v>
      </c>
      <c r="H3" s="78" t="s">
        <v>454</v>
      </c>
      <c r="I3" s="78" t="s">
        <v>1178</v>
      </c>
      <c r="J3" s="78" t="s">
        <v>1175</v>
      </c>
      <c r="K3" s="78" t="s">
        <v>1180</v>
      </c>
      <c r="L3" s="78" t="s">
        <v>580</v>
      </c>
      <c r="M3" s="149" t="s">
        <v>1179</v>
      </c>
      <c r="N3" s="78" t="s">
        <v>1576</v>
      </c>
      <c r="O3" s="150" t="s">
        <v>1550</v>
      </c>
      <c r="P3" s="150" t="s">
        <v>1551</v>
      </c>
      <c r="Q3" s="151">
        <f>DATE(2026,8,1)</f>
        <v>46235</v>
      </c>
      <c r="R3" s="151">
        <f>EDATE(Q3,1)</f>
        <v>46266</v>
      </c>
      <c r="S3" s="151">
        <f t="shared" ref="S3:AN3" si="0">EDATE(R3,1)</f>
        <v>46296</v>
      </c>
      <c r="T3" s="151">
        <f t="shared" si="0"/>
        <v>46327</v>
      </c>
      <c r="U3" s="151">
        <f t="shared" si="0"/>
        <v>46357</v>
      </c>
      <c r="V3" s="151">
        <f t="shared" si="0"/>
        <v>46388</v>
      </c>
      <c r="W3" s="151">
        <f t="shared" si="0"/>
        <v>46419</v>
      </c>
      <c r="X3" s="151">
        <f t="shared" si="0"/>
        <v>46447</v>
      </c>
      <c r="Y3" s="151">
        <f t="shared" si="0"/>
        <v>46478</v>
      </c>
      <c r="Z3" s="151">
        <f t="shared" si="0"/>
        <v>46508</v>
      </c>
      <c r="AA3" s="151">
        <f t="shared" si="0"/>
        <v>46539</v>
      </c>
      <c r="AB3" s="151">
        <f t="shared" si="0"/>
        <v>46569</v>
      </c>
      <c r="AC3" s="151">
        <f t="shared" si="0"/>
        <v>46600</v>
      </c>
      <c r="AD3" s="151">
        <f t="shared" si="0"/>
        <v>46631</v>
      </c>
      <c r="AE3" s="151">
        <f t="shared" si="0"/>
        <v>46661</v>
      </c>
      <c r="AF3" s="151">
        <f t="shared" si="0"/>
        <v>46692</v>
      </c>
      <c r="AG3" s="151">
        <f t="shared" si="0"/>
        <v>46722</v>
      </c>
      <c r="AH3" s="151">
        <f t="shared" si="0"/>
        <v>46753</v>
      </c>
      <c r="AI3" s="151">
        <f t="shared" si="0"/>
        <v>46784</v>
      </c>
      <c r="AJ3" s="151">
        <f t="shared" si="0"/>
        <v>46813</v>
      </c>
      <c r="AK3" s="151">
        <f t="shared" si="0"/>
        <v>46844</v>
      </c>
      <c r="AL3" s="151">
        <f t="shared" si="0"/>
        <v>46874</v>
      </c>
      <c r="AM3" s="151">
        <f t="shared" si="0"/>
        <v>46905</v>
      </c>
      <c r="AN3" s="151">
        <f t="shared" si="0"/>
        <v>46935</v>
      </c>
      <c r="AO3" s="78" t="s">
        <v>1177</v>
      </c>
      <c r="AP3" s="78" t="s">
        <v>1176</v>
      </c>
      <c r="AQ3" s="78" t="s">
        <v>1174</v>
      </c>
      <c r="AR3" s="78" t="s">
        <v>702</v>
      </c>
      <c r="AS3" s="78" t="s">
        <v>1173</v>
      </c>
      <c r="AT3" s="78" t="s">
        <v>864</v>
      </c>
      <c r="AU3" s="78" t="s">
        <v>1172</v>
      </c>
      <c r="AV3" s="78" t="s">
        <v>1171</v>
      </c>
      <c r="AW3" s="78" t="s">
        <v>355</v>
      </c>
      <c r="AX3" s="78" t="s">
        <v>447</v>
      </c>
      <c r="AY3" s="78" t="s">
        <v>800</v>
      </c>
      <c r="AZ3" s="78" t="s">
        <v>1170</v>
      </c>
      <c r="BA3" s="78" t="s">
        <v>984</v>
      </c>
      <c r="BB3" s="78" t="s">
        <v>983</v>
      </c>
      <c r="BC3" s="78" t="s">
        <v>982</v>
      </c>
      <c r="BD3" s="78" t="s">
        <v>981</v>
      </c>
      <c r="BE3" s="78" t="s">
        <v>980</v>
      </c>
      <c r="BF3" s="78" t="s">
        <v>979</v>
      </c>
      <c r="BG3" s="78" t="s">
        <v>978</v>
      </c>
      <c r="BH3" s="78" t="s">
        <v>977</v>
      </c>
      <c r="BI3" s="78" t="s">
        <v>976</v>
      </c>
      <c r="BJ3" s="78" t="s">
        <v>975</v>
      </c>
      <c r="BK3" s="78" t="s">
        <v>974</v>
      </c>
      <c r="BL3" s="78" t="s">
        <v>973</v>
      </c>
      <c r="BM3" s="78" t="s">
        <v>972</v>
      </c>
      <c r="BN3" s="78" t="s">
        <v>971</v>
      </c>
      <c r="BO3" s="78" t="s">
        <v>970</v>
      </c>
      <c r="BP3" s="78" t="s">
        <v>969</v>
      </c>
      <c r="BQ3" s="78" t="s">
        <v>968</v>
      </c>
      <c r="BR3" s="117" t="s">
        <v>967</v>
      </c>
      <c r="BS3" s="78" t="s">
        <v>966</v>
      </c>
      <c r="BT3" s="78" t="s">
        <v>965</v>
      </c>
      <c r="BU3" s="78" t="s">
        <v>964</v>
      </c>
      <c r="BV3" s="78" t="s">
        <v>963</v>
      </c>
      <c r="BW3" s="78" t="s">
        <v>962</v>
      </c>
      <c r="BX3" s="78" t="s">
        <v>961</v>
      </c>
      <c r="BY3" s="78" t="s">
        <v>960</v>
      </c>
      <c r="BZ3" s="78" t="s">
        <v>959</v>
      </c>
      <c r="CA3" s="78" t="s">
        <v>958</v>
      </c>
      <c r="CB3" s="78" t="s">
        <v>957</v>
      </c>
      <c r="CC3" s="78" t="s">
        <v>956</v>
      </c>
      <c r="CD3" s="78" t="s">
        <v>955</v>
      </c>
      <c r="CE3" s="78" t="s">
        <v>954</v>
      </c>
      <c r="CF3" s="117" t="s">
        <v>953</v>
      </c>
      <c r="CG3" s="117" t="s">
        <v>952</v>
      </c>
      <c r="CH3" s="117" t="s">
        <v>951</v>
      </c>
      <c r="CI3" s="78" t="s">
        <v>950</v>
      </c>
      <c r="CJ3" s="117" t="s">
        <v>547</v>
      </c>
      <c r="CK3" s="78" t="s">
        <v>550</v>
      </c>
    </row>
    <row r="4" spans="1:89" s="58" customFormat="1" ht="18" customHeight="1">
      <c r="A4" s="58">
        <v>830</v>
      </c>
      <c r="C4" s="58">
        <v>8</v>
      </c>
      <c r="D4" s="58">
        <v>1</v>
      </c>
      <c r="E4" s="58">
        <v>100</v>
      </c>
      <c r="F4" s="58" t="s">
        <v>2164</v>
      </c>
      <c r="G4" s="58" t="s">
        <v>2164</v>
      </c>
      <c r="H4" s="58" t="s">
        <v>2437</v>
      </c>
      <c r="J4" s="58" t="s">
        <v>2146</v>
      </c>
      <c r="K4" s="58" t="s">
        <v>838</v>
      </c>
      <c r="L4" s="58" t="s">
        <v>582</v>
      </c>
      <c r="M4" s="58">
        <v>10</v>
      </c>
      <c r="Q4" s="58">
        <v>1</v>
      </c>
      <c r="R4" s="58">
        <v>1</v>
      </c>
      <c r="S4" s="58">
        <v>1</v>
      </c>
      <c r="T4" s="58">
        <v>1</v>
      </c>
      <c r="U4" s="58">
        <v>1</v>
      </c>
      <c r="V4" s="58">
        <v>1</v>
      </c>
      <c r="W4" s="58">
        <v>1</v>
      </c>
      <c r="X4" s="58">
        <v>1</v>
      </c>
      <c r="Y4" s="58">
        <v>1</v>
      </c>
      <c r="Z4" s="58">
        <v>1</v>
      </c>
      <c r="AA4" s="58">
        <v>1</v>
      </c>
      <c r="AB4" s="58">
        <v>1</v>
      </c>
      <c r="AC4" s="58">
        <v>1</v>
      </c>
      <c r="AD4" s="58">
        <v>1</v>
      </c>
      <c r="AE4" s="58">
        <v>1</v>
      </c>
      <c r="AF4" s="58">
        <v>1</v>
      </c>
      <c r="AG4" s="58">
        <v>1</v>
      </c>
      <c r="AH4" s="58">
        <v>1</v>
      </c>
      <c r="AI4" s="58">
        <v>1</v>
      </c>
      <c r="AJ4" s="58">
        <v>1</v>
      </c>
      <c r="AK4" s="58">
        <v>1</v>
      </c>
      <c r="AL4" s="58">
        <v>1</v>
      </c>
      <c r="AM4" s="58">
        <v>1</v>
      </c>
      <c r="AN4" s="58">
        <v>1</v>
      </c>
      <c r="AU4" s="58" t="s">
        <v>664</v>
      </c>
      <c r="AW4" s="58" t="s">
        <v>1165</v>
      </c>
      <c r="AX4" s="58">
        <v>45</v>
      </c>
      <c r="AY4" s="58">
        <v>52</v>
      </c>
      <c r="AZ4" s="58">
        <v>111111</v>
      </c>
    </row>
    <row r="5" spans="1:89" s="58" customFormat="1" ht="18" customHeight="1">
      <c r="A5" s="58">
        <v>805</v>
      </c>
      <c r="C5" s="58">
        <v>8</v>
      </c>
      <c r="D5" s="58">
        <v>0</v>
      </c>
      <c r="E5" s="58">
        <v>100</v>
      </c>
      <c r="F5" s="58" t="s">
        <v>2165</v>
      </c>
      <c r="G5" s="58" t="s">
        <v>2165</v>
      </c>
      <c r="H5" s="58" t="s">
        <v>2438</v>
      </c>
      <c r="J5" s="58" t="s">
        <v>2124</v>
      </c>
      <c r="K5" s="58" t="s">
        <v>838</v>
      </c>
      <c r="L5" s="58" t="s">
        <v>582</v>
      </c>
      <c r="M5" s="58">
        <v>10</v>
      </c>
      <c r="AU5" s="58" t="s">
        <v>664</v>
      </c>
      <c r="AW5" s="58" t="s">
        <v>1165</v>
      </c>
      <c r="AX5" s="58">
        <v>45</v>
      </c>
      <c r="AY5" s="58">
        <v>27</v>
      </c>
      <c r="AZ5" s="58">
        <v>111111</v>
      </c>
    </row>
    <row r="6" spans="1:89" s="58" customFormat="1" ht="18" customHeight="1">
      <c r="A6" s="58">
        <v>789</v>
      </c>
      <c r="B6" s="58">
        <v>80</v>
      </c>
      <c r="C6" s="58">
        <v>8</v>
      </c>
      <c r="D6" s="58">
        <v>1</v>
      </c>
      <c r="E6" s="58">
        <v>75</v>
      </c>
      <c r="F6" s="58" t="s">
        <v>2439</v>
      </c>
      <c r="G6" s="58" t="s">
        <v>2170</v>
      </c>
      <c r="H6" s="58" t="s">
        <v>2440</v>
      </c>
      <c r="I6" s="58" t="s">
        <v>2441</v>
      </c>
      <c r="J6" s="58" t="s">
        <v>618</v>
      </c>
      <c r="K6" s="58" t="s">
        <v>2198</v>
      </c>
      <c r="L6" s="58" t="s">
        <v>581</v>
      </c>
      <c r="M6" s="58">
        <v>25</v>
      </c>
      <c r="N6" s="58" t="s">
        <v>2442</v>
      </c>
      <c r="Q6" s="58">
        <v>1</v>
      </c>
      <c r="R6" s="58">
        <v>1</v>
      </c>
      <c r="S6" s="58">
        <v>1</v>
      </c>
      <c r="T6" s="58">
        <v>1</v>
      </c>
      <c r="U6" s="58">
        <v>1</v>
      </c>
      <c r="V6" s="58">
        <v>1</v>
      </c>
      <c r="W6" s="58">
        <v>1</v>
      </c>
      <c r="X6" s="58">
        <v>1</v>
      </c>
      <c r="Y6" s="58">
        <v>1</v>
      </c>
      <c r="Z6" s="58">
        <v>1</v>
      </c>
      <c r="AA6" s="58">
        <v>1</v>
      </c>
      <c r="AB6" s="58">
        <v>1</v>
      </c>
      <c r="AC6" s="58">
        <v>1</v>
      </c>
      <c r="AD6" s="58">
        <v>1</v>
      </c>
      <c r="AE6" s="58">
        <v>1</v>
      </c>
      <c r="AF6" s="58">
        <v>1</v>
      </c>
      <c r="AG6" s="58">
        <v>1</v>
      </c>
      <c r="AH6" s="58">
        <v>1</v>
      </c>
      <c r="AI6" s="58">
        <v>1</v>
      </c>
      <c r="AJ6" s="58">
        <v>1</v>
      </c>
      <c r="AK6" s="58">
        <v>1</v>
      </c>
      <c r="AL6" s="58">
        <v>1</v>
      </c>
      <c r="AM6" s="58">
        <v>1</v>
      </c>
      <c r="AN6" s="58">
        <v>1</v>
      </c>
      <c r="AO6" s="58" t="s">
        <v>358</v>
      </c>
      <c r="AP6" s="58" t="s">
        <v>2155</v>
      </c>
      <c r="AQ6" s="58" t="s">
        <v>587</v>
      </c>
      <c r="AR6" s="58" t="s">
        <v>2236</v>
      </c>
      <c r="AT6" s="58" t="s">
        <v>596</v>
      </c>
      <c r="AU6" s="58" t="s">
        <v>664</v>
      </c>
      <c r="AV6" s="58" t="s">
        <v>656</v>
      </c>
      <c r="AW6" s="58" t="s">
        <v>1165</v>
      </c>
      <c r="AX6" s="58">
        <v>45</v>
      </c>
      <c r="AY6" s="58">
        <v>93</v>
      </c>
      <c r="AZ6" s="58">
        <v>111111</v>
      </c>
    </row>
    <row r="7" spans="1:89" s="58" customFormat="1" ht="18" customHeight="1">
      <c r="A7" s="58">
        <v>825</v>
      </c>
      <c r="C7" s="58">
        <v>8</v>
      </c>
      <c r="D7" s="58">
        <v>1</v>
      </c>
      <c r="E7" s="58">
        <v>100</v>
      </c>
      <c r="F7" s="58" t="s">
        <v>614</v>
      </c>
      <c r="G7" s="58" t="s">
        <v>614</v>
      </c>
      <c r="H7" s="58" t="s">
        <v>614</v>
      </c>
      <c r="J7" s="58" t="s">
        <v>2146</v>
      </c>
      <c r="K7" s="58" t="s">
        <v>838</v>
      </c>
      <c r="L7" s="58" t="s">
        <v>582</v>
      </c>
      <c r="M7" s="58">
        <v>10</v>
      </c>
      <c r="Q7" s="58">
        <v>1</v>
      </c>
      <c r="R7" s="58">
        <v>1</v>
      </c>
      <c r="S7" s="58">
        <v>1</v>
      </c>
      <c r="T7" s="58">
        <v>1</v>
      </c>
      <c r="U7" s="58">
        <v>1</v>
      </c>
      <c r="V7" s="58">
        <v>1</v>
      </c>
      <c r="W7" s="58">
        <v>1</v>
      </c>
      <c r="X7" s="58">
        <v>1</v>
      </c>
      <c r="Y7" s="58">
        <v>1</v>
      </c>
      <c r="Z7" s="58">
        <v>1</v>
      </c>
      <c r="AA7" s="58">
        <v>1</v>
      </c>
      <c r="AB7" s="58">
        <v>1</v>
      </c>
      <c r="AC7" s="58">
        <v>1</v>
      </c>
      <c r="AD7" s="58">
        <v>1</v>
      </c>
      <c r="AE7" s="58">
        <v>1</v>
      </c>
      <c r="AF7" s="58">
        <v>1</v>
      </c>
      <c r="AG7" s="58">
        <v>1</v>
      </c>
      <c r="AH7" s="58">
        <v>1</v>
      </c>
      <c r="AI7" s="58">
        <v>1</v>
      </c>
      <c r="AJ7" s="58">
        <v>1</v>
      </c>
      <c r="AK7" s="58">
        <v>1</v>
      </c>
      <c r="AL7" s="58">
        <v>1</v>
      </c>
      <c r="AM7" s="58">
        <v>1</v>
      </c>
      <c r="AN7" s="58">
        <v>1</v>
      </c>
      <c r="AU7" s="58" t="s">
        <v>664</v>
      </c>
      <c r="AW7" s="58" t="s">
        <v>1165</v>
      </c>
      <c r="AX7" s="58">
        <v>45</v>
      </c>
      <c r="AY7" s="58">
        <v>47</v>
      </c>
      <c r="AZ7" s="58">
        <v>111111</v>
      </c>
    </row>
    <row r="8" spans="1:89" s="58" customFormat="1" ht="18" customHeight="1">
      <c r="A8" s="58">
        <v>827</v>
      </c>
      <c r="C8" s="58">
        <v>8</v>
      </c>
      <c r="D8" s="58">
        <v>1</v>
      </c>
      <c r="E8" s="58">
        <v>100</v>
      </c>
      <c r="F8" s="58" t="s">
        <v>2166</v>
      </c>
      <c r="G8" s="58" t="s">
        <v>2166</v>
      </c>
      <c r="H8" s="58" t="s">
        <v>2443</v>
      </c>
      <c r="J8" s="58" t="s">
        <v>2146</v>
      </c>
      <c r="K8" s="58" t="s">
        <v>838</v>
      </c>
      <c r="L8" s="58" t="s">
        <v>582</v>
      </c>
      <c r="M8" s="58">
        <v>10</v>
      </c>
      <c r="Q8" s="58">
        <v>1</v>
      </c>
      <c r="R8" s="58">
        <v>1</v>
      </c>
      <c r="S8" s="58">
        <v>1</v>
      </c>
      <c r="T8" s="58">
        <v>1</v>
      </c>
      <c r="U8" s="58">
        <v>1</v>
      </c>
      <c r="V8" s="58">
        <v>1</v>
      </c>
      <c r="W8" s="58">
        <v>1</v>
      </c>
      <c r="X8" s="58">
        <v>1</v>
      </c>
      <c r="Y8" s="58">
        <v>1</v>
      </c>
      <c r="Z8" s="58">
        <v>1</v>
      </c>
      <c r="AA8" s="58">
        <v>1</v>
      </c>
      <c r="AB8" s="58">
        <v>1</v>
      </c>
      <c r="AC8" s="58">
        <v>1</v>
      </c>
      <c r="AD8" s="58">
        <v>1</v>
      </c>
      <c r="AE8" s="58">
        <v>1</v>
      </c>
      <c r="AF8" s="58">
        <v>1</v>
      </c>
      <c r="AG8" s="58">
        <v>1</v>
      </c>
      <c r="AH8" s="58">
        <v>1</v>
      </c>
      <c r="AI8" s="58">
        <v>1</v>
      </c>
      <c r="AJ8" s="58">
        <v>1</v>
      </c>
      <c r="AK8" s="58">
        <v>1</v>
      </c>
      <c r="AL8" s="58">
        <v>1</v>
      </c>
      <c r="AM8" s="58">
        <v>1</v>
      </c>
      <c r="AN8" s="58">
        <v>1</v>
      </c>
      <c r="AU8" s="58" t="s">
        <v>664</v>
      </c>
      <c r="AW8" s="58" t="s">
        <v>1165</v>
      </c>
      <c r="AX8" s="58">
        <v>45</v>
      </c>
      <c r="AY8" s="58">
        <v>49</v>
      </c>
      <c r="AZ8" s="58">
        <v>111111</v>
      </c>
    </row>
    <row r="9" spans="1:89" s="58" customFormat="1" ht="18" customHeight="1">
      <c r="A9" s="58">
        <v>773</v>
      </c>
      <c r="B9" s="58">
        <v>81</v>
      </c>
      <c r="C9" s="58">
        <v>8</v>
      </c>
      <c r="D9" s="58">
        <v>1</v>
      </c>
      <c r="E9" s="58">
        <v>100</v>
      </c>
      <c r="F9" s="58" t="s">
        <v>2155</v>
      </c>
      <c r="G9" s="58" t="s">
        <v>2171</v>
      </c>
      <c r="H9" s="58" t="s">
        <v>2444</v>
      </c>
      <c r="I9" s="58" t="s">
        <v>2445</v>
      </c>
      <c r="J9" s="58" t="s">
        <v>1491</v>
      </c>
      <c r="K9" s="58" t="s">
        <v>559</v>
      </c>
      <c r="L9" s="58" t="s">
        <v>581</v>
      </c>
      <c r="M9" s="58">
        <v>10</v>
      </c>
      <c r="N9" s="58" t="s">
        <v>2446</v>
      </c>
      <c r="Q9" s="58">
        <v>1</v>
      </c>
      <c r="R9" s="58">
        <v>1</v>
      </c>
      <c r="S9" s="58">
        <v>1</v>
      </c>
      <c r="T9" s="58">
        <v>1</v>
      </c>
      <c r="U9" s="58">
        <v>1</v>
      </c>
      <c r="V9" s="58">
        <v>1</v>
      </c>
      <c r="W9" s="58">
        <v>1</v>
      </c>
      <c r="X9" s="58">
        <v>1</v>
      </c>
      <c r="Y9" s="58">
        <v>1</v>
      </c>
      <c r="Z9" s="58">
        <v>1</v>
      </c>
      <c r="AA9" s="58">
        <v>1</v>
      </c>
      <c r="AB9" s="58">
        <v>1</v>
      </c>
      <c r="AC9" s="58">
        <v>1</v>
      </c>
      <c r="AD9" s="58">
        <v>1</v>
      </c>
      <c r="AE9" s="58">
        <v>1</v>
      </c>
      <c r="AF9" s="58">
        <v>1</v>
      </c>
      <c r="AG9" s="58">
        <v>1</v>
      </c>
      <c r="AH9" s="58">
        <v>1</v>
      </c>
      <c r="AI9" s="58">
        <v>1</v>
      </c>
      <c r="AJ9" s="58">
        <v>1</v>
      </c>
      <c r="AK9" s="58">
        <v>1</v>
      </c>
      <c r="AL9" s="58">
        <v>1</v>
      </c>
      <c r="AM9" s="58">
        <v>1</v>
      </c>
      <c r="AN9" s="58">
        <v>1</v>
      </c>
      <c r="AO9" s="58" t="s">
        <v>358</v>
      </c>
      <c r="AQ9" s="58" t="s">
        <v>586</v>
      </c>
      <c r="AR9" s="58" t="s">
        <v>2233</v>
      </c>
      <c r="AT9" s="58" t="s">
        <v>596</v>
      </c>
      <c r="AU9" s="58" t="s">
        <v>664</v>
      </c>
      <c r="AV9" s="58" t="s">
        <v>656</v>
      </c>
      <c r="AW9" s="58" t="s">
        <v>1167</v>
      </c>
      <c r="AX9" s="58">
        <v>45</v>
      </c>
    </row>
    <row r="10" spans="1:89" s="58" customFormat="1" ht="18" customHeight="1">
      <c r="A10" s="58">
        <v>802</v>
      </c>
      <c r="C10" s="58">
        <v>8</v>
      </c>
      <c r="D10" s="58">
        <v>0</v>
      </c>
      <c r="E10" s="58">
        <v>100</v>
      </c>
      <c r="F10" s="58" t="s">
        <v>2167</v>
      </c>
      <c r="G10" s="58" t="s">
        <v>2167</v>
      </c>
      <c r="H10" s="58" t="s">
        <v>2167</v>
      </c>
      <c r="J10" s="58" t="s">
        <v>2124</v>
      </c>
      <c r="K10" s="58" t="s">
        <v>838</v>
      </c>
      <c r="L10" s="58" t="s">
        <v>582</v>
      </c>
      <c r="M10" s="58">
        <v>10</v>
      </c>
      <c r="AU10" s="58" t="s">
        <v>664</v>
      </c>
      <c r="AW10" s="58" t="s">
        <v>1165</v>
      </c>
      <c r="AX10" s="58">
        <v>45</v>
      </c>
      <c r="AY10" s="58">
        <v>24</v>
      </c>
      <c r="AZ10" s="58">
        <v>111111</v>
      </c>
    </row>
    <row r="11" spans="1:89" s="58" customFormat="1" ht="18" customHeight="1">
      <c r="A11" s="58">
        <v>700</v>
      </c>
      <c r="B11" s="58">
        <v>82</v>
      </c>
      <c r="C11" s="58">
        <v>8</v>
      </c>
      <c r="D11" s="58">
        <v>1</v>
      </c>
      <c r="E11" s="58">
        <v>50</v>
      </c>
      <c r="F11" s="58" t="s">
        <v>816</v>
      </c>
      <c r="G11" s="58" t="s">
        <v>483</v>
      </c>
      <c r="H11" s="58" t="s">
        <v>1577</v>
      </c>
      <c r="I11" s="58" t="s">
        <v>2447</v>
      </c>
      <c r="J11" s="58" t="s">
        <v>1491</v>
      </c>
      <c r="K11" s="58" t="s">
        <v>2224</v>
      </c>
      <c r="L11" s="58" t="s">
        <v>581</v>
      </c>
      <c r="M11" s="58">
        <v>50</v>
      </c>
      <c r="N11" s="58" t="s">
        <v>2448</v>
      </c>
      <c r="O11" s="162">
        <v>45901</v>
      </c>
      <c r="P11" s="162">
        <v>45991</v>
      </c>
      <c r="Q11" s="58">
        <v>1</v>
      </c>
      <c r="R11" s="58">
        <v>1</v>
      </c>
      <c r="S11" s="58">
        <v>1</v>
      </c>
      <c r="T11" s="58">
        <v>1</v>
      </c>
      <c r="U11" s="58">
        <v>1</v>
      </c>
      <c r="V11" s="58">
        <v>1</v>
      </c>
      <c r="W11" s="58">
        <v>1</v>
      </c>
      <c r="X11" s="58">
        <v>1</v>
      </c>
      <c r="Y11" s="58">
        <v>1</v>
      </c>
      <c r="Z11" s="58">
        <v>1</v>
      </c>
      <c r="AA11" s="58">
        <v>1</v>
      </c>
      <c r="AB11" s="58">
        <v>1</v>
      </c>
      <c r="AC11" s="58">
        <v>1</v>
      </c>
      <c r="AD11" s="58">
        <v>1</v>
      </c>
      <c r="AE11" s="58">
        <v>1</v>
      </c>
      <c r="AF11" s="58">
        <v>1</v>
      </c>
      <c r="AG11" s="58">
        <v>1</v>
      </c>
      <c r="AH11" s="58">
        <v>1</v>
      </c>
      <c r="AI11" s="58">
        <v>1</v>
      </c>
      <c r="AJ11" s="58">
        <v>1</v>
      </c>
      <c r="AK11" s="58">
        <v>1</v>
      </c>
      <c r="AL11" s="58">
        <v>1</v>
      </c>
      <c r="AM11" s="58">
        <v>1</v>
      </c>
      <c r="AN11" s="58">
        <v>1</v>
      </c>
      <c r="AO11" s="58" t="s">
        <v>358</v>
      </c>
      <c r="AP11" s="58" t="s">
        <v>2155</v>
      </c>
      <c r="AQ11" s="58" t="s">
        <v>584</v>
      </c>
      <c r="AR11" s="58" t="s">
        <v>2233</v>
      </c>
      <c r="AT11" s="58" t="s">
        <v>596</v>
      </c>
      <c r="AU11" s="58" t="s">
        <v>664</v>
      </c>
      <c r="AV11" s="58" t="s">
        <v>656</v>
      </c>
      <c r="AW11" s="58" t="s">
        <v>1169</v>
      </c>
      <c r="AX11" s="58">
        <v>45</v>
      </c>
      <c r="AY11" s="58">
        <v>1</v>
      </c>
      <c r="AZ11" s="58">
        <v>111111</v>
      </c>
      <c r="BA11" s="58" t="s">
        <v>1168</v>
      </c>
      <c r="BB11" s="58" t="s">
        <v>1168</v>
      </c>
      <c r="BC11" s="58" t="s">
        <v>1168</v>
      </c>
      <c r="BD11" s="58" t="s">
        <v>1168</v>
      </c>
      <c r="BE11" s="58" t="s">
        <v>1168</v>
      </c>
      <c r="BF11" s="58" t="s">
        <v>1168</v>
      </c>
      <c r="BG11" s="58" t="s">
        <v>1168</v>
      </c>
      <c r="BH11" s="58" t="s">
        <v>1168</v>
      </c>
      <c r="BI11" s="58" t="s">
        <v>1168</v>
      </c>
      <c r="BJ11" s="58" t="s">
        <v>1168</v>
      </c>
      <c r="BK11" s="58" t="s">
        <v>1168</v>
      </c>
      <c r="BL11" s="58" t="s">
        <v>1168</v>
      </c>
      <c r="BM11" s="58" t="s">
        <v>1168</v>
      </c>
      <c r="BN11" s="58" t="s">
        <v>1168</v>
      </c>
      <c r="BO11" s="58" t="s">
        <v>1168</v>
      </c>
      <c r="BP11" s="58" t="s">
        <v>1168</v>
      </c>
      <c r="BQ11" s="58" t="s">
        <v>1168</v>
      </c>
      <c r="BR11" s="58" t="s">
        <v>1168</v>
      </c>
      <c r="BS11" s="58" t="s">
        <v>1168</v>
      </c>
      <c r="BT11" s="58" t="s">
        <v>1168</v>
      </c>
      <c r="BU11" s="58" t="s">
        <v>1168</v>
      </c>
      <c r="BV11" s="58" t="s">
        <v>1168</v>
      </c>
      <c r="BW11" s="58" t="s">
        <v>1168</v>
      </c>
      <c r="BX11" s="58" t="s">
        <v>1168</v>
      </c>
      <c r="BY11" s="58" t="s">
        <v>1168</v>
      </c>
      <c r="BZ11" s="58" t="s">
        <v>1168</v>
      </c>
      <c r="CA11" s="58" t="s">
        <v>1168</v>
      </c>
      <c r="CB11" s="58" t="s">
        <v>1168</v>
      </c>
      <c r="CC11" s="58" t="s">
        <v>1168</v>
      </c>
      <c r="CD11" s="58" t="s">
        <v>1168</v>
      </c>
      <c r="CE11" s="58" t="s">
        <v>1168</v>
      </c>
      <c r="CF11" s="58" t="s">
        <v>1168</v>
      </c>
      <c r="CG11" s="58" t="s">
        <v>1168</v>
      </c>
      <c r="CH11" s="58" t="s">
        <v>1168</v>
      </c>
      <c r="CI11" s="58" t="s">
        <v>1168</v>
      </c>
    </row>
    <row r="12" spans="1:89" s="58" customFormat="1" ht="18" customHeight="1">
      <c r="A12" s="58">
        <v>721</v>
      </c>
      <c r="B12" s="58">
        <v>83</v>
      </c>
      <c r="C12" s="58">
        <v>8</v>
      </c>
      <c r="D12" s="58">
        <v>1</v>
      </c>
      <c r="E12" s="58">
        <v>50</v>
      </c>
      <c r="F12" s="58" t="s">
        <v>2449</v>
      </c>
      <c r="G12" s="58" t="s">
        <v>2175</v>
      </c>
      <c r="H12" s="58" t="s">
        <v>2450</v>
      </c>
      <c r="I12" s="58" t="s">
        <v>2451</v>
      </c>
      <c r="J12" s="58" t="s">
        <v>1491</v>
      </c>
      <c r="K12" s="58" t="s">
        <v>2216</v>
      </c>
      <c r="L12" s="58" t="s">
        <v>581</v>
      </c>
      <c r="M12" s="58">
        <v>50</v>
      </c>
      <c r="N12" s="58" t="s">
        <v>2452</v>
      </c>
      <c r="O12" s="162">
        <v>45901</v>
      </c>
      <c r="P12" s="162">
        <v>45991</v>
      </c>
      <c r="Q12" s="58">
        <v>1</v>
      </c>
      <c r="R12" s="58">
        <v>1</v>
      </c>
      <c r="S12" s="58">
        <v>1</v>
      </c>
      <c r="T12" s="58">
        <v>1</v>
      </c>
      <c r="U12" s="58">
        <v>1</v>
      </c>
      <c r="V12" s="58">
        <v>1</v>
      </c>
      <c r="W12" s="58">
        <v>1</v>
      </c>
      <c r="X12" s="58">
        <v>1</v>
      </c>
      <c r="Y12" s="58">
        <v>1</v>
      </c>
      <c r="Z12" s="58">
        <v>1</v>
      </c>
      <c r="AA12" s="58">
        <v>1</v>
      </c>
      <c r="AB12" s="58">
        <v>1</v>
      </c>
      <c r="AC12" s="58">
        <v>1</v>
      </c>
      <c r="AD12" s="58">
        <v>1</v>
      </c>
      <c r="AE12" s="58">
        <v>1</v>
      </c>
      <c r="AF12" s="58">
        <v>1</v>
      </c>
      <c r="AG12" s="58">
        <v>1</v>
      </c>
      <c r="AH12" s="58">
        <v>1</v>
      </c>
      <c r="AI12" s="58">
        <v>1</v>
      </c>
      <c r="AJ12" s="58">
        <v>1</v>
      </c>
      <c r="AK12" s="58">
        <v>1</v>
      </c>
      <c r="AL12" s="58">
        <v>1</v>
      </c>
      <c r="AM12" s="58">
        <v>1</v>
      </c>
      <c r="AN12" s="58">
        <v>1</v>
      </c>
      <c r="AO12" s="58" t="s">
        <v>358</v>
      </c>
      <c r="AP12" s="58" t="s">
        <v>2155</v>
      </c>
      <c r="AQ12" s="58" t="s">
        <v>584</v>
      </c>
      <c r="AR12" s="58" t="s">
        <v>2233</v>
      </c>
      <c r="AS12" s="58" t="s">
        <v>2231</v>
      </c>
      <c r="AT12" s="58" t="s">
        <v>596</v>
      </c>
      <c r="AU12" s="58" t="s">
        <v>664</v>
      </c>
      <c r="AV12" s="58" t="s">
        <v>656</v>
      </c>
      <c r="AW12" s="58" t="s">
        <v>1169</v>
      </c>
      <c r="AX12" s="58">
        <v>45</v>
      </c>
      <c r="AY12" s="58">
        <v>1</v>
      </c>
      <c r="AZ12" s="58">
        <v>111111</v>
      </c>
      <c r="BA12" s="58" t="s">
        <v>1168</v>
      </c>
      <c r="BB12" s="58" t="s">
        <v>1168</v>
      </c>
      <c r="BC12" s="58" t="s">
        <v>1168</v>
      </c>
      <c r="BD12" s="58" t="s">
        <v>1168</v>
      </c>
      <c r="BE12" s="58" t="s">
        <v>1168</v>
      </c>
      <c r="BF12" s="58" t="s">
        <v>1168</v>
      </c>
      <c r="BG12" s="58" t="s">
        <v>1168</v>
      </c>
      <c r="BH12" s="58" t="s">
        <v>1168</v>
      </c>
      <c r="BI12" s="58" t="s">
        <v>1168</v>
      </c>
      <c r="BJ12" s="58" t="s">
        <v>1168</v>
      </c>
      <c r="BK12" s="58" t="s">
        <v>1168</v>
      </c>
      <c r="BL12" s="58" t="s">
        <v>1168</v>
      </c>
      <c r="BM12" s="58" t="s">
        <v>1168</v>
      </c>
      <c r="BN12" s="58" t="s">
        <v>1168</v>
      </c>
      <c r="BO12" s="58" t="s">
        <v>1168</v>
      </c>
      <c r="BP12" s="58" t="s">
        <v>1168</v>
      </c>
      <c r="BQ12" s="58" t="s">
        <v>1168</v>
      </c>
      <c r="BR12" s="58" t="s">
        <v>1168</v>
      </c>
      <c r="BS12" s="58" t="s">
        <v>1168</v>
      </c>
      <c r="BT12" s="58" t="s">
        <v>1168</v>
      </c>
      <c r="BU12" s="58" t="s">
        <v>1168</v>
      </c>
      <c r="BV12" s="58" t="s">
        <v>1168</v>
      </c>
      <c r="BW12" s="58" t="s">
        <v>1168</v>
      </c>
      <c r="BX12" s="58" t="s">
        <v>1168</v>
      </c>
      <c r="BY12" s="58" t="s">
        <v>1168</v>
      </c>
      <c r="BZ12" s="58" t="s">
        <v>1168</v>
      </c>
      <c r="CA12" s="58" t="s">
        <v>1168</v>
      </c>
      <c r="CB12" s="58" t="s">
        <v>1168</v>
      </c>
      <c r="CC12" s="58" t="s">
        <v>1168</v>
      </c>
      <c r="CD12" s="58" t="s">
        <v>1168</v>
      </c>
      <c r="CE12" s="58" t="s">
        <v>1168</v>
      </c>
      <c r="CF12" s="58" t="s">
        <v>1168</v>
      </c>
      <c r="CG12" s="58" t="s">
        <v>1168</v>
      </c>
      <c r="CH12" s="58" t="s">
        <v>1168</v>
      </c>
      <c r="CI12" s="58" t="s">
        <v>1168</v>
      </c>
    </row>
    <row r="13" spans="1:89" s="58" customFormat="1" ht="18" customHeight="1">
      <c r="A13" s="58">
        <v>723</v>
      </c>
      <c r="B13" s="58">
        <v>84</v>
      </c>
      <c r="C13" s="58">
        <v>8</v>
      </c>
      <c r="D13" s="58">
        <v>1</v>
      </c>
      <c r="E13" s="58">
        <v>50</v>
      </c>
      <c r="F13" s="58" t="s">
        <v>2453</v>
      </c>
      <c r="G13" s="58" t="s">
        <v>2179</v>
      </c>
      <c r="H13" s="58" t="s">
        <v>2454</v>
      </c>
      <c r="I13" s="58" t="s">
        <v>2455</v>
      </c>
      <c r="J13" s="58" t="s">
        <v>2148</v>
      </c>
      <c r="K13" s="58" t="s">
        <v>2179</v>
      </c>
      <c r="L13" s="58" t="s">
        <v>581</v>
      </c>
      <c r="M13" s="58">
        <v>50</v>
      </c>
      <c r="N13" s="58" t="s">
        <v>2456</v>
      </c>
      <c r="Q13" s="58">
        <v>1</v>
      </c>
      <c r="R13" s="58">
        <v>1</v>
      </c>
      <c r="S13" s="58">
        <v>1</v>
      </c>
      <c r="T13" s="58">
        <v>1</v>
      </c>
      <c r="U13" s="58">
        <v>1</v>
      </c>
      <c r="V13" s="58">
        <v>1</v>
      </c>
      <c r="W13" s="58">
        <v>1</v>
      </c>
      <c r="X13" s="58">
        <v>1</v>
      </c>
      <c r="Y13" s="58">
        <v>1</v>
      </c>
      <c r="Z13" s="58">
        <v>1</v>
      </c>
      <c r="AA13" s="58">
        <v>1</v>
      </c>
      <c r="AB13" s="58">
        <v>1</v>
      </c>
      <c r="AC13" s="58">
        <v>1</v>
      </c>
      <c r="AD13" s="58">
        <v>1</v>
      </c>
      <c r="AE13" s="58">
        <v>1</v>
      </c>
      <c r="AF13" s="58">
        <v>1</v>
      </c>
      <c r="AG13" s="58">
        <v>1</v>
      </c>
      <c r="AH13" s="58">
        <v>1</v>
      </c>
      <c r="AI13" s="58">
        <v>1</v>
      </c>
      <c r="AJ13" s="58">
        <v>1</v>
      </c>
      <c r="AK13" s="58">
        <v>1</v>
      </c>
      <c r="AL13" s="58">
        <v>1</v>
      </c>
      <c r="AM13" s="58">
        <v>1</v>
      </c>
      <c r="AN13" s="58">
        <v>1</v>
      </c>
      <c r="AO13" s="58" t="s">
        <v>358</v>
      </c>
      <c r="AP13" s="58" t="s">
        <v>2155</v>
      </c>
      <c r="AQ13" s="58" t="s">
        <v>584</v>
      </c>
      <c r="AR13" s="58" t="s">
        <v>2233</v>
      </c>
      <c r="AT13" s="58" t="s">
        <v>596</v>
      </c>
      <c r="AU13" s="58" t="s">
        <v>664</v>
      </c>
      <c r="AV13" s="58" t="s">
        <v>1417</v>
      </c>
      <c r="AW13" s="58" t="s">
        <v>1166</v>
      </c>
      <c r="AX13" s="58">
        <v>45</v>
      </c>
      <c r="AY13" s="58">
        <v>3</v>
      </c>
      <c r="AZ13" s="58">
        <v>111111</v>
      </c>
    </row>
    <row r="14" spans="1:89" s="58" customFormat="1" ht="18" customHeight="1">
      <c r="A14" s="58">
        <v>793</v>
      </c>
      <c r="B14" s="58">
        <v>85</v>
      </c>
      <c r="C14" s="58">
        <v>8</v>
      </c>
      <c r="D14" s="58">
        <v>1</v>
      </c>
      <c r="E14" s="58">
        <v>75</v>
      </c>
      <c r="F14" s="58" t="s">
        <v>2457</v>
      </c>
      <c r="G14" s="58" t="s">
        <v>2180</v>
      </c>
      <c r="H14" s="58" t="s">
        <v>2458</v>
      </c>
      <c r="I14" s="58" t="s">
        <v>2459</v>
      </c>
      <c r="J14" s="58" t="s">
        <v>2122</v>
      </c>
      <c r="K14" s="58" t="s">
        <v>2223</v>
      </c>
      <c r="L14" s="58" t="s">
        <v>581</v>
      </c>
      <c r="M14" s="58">
        <v>25</v>
      </c>
      <c r="N14" s="58" t="s">
        <v>2460</v>
      </c>
      <c r="Q14" s="58">
        <v>1</v>
      </c>
      <c r="R14" s="58">
        <v>1</v>
      </c>
      <c r="S14" s="58">
        <v>1</v>
      </c>
      <c r="T14" s="58">
        <v>1</v>
      </c>
      <c r="U14" s="58">
        <v>1</v>
      </c>
      <c r="V14" s="58">
        <v>1</v>
      </c>
      <c r="W14" s="58">
        <v>1</v>
      </c>
      <c r="X14" s="58">
        <v>1</v>
      </c>
      <c r="Y14" s="58">
        <v>1</v>
      </c>
      <c r="Z14" s="58">
        <v>1</v>
      </c>
      <c r="AA14" s="58">
        <v>1</v>
      </c>
      <c r="AB14" s="58">
        <v>1</v>
      </c>
      <c r="AC14" s="58">
        <v>1</v>
      </c>
      <c r="AD14" s="58">
        <v>1</v>
      </c>
      <c r="AE14" s="58">
        <v>1</v>
      </c>
      <c r="AF14" s="58">
        <v>1</v>
      </c>
      <c r="AG14" s="58">
        <v>1</v>
      </c>
      <c r="AH14" s="58">
        <v>1</v>
      </c>
      <c r="AI14" s="58">
        <v>1</v>
      </c>
      <c r="AJ14" s="58">
        <v>1</v>
      </c>
      <c r="AK14" s="58">
        <v>1</v>
      </c>
      <c r="AL14" s="58">
        <v>1</v>
      </c>
      <c r="AM14" s="58">
        <v>1</v>
      </c>
      <c r="AN14" s="58">
        <v>1</v>
      </c>
      <c r="AO14" s="58" t="s">
        <v>358</v>
      </c>
      <c r="AP14" s="58" t="s">
        <v>2155</v>
      </c>
      <c r="AQ14" s="58" t="s">
        <v>584</v>
      </c>
      <c r="AR14" s="58" t="s">
        <v>2236</v>
      </c>
      <c r="AT14" s="58" t="s">
        <v>596</v>
      </c>
      <c r="AU14" s="58" t="s">
        <v>664</v>
      </c>
      <c r="AV14" s="58" t="s">
        <v>1417</v>
      </c>
      <c r="AW14" s="58" t="s">
        <v>1165</v>
      </c>
      <c r="AX14" s="58">
        <v>45</v>
      </c>
      <c r="AY14" s="58">
        <v>97</v>
      </c>
      <c r="AZ14" s="58">
        <v>111111</v>
      </c>
    </row>
    <row r="15" spans="1:89" s="58" customFormat="1" ht="18" customHeight="1">
      <c r="A15" s="58">
        <v>800</v>
      </c>
      <c r="C15" s="58">
        <v>8</v>
      </c>
      <c r="D15" s="58">
        <v>0</v>
      </c>
      <c r="E15" s="58">
        <v>100</v>
      </c>
      <c r="F15" s="58" t="s">
        <v>528</v>
      </c>
      <c r="G15" s="58" t="s">
        <v>528</v>
      </c>
      <c r="H15" s="58" t="s">
        <v>2461</v>
      </c>
      <c r="J15" s="58" t="s">
        <v>2124</v>
      </c>
      <c r="K15" s="58" t="s">
        <v>838</v>
      </c>
      <c r="L15" s="58" t="s">
        <v>582</v>
      </c>
      <c r="M15" s="58">
        <v>10</v>
      </c>
      <c r="AU15" s="58" t="s">
        <v>664</v>
      </c>
      <c r="AW15" s="58" t="s">
        <v>1165</v>
      </c>
      <c r="AX15" s="58">
        <v>45</v>
      </c>
      <c r="AY15" s="58">
        <v>22</v>
      </c>
      <c r="AZ15" s="58">
        <v>111111</v>
      </c>
    </row>
    <row r="16" spans="1:89" s="58" customFormat="1" ht="18" customHeight="1">
      <c r="A16" s="58">
        <v>788</v>
      </c>
      <c r="B16" s="58">
        <v>86</v>
      </c>
      <c r="C16" s="58">
        <v>8</v>
      </c>
      <c r="D16" s="58">
        <v>1</v>
      </c>
      <c r="E16" s="58">
        <v>75</v>
      </c>
      <c r="F16" s="58" t="s">
        <v>2462</v>
      </c>
      <c r="G16" s="58" t="s">
        <v>2182</v>
      </c>
      <c r="H16" s="58" t="s">
        <v>2463</v>
      </c>
      <c r="I16" s="58" t="s">
        <v>2464</v>
      </c>
      <c r="J16" s="58" t="s">
        <v>618</v>
      </c>
      <c r="K16" s="58" t="s">
        <v>2227</v>
      </c>
      <c r="L16" s="58" t="s">
        <v>581</v>
      </c>
      <c r="M16" s="58">
        <v>25</v>
      </c>
      <c r="N16" s="58" t="s">
        <v>2465</v>
      </c>
      <c r="Q16" s="58">
        <v>1</v>
      </c>
      <c r="R16" s="58">
        <v>1</v>
      </c>
      <c r="S16" s="58">
        <v>1</v>
      </c>
      <c r="T16" s="58">
        <v>1</v>
      </c>
      <c r="U16" s="58">
        <v>1</v>
      </c>
      <c r="V16" s="58">
        <v>1</v>
      </c>
      <c r="W16" s="58">
        <v>1</v>
      </c>
      <c r="X16" s="58">
        <v>1</v>
      </c>
      <c r="Y16" s="58">
        <v>1</v>
      </c>
      <c r="Z16" s="58">
        <v>1</v>
      </c>
      <c r="AA16" s="58">
        <v>1</v>
      </c>
      <c r="AB16" s="58">
        <v>1</v>
      </c>
      <c r="AC16" s="58">
        <v>1</v>
      </c>
      <c r="AD16" s="58">
        <v>1</v>
      </c>
      <c r="AE16" s="58">
        <v>1</v>
      </c>
      <c r="AF16" s="58">
        <v>1</v>
      </c>
      <c r="AG16" s="58">
        <v>1</v>
      </c>
      <c r="AH16" s="58">
        <v>1</v>
      </c>
      <c r="AI16" s="58">
        <v>1</v>
      </c>
      <c r="AJ16" s="58">
        <v>1</v>
      </c>
      <c r="AK16" s="58">
        <v>1</v>
      </c>
      <c r="AL16" s="58">
        <v>1</v>
      </c>
      <c r="AM16" s="58">
        <v>1</v>
      </c>
      <c r="AN16" s="58">
        <v>1</v>
      </c>
      <c r="AO16" s="58" t="s">
        <v>358</v>
      </c>
      <c r="AP16" s="58" t="s">
        <v>2155</v>
      </c>
      <c r="AQ16" s="58" t="s">
        <v>584</v>
      </c>
      <c r="AR16" s="58" t="s">
        <v>2236</v>
      </c>
      <c r="AT16" s="58" t="s">
        <v>596</v>
      </c>
      <c r="AU16" s="58" t="s">
        <v>664</v>
      </c>
      <c r="AV16" s="58" t="s">
        <v>1417</v>
      </c>
      <c r="AW16" s="58" t="s">
        <v>1165</v>
      </c>
      <c r="AX16" s="58">
        <v>45</v>
      </c>
      <c r="AY16" s="58">
        <v>92</v>
      </c>
      <c r="AZ16" s="58">
        <v>111111</v>
      </c>
    </row>
    <row r="17" spans="1:52" s="58" customFormat="1" ht="18" customHeight="1">
      <c r="A17" s="58">
        <v>864</v>
      </c>
      <c r="C17" s="58">
        <v>8</v>
      </c>
      <c r="D17" s="58">
        <v>1</v>
      </c>
      <c r="E17" s="58">
        <v>100</v>
      </c>
      <c r="F17" s="58" t="s">
        <v>2168</v>
      </c>
      <c r="G17" s="58" t="s">
        <v>2168</v>
      </c>
      <c r="H17" s="58" t="s">
        <v>2466</v>
      </c>
      <c r="J17" s="58" t="s">
        <v>2128</v>
      </c>
      <c r="K17" s="58" t="s">
        <v>838</v>
      </c>
      <c r="L17" s="58" t="s">
        <v>582</v>
      </c>
      <c r="M17" s="58">
        <v>10</v>
      </c>
      <c r="Q17" s="58">
        <v>1</v>
      </c>
      <c r="R17" s="58">
        <v>1</v>
      </c>
      <c r="S17" s="58">
        <v>1</v>
      </c>
      <c r="T17" s="58">
        <v>1</v>
      </c>
      <c r="U17" s="58">
        <v>1</v>
      </c>
      <c r="V17" s="58">
        <v>1</v>
      </c>
      <c r="W17" s="58">
        <v>1</v>
      </c>
      <c r="X17" s="58">
        <v>1</v>
      </c>
      <c r="Y17" s="58">
        <v>1</v>
      </c>
      <c r="Z17" s="58">
        <v>1</v>
      </c>
      <c r="AA17" s="58">
        <v>1</v>
      </c>
      <c r="AB17" s="58">
        <v>1</v>
      </c>
      <c r="AC17" s="58">
        <v>1</v>
      </c>
      <c r="AD17" s="58">
        <v>1</v>
      </c>
      <c r="AE17" s="58">
        <v>1</v>
      </c>
      <c r="AF17" s="58">
        <v>1</v>
      </c>
      <c r="AG17" s="58">
        <v>1</v>
      </c>
      <c r="AH17" s="58">
        <v>1</v>
      </c>
      <c r="AI17" s="58">
        <v>1</v>
      </c>
      <c r="AJ17" s="58">
        <v>1</v>
      </c>
      <c r="AK17" s="58">
        <v>1</v>
      </c>
      <c r="AL17" s="58">
        <v>1</v>
      </c>
      <c r="AM17" s="58">
        <v>1</v>
      </c>
      <c r="AN17" s="58">
        <v>1</v>
      </c>
      <c r="AU17" s="58" t="s">
        <v>664</v>
      </c>
      <c r="AW17" s="58" t="s">
        <v>1165</v>
      </c>
      <c r="AX17" s="58">
        <v>45</v>
      </c>
      <c r="AY17" s="58">
        <v>86</v>
      </c>
      <c r="AZ17" s="58">
        <v>111111</v>
      </c>
    </row>
    <row r="18" spans="1:52" s="58" customFormat="1" ht="18" customHeight="1">
      <c r="A18" s="58">
        <v>724</v>
      </c>
      <c r="B18" s="58">
        <v>87</v>
      </c>
      <c r="C18" s="58">
        <v>8</v>
      </c>
      <c r="D18" s="58">
        <v>1</v>
      </c>
      <c r="E18" s="58">
        <v>75</v>
      </c>
      <c r="F18" s="58" t="s">
        <v>2467</v>
      </c>
      <c r="G18" s="58" t="s">
        <v>2168</v>
      </c>
      <c r="H18" s="58" t="s">
        <v>2468</v>
      </c>
      <c r="I18" s="58" t="s">
        <v>2469</v>
      </c>
      <c r="J18" s="58" t="s">
        <v>2128</v>
      </c>
      <c r="K18" s="58" t="s">
        <v>2202</v>
      </c>
      <c r="L18" s="58" t="s">
        <v>581</v>
      </c>
      <c r="M18" s="58">
        <v>25</v>
      </c>
      <c r="N18" s="58" t="s">
        <v>2470</v>
      </c>
      <c r="Q18" s="58">
        <v>1</v>
      </c>
      <c r="R18" s="58">
        <v>1</v>
      </c>
      <c r="S18" s="58">
        <v>1</v>
      </c>
      <c r="T18" s="58">
        <v>1</v>
      </c>
      <c r="U18" s="58">
        <v>1</v>
      </c>
      <c r="V18" s="58">
        <v>1</v>
      </c>
      <c r="W18" s="58">
        <v>1</v>
      </c>
      <c r="X18" s="58">
        <v>1</v>
      </c>
      <c r="Y18" s="58">
        <v>1</v>
      </c>
      <c r="Z18" s="58">
        <v>1</v>
      </c>
      <c r="AA18" s="58">
        <v>1</v>
      </c>
      <c r="AB18" s="58">
        <v>1</v>
      </c>
      <c r="AC18" s="58">
        <v>1</v>
      </c>
      <c r="AD18" s="58">
        <v>1</v>
      </c>
      <c r="AE18" s="58">
        <v>1</v>
      </c>
      <c r="AF18" s="58">
        <v>1</v>
      </c>
      <c r="AG18" s="58">
        <v>1</v>
      </c>
      <c r="AH18" s="58">
        <v>1</v>
      </c>
      <c r="AI18" s="58">
        <v>1</v>
      </c>
      <c r="AJ18" s="58">
        <v>1</v>
      </c>
      <c r="AK18" s="58">
        <v>1</v>
      </c>
      <c r="AL18" s="58">
        <v>1</v>
      </c>
      <c r="AM18" s="58">
        <v>1</v>
      </c>
      <c r="AN18" s="58">
        <v>1</v>
      </c>
      <c r="AO18" s="58" t="s">
        <v>2128</v>
      </c>
      <c r="AP18" s="58" t="s">
        <v>2159</v>
      </c>
      <c r="AQ18" s="58" t="s">
        <v>584</v>
      </c>
      <c r="AR18" s="58" t="s">
        <v>2235</v>
      </c>
      <c r="AS18" s="58" t="s">
        <v>2230</v>
      </c>
      <c r="AT18" s="58" t="s">
        <v>596</v>
      </c>
      <c r="AU18" s="58" t="s">
        <v>664</v>
      </c>
      <c r="AV18" s="58" t="s">
        <v>656</v>
      </c>
      <c r="AW18" s="58" t="s">
        <v>1165</v>
      </c>
      <c r="AX18" s="58">
        <v>45</v>
      </c>
      <c r="AY18" s="58">
        <v>18</v>
      </c>
      <c r="AZ18" s="58">
        <v>111111</v>
      </c>
    </row>
    <row r="19" spans="1:52" s="58" customFormat="1" ht="18" customHeight="1">
      <c r="A19" s="58">
        <v>854</v>
      </c>
      <c r="C19" s="58">
        <v>8</v>
      </c>
      <c r="D19" s="58">
        <v>1</v>
      </c>
      <c r="E19" s="58">
        <v>100</v>
      </c>
      <c r="F19" s="58" t="s">
        <v>2169</v>
      </c>
      <c r="G19" s="58" t="s">
        <v>2169</v>
      </c>
      <c r="H19" s="58" t="s">
        <v>2471</v>
      </c>
      <c r="J19" s="58" t="s">
        <v>607</v>
      </c>
      <c r="K19" s="58" t="s">
        <v>838</v>
      </c>
      <c r="L19" s="58" t="s">
        <v>582</v>
      </c>
      <c r="M19" s="58">
        <v>10</v>
      </c>
      <c r="Q19" s="58">
        <v>1</v>
      </c>
      <c r="R19" s="58">
        <v>1</v>
      </c>
      <c r="S19" s="58">
        <v>1</v>
      </c>
      <c r="T19" s="58">
        <v>1</v>
      </c>
      <c r="U19" s="58">
        <v>1</v>
      </c>
      <c r="V19" s="58">
        <v>1</v>
      </c>
      <c r="W19" s="58">
        <v>1</v>
      </c>
      <c r="X19" s="58">
        <v>1</v>
      </c>
      <c r="Y19" s="58">
        <v>1</v>
      </c>
      <c r="Z19" s="58">
        <v>1</v>
      </c>
      <c r="AA19" s="58">
        <v>1</v>
      </c>
      <c r="AB19" s="58">
        <v>1</v>
      </c>
      <c r="AC19" s="58">
        <v>1</v>
      </c>
      <c r="AD19" s="58">
        <v>1</v>
      </c>
      <c r="AE19" s="58">
        <v>1</v>
      </c>
      <c r="AF19" s="58">
        <v>1</v>
      </c>
      <c r="AG19" s="58">
        <v>1</v>
      </c>
      <c r="AH19" s="58">
        <v>1</v>
      </c>
      <c r="AI19" s="58">
        <v>1</v>
      </c>
      <c r="AJ19" s="58">
        <v>1</v>
      </c>
      <c r="AK19" s="58">
        <v>1</v>
      </c>
      <c r="AL19" s="58">
        <v>1</v>
      </c>
      <c r="AM19" s="58">
        <v>1</v>
      </c>
      <c r="AN19" s="58">
        <v>1</v>
      </c>
      <c r="AQ19" s="58" t="s">
        <v>587</v>
      </c>
      <c r="AU19" s="58" t="s">
        <v>664</v>
      </c>
      <c r="AW19" s="58" t="s">
        <v>1165</v>
      </c>
      <c r="AX19" s="58">
        <v>45</v>
      </c>
      <c r="AY19" s="58">
        <v>76</v>
      </c>
      <c r="AZ19" s="58">
        <v>111111</v>
      </c>
    </row>
    <row r="20" spans="1:52" s="58" customFormat="1" ht="18" customHeight="1">
      <c r="A20" s="58">
        <v>835</v>
      </c>
      <c r="C20" s="58">
        <v>8</v>
      </c>
      <c r="D20" s="58">
        <v>1</v>
      </c>
      <c r="E20" s="58">
        <v>100</v>
      </c>
      <c r="F20" s="58" t="s">
        <v>2170</v>
      </c>
      <c r="G20" s="58" t="s">
        <v>2170</v>
      </c>
      <c r="H20" s="58" t="s">
        <v>2472</v>
      </c>
      <c r="J20" s="58" t="s">
        <v>618</v>
      </c>
      <c r="K20" s="58" t="s">
        <v>838</v>
      </c>
      <c r="L20" s="58" t="s">
        <v>582</v>
      </c>
      <c r="M20" s="58">
        <v>10</v>
      </c>
      <c r="Q20" s="58">
        <v>1</v>
      </c>
      <c r="R20" s="58">
        <v>1</v>
      </c>
      <c r="S20" s="58">
        <v>1</v>
      </c>
      <c r="T20" s="58">
        <v>1</v>
      </c>
      <c r="U20" s="58">
        <v>1</v>
      </c>
      <c r="V20" s="58">
        <v>1</v>
      </c>
      <c r="W20" s="58">
        <v>1</v>
      </c>
      <c r="X20" s="58">
        <v>1</v>
      </c>
      <c r="Y20" s="58">
        <v>1</v>
      </c>
      <c r="Z20" s="58">
        <v>1</v>
      </c>
      <c r="AA20" s="58">
        <v>1</v>
      </c>
      <c r="AB20" s="58">
        <v>1</v>
      </c>
      <c r="AC20" s="58">
        <v>1</v>
      </c>
      <c r="AD20" s="58">
        <v>1</v>
      </c>
      <c r="AE20" s="58">
        <v>1</v>
      </c>
      <c r="AF20" s="58">
        <v>1</v>
      </c>
      <c r="AG20" s="58">
        <v>1</v>
      </c>
      <c r="AH20" s="58">
        <v>1</v>
      </c>
      <c r="AI20" s="58">
        <v>1</v>
      </c>
      <c r="AJ20" s="58">
        <v>1</v>
      </c>
      <c r="AK20" s="58">
        <v>1</v>
      </c>
      <c r="AL20" s="58">
        <v>1</v>
      </c>
      <c r="AM20" s="58">
        <v>1</v>
      </c>
      <c r="AN20" s="58">
        <v>1</v>
      </c>
      <c r="AP20" s="58" t="s">
        <v>589</v>
      </c>
      <c r="AU20" s="58" t="s">
        <v>664</v>
      </c>
      <c r="AW20" s="58" t="s">
        <v>1165</v>
      </c>
      <c r="AX20" s="58">
        <v>45</v>
      </c>
      <c r="AY20" s="58">
        <v>57</v>
      </c>
      <c r="AZ20" s="58">
        <v>111111</v>
      </c>
    </row>
    <row r="21" spans="1:52" s="58" customFormat="1" ht="18" customHeight="1">
      <c r="A21" s="58">
        <v>777</v>
      </c>
      <c r="B21" s="58">
        <v>88</v>
      </c>
      <c r="C21" s="58">
        <v>8</v>
      </c>
      <c r="D21" s="58">
        <v>1</v>
      </c>
      <c r="E21" s="58">
        <v>100</v>
      </c>
      <c r="F21" s="58" t="s">
        <v>2159</v>
      </c>
      <c r="G21" s="58" t="s">
        <v>588</v>
      </c>
      <c r="H21" s="58" t="s">
        <v>2473</v>
      </c>
      <c r="I21" s="58" t="s">
        <v>2474</v>
      </c>
      <c r="J21" s="58" t="s">
        <v>2128</v>
      </c>
      <c r="K21" s="58" t="s">
        <v>2202</v>
      </c>
      <c r="L21" s="58" t="s">
        <v>581</v>
      </c>
      <c r="M21" s="58">
        <v>10</v>
      </c>
      <c r="N21" s="58" t="s">
        <v>2475</v>
      </c>
      <c r="Q21" s="58">
        <v>1</v>
      </c>
      <c r="R21" s="58">
        <v>1</v>
      </c>
      <c r="S21" s="58">
        <v>1</v>
      </c>
      <c r="T21" s="58">
        <v>1</v>
      </c>
      <c r="U21" s="58">
        <v>1</v>
      </c>
      <c r="V21" s="58">
        <v>1</v>
      </c>
      <c r="W21" s="58">
        <v>1</v>
      </c>
      <c r="X21" s="58">
        <v>1</v>
      </c>
      <c r="Y21" s="58">
        <v>1</v>
      </c>
      <c r="Z21" s="58">
        <v>1</v>
      </c>
      <c r="AA21" s="58">
        <v>1</v>
      </c>
      <c r="AB21" s="58">
        <v>1</v>
      </c>
      <c r="AC21" s="58">
        <v>1</v>
      </c>
      <c r="AD21" s="58">
        <v>1</v>
      </c>
      <c r="AE21" s="58">
        <v>1</v>
      </c>
      <c r="AF21" s="58">
        <v>1</v>
      </c>
      <c r="AG21" s="58">
        <v>1</v>
      </c>
      <c r="AH21" s="58">
        <v>1</v>
      </c>
      <c r="AI21" s="58">
        <v>1</v>
      </c>
      <c r="AJ21" s="58">
        <v>1</v>
      </c>
      <c r="AK21" s="58">
        <v>1</v>
      </c>
      <c r="AL21" s="58">
        <v>1</v>
      </c>
      <c r="AM21" s="58">
        <v>1</v>
      </c>
      <c r="AN21" s="58">
        <v>1</v>
      </c>
      <c r="AO21" s="58" t="s">
        <v>2128</v>
      </c>
      <c r="AQ21" s="58" t="s">
        <v>587</v>
      </c>
      <c r="AR21" s="58" t="s">
        <v>2235</v>
      </c>
      <c r="AT21" s="58" t="s">
        <v>596</v>
      </c>
      <c r="AU21" s="58" t="s">
        <v>664</v>
      </c>
      <c r="AV21" s="58" t="s">
        <v>656</v>
      </c>
      <c r="AW21" s="58" t="s">
        <v>1167</v>
      </c>
      <c r="AX21" s="58">
        <v>45</v>
      </c>
    </row>
    <row r="22" spans="1:52" s="58" customFormat="1" ht="18" customHeight="1">
      <c r="A22" s="58">
        <v>791</v>
      </c>
      <c r="B22" s="58">
        <v>89</v>
      </c>
      <c r="C22" s="58">
        <v>8</v>
      </c>
      <c r="D22" s="58">
        <v>1</v>
      </c>
      <c r="E22" s="58">
        <v>75</v>
      </c>
      <c r="F22" s="58" t="s">
        <v>2476</v>
      </c>
      <c r="G22" s="58" t="s">
        <v>2174</v>
      </c>
      <c r="H22" s="58" t="s">
        <v>2477</v>
      </c>
      <c r="I22" s="58" t="s">
        <v>2478</v>
      </c>
      <c r="J22" s="58" t="s">
        <v>2128</v>
      </c>
      <c r="K22" s="58" t="s">
        <v>2212</v>
      </c>
      <c r="L22" s="58" t="s">
        <v>581</v>
      </c>
      <c r="M22" s="58">
        <v>25</v>
      </c>
      <c r="N22" s="58" t="s">
        <v>2479</v>
      </c>
      <c r="Q22" s="58">
        <v>1</v>
      </c>
      <c r="R22" s="58">
        <v>1</v>
      </c>
      <c r="S22" s="58">
        <v>1</v>
      </c>
      <c r="T22" s="58">
        <v>1</v>
      </c>
      <c r="U22" s="58">
        <v>1</v>
      </c>
      <c r="V22" s="58">
        <v>1</v>
      </c>
      <c r="W22" s="58">
        <v>1</v>
      </c>
      <c r="X22" s="58">
        <v>1</v>
      </c>
      <c r="Y22" s="58">
        <v>1</v>
      </c>
      <c r="Z22" s="58">
        <v>1</v>
      </c>
      <c r="AA22" s="58">
        <v>1</v>
      </c>
      <c r="AB22" s="58">
        <v>1</v>
      </c>
      <c r="AC22" s="58">
        <v>1</v>
      </c>
      <c r="AD22" s="58">
        <v>1</v>
      </c>
      <c r="AE22" s="58">
        <v>1</v>
      </c>
      <c r="AF22" s="58">
        <v>1</v>
      </c>
      <c r="AG22" s="58">
        <v>1</v>
      </c>
      <c r="AH22" s="58">
        <v>1</v>
      </c>
      <c r="AI22" s="58">
        <v>1</v>
      </c>
      <c r="AJ22" s="58">
        <v>1</v>
      </c>
      <c r="AK22" s="58">
        <v>1</v>
      </c>
      <c r="AL22" s="58">
        <v>1</v>
      </c>
      <c r="AM22" s="58">
        <v>1</v>
      </c>
      <c r="AN22" s="58">
        <v>1</v>
      </c>
      <c r="AO22" s="58" t="s">
        <v>2128</v>
      </c>
      <c r="AP22" s="58" t="s">
        <v>2159</v>
      </c>
      <c r="AQ22" s="58" t="s">
        <v>587</v>
      </c>
      <c r="AR22" s="58" t="s">
        <v>2235</v>
      </c>
      <c r="AS22" s="58" t="s">
        <v>2229</v>
      </c>
      <c r="AT22" s="58" t="s">
        <v>596</v>
      </c>
      <c r="AU22" s="58" t="s">
        <v>664</v>
      </c>
      <c r="AV22" s="58" t="s">
        <v>656</v>
      </c>
      <c r="AW22" s="58" t="s">
        <v>1165</v>
      </c>
      <c r="AX22" s="58">
        <v>45</v>
      </c>
      <c r="AY22" s="58">
        <v>95</v>
      </c>
      <c r="AZ22" s="58">
        <v>111111</v>
      </c>
    </row>
    <row r="23" spans="1:52" s="58" customFormat="1" ht="18" customHeight="1">
      <c r="A23" s="58">
        <v>856</v>
      </c>
      <c r="C23" s="58">
        <v>8</v>
      </c>
      <c r="D23" s="58">
        <v>2</v>
      </c>
      <c r="E23" s="58">
        <v>100</v>
      </c>
      <c r="F23" s="58" t="s">
        <v>865</v>
      </c>
      <c r="G23" s="58" t="s">
        <v>865</v>
      </c>
      <c r="H23" s="58" t="s">
        <v>865</v>
      </c>
      <c r="J23" s="58" t="s">
        <v>611</v>
      </c>
      <c r="K23" s="58" t="s">
        <v>838</v>
      </c>
      <c r="L23" s="58" t="s">
        <v>582</v>
      </c>
      <c r="M23" s="58">
        <v>10</v>
      </c>
      <c r="Q23" s="58">
        <v>2</v>
      </c>
      <c r="R23" s="58">
        <v>2</v>
      </c>
      <c r="S23" s="58">
        <v>2</v>
      </c>
      <c r="T23" s="58">
        <v>2</v>
      </c>
      <c r="U23" s="58">
        <v>2</v>
      </c>
      <c r="V23" s="58">
        <v>2</v>
      </c>
      <c r="W23" s="58">
        <v>2</v>
      </c>
      <c r="X23" s="58">
        <v>2</v>
      </c>
      <c r="Y23" s="58">
        <v>2</v>
      </c>
      <c r="Z23" s="58">
        <v>2</v>
      </c>
      <c r="AA23" s="58">
        <v>2</v>
      </c>
      <c r="AB23" s="58">
        <v>2</v>
      </c>
      <c r="AC23" s="58">
        <v>2</v>
      </c>
      <c r="AD23" s="58">
        <v>2</v>
      </c>
      <c r="AE23" s="58">
        <v>2</v>
      </c>
      <c r="AF23" s="58">
        <v>2</v>
      </c>
      <c r="AG23" s="58">
        <v>2</v>
      </c>
      <c r="AH23" s="58">
        <v>2</v>
      </c>
      <c r="AI23" s="58">
        <v>2</v>
      </c>
      <c r="AJ23" s="58">
        <v>2</v>
      </c>
      <c r="AK23" s="58">
        <v>2</v>
      </c>
      <c r="AL23" s="58">
        <v>2</v>
      </c>
      <c r="AM23" s="58">
        <v>2</v>
      </c>
      <c r="AN23" s="58">
        <v>2</v>
      </c>
      <c r="AQ23" s="58" t="s">
        <v>587</v>
      </c>
      <c r="AU23" s="58" t="s">
        <v>664</v>
      </c>
      <c r="AW23" s="58" t="s">
        <v>1165</v>
      </c>
      <c r="AX23" s="58">
        <v>45</v>
      </c>
      <c r="AY23" s="58">
        <v>78</v>
      </c>
      <c r="AZ23" s="58">
        <v>111111</v>
      </c>
    </row>
    <row r="24" spans="1:52" s="58" customFormat="1" ht="18" customHeight="1">
      <c r="A24" s="58">
        <v>717</v>
      </c>
      <c r="B24" s="58">
        <v>90</v>
      </c>
      <c r="C24" s="58">
        <v>8</v>
      </c>
      <c r="D24" s="58">
        <v>1</v>
      </c>
      <c r="E24" s="58">
        <v>75</v>
      </c>
      <c r="F24" s="58" t="s">
        <v>2431</v>
      </c>
      <c r="G24" s="58" t="s">
        <v>2175</v>
      </c>
      <c r="H24" s="58" t="s">
        <v>1579</v>
      </c>
      <c r="I24" s="58" t="s">
        <v>2480</v>
      </c>
      <c r="J24" s="58" t="s">
        <v>2128</v>
      </c>
      <c r="K24" s="58" t="s">
        <v>2216</v>
      </c>
      <c r="L24" s="58" t="s">
        <v>581</v>
      </c>
      <c r="M24" s="58">
        <v>25</v>
      </c>
      <c r="N24" s="58" t="s">
        <v>2470</v>
      </c>
      <c r="Q24" s="58">
        <v>1</v>
      </c>
      <c r="R24" s="58">
        <v>1</v>
      </c>
      <c r="S24" s="58">
        <v>1</v>
      </c>
      <c r="T24" s="58">
        <v>1</v>
      </c>
      <c r="U24" s="58">
        <v>1</v>
      </c>
      <c r="V24" s="58">
        <v>1</v>
      </c>
      <c r="W24" s="58">
        <v>1</v>
      </c>
      <c r="X24" s="58">
        <v>1</v>
      </c>
      <c r="Y24" s="58">
        <v>1</v>
      </c>
      <c r="Z24" s="58">
        <v>1</v>
      </c>
      <c r="AA24" s="58">
        <v>1</v>
      </c>
      <c r="AB24" s="58">
        <v>1</v>
      </c>
      <c r="AC24" s="58">
        <v>1</v>
      </c>
      <c r="AD24" s="58">
        <v>1</v>
      </c>
      <c r="AE24" s="58">
        <v>1</v>
      </c>
      <c r="AF24" s="58">
        <v>1</v>
      </c>
      <c r="AG24" s="58">
        <v>1</v>
      </c>
      <c r="AH24" s="58">
        <v>1</v>
      </c>
      <c r="AI24" s="58">
        <v>1</v>
      </c>
      <c r="AJ24" s="58">
        <v>1</v>
      </c>
      <c r="AK24" s="58">
        <v>1</v>
      </c>
      <c r="AL24" s="58">
        <v>1</v>
      </c>
      <c r="AM24" s="58">
        <v>1</v>
      </c>
      <c r="AN24" s="58">
        <v>1</v>
      </c>
      <c r="AO24" s="58" t="s">
        <v>2128</v>
      </c>
      <c r="AP24" s="58" t="s">
        <v>2159</v>
      </c>
      <c r="AQ24" s="58" t="s">
        <v>584</v>
      </c>
      <c r="AR24" s="58" t="s">
        <v>2235</v>
      </c>
      <c r="AS24" s="58" t="s">
        <v>2230</v>
      </c>
      <c r="AT24" s="58" t="s">
        <v>596</v>
      </c>
      <c r="AU24" s="58" t="s">
        <v>664</v>
      </c>
      <c r="AV24" s="58" t="s">
        <v>656</v>
      </c>
      <c r="AW24" s="58" t="s">
        <v>1165</v>
      </c>
      <c r="AX24" s="58">
        <v>45</v>
      </c>
      <c r="AY24" s="58">
        <v>18</v>
      </c>
      <c r="AZ24" s="58">
        <v>111111</v>
      </c>
    </row>
    <row r="25" spans="1:52" s="58" customFormat="1" ht="18" customHeight="1">
      <c r="A25" s="58">
        <v>820</v>
      </c>
      <c r="C25" s="58">
        <v>8</v>
      </c>
      <c r="D25" s="58">
        <v>0</v>
      </c>
      <c r="E25" s="58">
        <v>100</v>
      </c>
      <c r="F25" s="58" t="s">
        <v>2171</v>
      </c>
      <c r="G25" s="58" t="s">
        <v>2171</v>
      </c>
      <c r="H25" s="58" t="s">
        <v>2481</v>
      </c>
      <c r="J25" s="58" t="s">
        <v>1491</v>
      </c>
      <c r="K25" s="58" t="s">
        <v>838</v>
      </c>
      <c r="L25" s="58" t="s">
        <v>582</v>
      </c>
      <c r="M25" s="58">
        <v>10</v>
      </c>
      <c r="AU25" s="58" t="s">
        <v>664</v>
      </c>
      <c r="AW25" s="58" t="s">
        <v>1165</v>
      </c>
      <c r="AX25" s="58">
        <v>45</v>
      </c>
      <c r="AY25" s="58">
        <v>42</v>
      </c>
      <c r="AZ25" s="58">
        <v>111111</v>
      </c>
    </row>
    <row r="26" spans="1:52" s="58" customFormat="1" ht="18" customHeight="1">
      <c r="A26" s="58">
        <v>722</v>
      </c>
      <c r="B26" s="58">
        <v>91</v>
      </c>
      <c r="C26" s="58">
        <v>8</v>
      </c>
      <c r="D26" s="58">
        <v>1</v>
      </c>
      <c r="E26" s="58">
        <v>50</v>
      </c>
      <c r="F26" s="58" t="s">
        <v>2229</v>
      </c>
      <c r="G26" s="58" t="s">
        <v>2175</v>
      </c>
      <c r="H26" s="58" t="s">
        <v>2482</v>
      </c>
      <c r="I26" s="58" t="s">
        <v>2483</v>
      </c>
      <c r="J26" s="58" t="s">
        <v>2128</v>
      </c>
      <c r="K26" s="58" t="s">
        <v>2216</v>
      </c>
      <c r="L26" s="58" t="s">
        <v>581</v>
      </c>
      <c r="M26" s="58">
        <v>50</v>
      </c>
      <c r="N26" s="58" t="s">
        <v>2484</v>
      </c>
      <c r="O26" s="162">
        <v>45931</v>
      </c>
      <c r="Q26" s="58">
        <v>1</v>
      </c>
      <c r="R26" s="58">
        <v>1</v>
      </c>
      <c r="S26" s="58">
        <v>1</v>
      </c>
      <c r="T26" s="58">
        <v>1</v>
      </c>
      <c r="U26" s="58">
        <v>1</v>
      </c>
      <c r="V26" s="58">
        <v>1</v>
      </c>
      <c r="W26" s="58">
        <v>1</v>
      </c>
      <c r="X26" s="58">
        <v>1</v>
      </c>
      <c r="Y26" s="58">
        <v>1</v>
      </c>
      <c r="Z26" s="58">
        <v>1</v>
      </c>
      <c r="AA26" s="58">
        <v>1</v>
      </c>
      <c r="AB26" s="58">
        <v>1</v>
      </c>
      <c r="AC26" s="58">
        <v>1</v>
      </c>
      <c r="AD26" s="58">
        <v>1</v>
      </c>
      <c r="AE26" s="58">
        <v>1</v>
      </c>
      <c r="AF26" s="58">
        <v>1</v>
      </c>
      <c r="AG26" s="58">
        <v>1</v>
      </c>
      <c r="AH26" s="58">
        <v>1</v>
      </c>
      <c r="AI26" s="58">
        <v>1</v>
      </c>
      <c r="AJ26" s="58">
        <v>1</v>
      </c>
      <c r="AK26" s="58">
        <v>1</v>
      </c>
      <c r="AL26" s="58">
        <v>1</v>
      </c>
      <c r="AM26" s="58">
        <v>1</v>
      </c>
      <c r="AN26" s="58">
        <v>1</v>
      </c>
      <c r="AO26" s="58" t="s">
        <v>2128</v>
      </c>
      <c r="AP26" s="58" t="s">
        <v>2159</v>
      </c>
      <c r="AQ26" s="58" t="s">
        <v>584</v>
      </c>
      <c r="AR26" s="58" t="s">
        <v>2235</v>
      </c>
      <c r="AT26" s="58" t="s">
        <v>596</v>
      </c>
      <c r="AU26" s="58" t="s">
        <v>664</v>
      </c>
      <c r="AV26" s="58" t="s">
        <v>656</v>
      </c>
      <c r="AW26" s="58" t="s">
        <v>1167</v>
      </c>
      <c r="AX26" s="58">
        <v>45</v>
      </c>
      <c r="AY26" s="58">
        <v>2</v>
      </c>
      <c r="AZ26" s="58">
        <v>111111</v>
      </c>
    </row>
    <row r="27" spans="1:52" s="58" customFormat="1" ht="18" customHeight="1">
      <c r="A27" s="58">
        <v>725</v>
      </c>
      <c r="B27" s="58">
        <v>92</v>
      </c>
      <c r="C27" s="58">
        <v>8</v>
      </c>
      <c r="D27" s="58">
        <v>1</v>
      </c>
      <c r="E27" s="58">
        <v>50</v>
      </c>
      <c r="F27" s="58" t="s">
        <v>2230</v>
      </c>
      <c r="G27" s="58" t="s">
        <v>2175</v>
      </c>
      <c r="H27" s="58" t="s">
        <v>2485</v>
      </c>
      <c r="I27" s="58" t="s">
        <v>2486</v>
      </c>
      <c r="J27" s="58" t="s">
        <v>2128</v>
      </c>
      <c r="K27" s="58" t="s">
        <v>2216</v>
      </c>
      <c r="L27" s="58" t="s">
        <v>581</v>
      </c>
      <c r="M27" s="58">
        <v>25</v>
      </c>
      <c r="N27" s="58" t="s">
        <v>2487</v>
      </c>
      <c r="Q27" s="58">
        <v>1</v>
      </c>
      <c r="R27" s="58">
        <v>1</v>
      </c>
      <c r="S27" s="58">
        <v>1</v>
      </c>
      <c r="T27" s="58">
        <v>1</v>
      </c>
      <c r="U27" s="58">
        <v>1</v>
      </c>
      <c r="V27" s="58">
        <v>1</v>
      </c>
      <c r="W27" s="58">
        <v>1</v>
      </c>
      <c r="X27" s="58">
        <v>1</v>
      </c>
      <c r="Y27" s="58">
        <v>1</v>
      </c>
      <c r="Z27" s="58">
        <v>1</v>
      </c>
      <c r="AA27" s="58">
        <v>1</v>
      </c>
      <c r="AB27" s="58">
        <v>1</v>
      </c>
      <c r="AC27" s="58">
        <v>1</v>
      </c>
      <c r="AD27" s="58">
        <v>1</v>
      </c>
      <c r="AE27" s="58">
        <v>1</v>
      </c>
      <c r="AF27" s="58">
        <v>1</v>
      </c>
      <c r="AG27" s="58">
        <v>1</v>
      </c>
      <c r="AH27" s="58">
        <v>1</v>
      </c>
      <c r="AI27" s="58">
        <v>1</v>
      </c>
      <c r="AJ27" s="58">
        <v>1</v>
      </c>
      <c r="AK27" s="58">
        <v>1</v>
      </c>
      <c r="AL27" s="58">
        <v>1</v>
      </c>
      <c r="AM27" s="58">
        <v>1</v>
      </c>
      <c r="AN27" s="58">
        <v>1</v>
      </c>
      <c r="AO27" s="58" t="s">
        <v>2128</v>
      </c>
      <c r="AP27" s="58" t="s">
        <v>2159</v>
      </c>
      <c r="AQ27" s="58" t="s">
        <v>584</v>
      </c>
      <c r="AR27" s="58" t="s">
        <v>2235</v>
      </c>
      <c r="AT27" s="58" t="s">
        <v>596</v>
      </c>
      <c r="AU27" s="58" t="s">
        <v>664</v>
      </c>
      <c r="AV27" s="58" t="s">
        <v>654</v>
      </c>
      <c r="AW27" s="58" t="s">
        <v>1165</v>
      </c>
      <c r="AX27" s="58">
        <v>45</v>
      </c>
      <c r="AY27" s="58">
        <v>20</v>
      </c>
      <c r="AZ27" s="58">
        <v>111111</v>
      </c>
    </row>
    <row r="28" spans="1:52" s="58" customFormat="1" ht="18" customHeight="1">
      <c r="A28" s="58">
        <v>803</v>
      </c>
      <c r="C28" s="58">
        <v>8</v>
      </c>
      <c r="D28" s="58">
        <v>0</v>
      </c>
      <c r="E28" s="58">
        <v>100</v>
      </c>
      <c r="F28" s="58" t="s">
        <v>588</v>
      </c>
      <c r="G28" s="58" t="s">
        <v>588</v>
      </c>
      <c r="H28" s="58" t="s">
        <v>588</v>
      </c>
      <c r="J28" s="58" t="s">
        <v>2124</v>
      </c>
      <c r="K28" s="58" t="s">
        <v>838</v>
      </c>
      <c r="L28" s="58" t="s">
        <v>582</v>
      </c>
      <c r="M28" s="58">
        <v>10</v>
      </c>
      <c r="AQ28" s="58" t="s">
        <v>587</v>
      </c>
      <c r="AU28" s="58" t="s">
        <v>664</v>
      </c>
      <c r="AW28" s="58" t="s">
        <v>1165</v>
      </c>
      <c r="AX28" s="58">
        <v>45</v>
      </c>
      <c r="AY28" s="58">
        <v>25</v>
      </c>
      <c r="AZ28" s="58">
        <v>111111</v>
      </c>
    </row>
    <row r="29" spans="1:52" s="58" customFormat="1" ht="18" customHeight="1">
      <c r="A29" s="58">
        <v>858</v>
      </c>
      <c r="C29" s="58">
        <v>8</v>
      </c>
      <c r="D29" s="58">
        <v>0</v>
      </c>
      <c r="E29" s="58">
        <v>100</v>
      </c>
      <c r="F29" s="58" t="s">
        <v>2172</v>
      </c>
      <c r="G29" s="58" t="s">
        <v>2172</v>
      </c>
      <c r="H29" s="58" t="s">
        <v>2488</v>
      </c>
      <c r="J29" s="58" t="s">
        <v>2132</v>
      </c>
      <c r="K29" s="58" t="s">
        <v>838</v>
      </c>
      <c r="L29" s="58" t="s">
        <v>582</v>
      </c>
      <c r="M29" s="58">
        <v>10</v>
      </c>
      <c r="AQ29" s="58" t="s">
        <v>586</v>
      </c>
      <c r="AU29" s="58" t="s">
        <v>664</v>
      </c>
      <c r="AW29" s="58" t="s">
        <v>1165</v>
      </c>
      <c r="AX29" s="58">
        <v>45</v>
      </c>
      <c r="AY29" s="58">
        <v>80</v>
      </c>
      <c r="AZ29" s="58">
        <v>111111</v>
      </c>
    </row>
    <row r="30" spans="1:52" s="58" customFormat="1" ht="18" customHeight="1">
      <c r="A30" s="58">
        <v>849</v>
      </c>
      <c r="C30" s="58">
        <v>8</v>
      </c>
      <c r="D30" s="58">
        <v>1</v>
      </c>
      <c r="E30" s="58">
        <v>100</v>
      </c>
      <c r="F30" s="58" t="s">
        <v>2173</v>
      </c>
      <c r="G30" s="58" t="s">
        <v>2173</v>
      </c>
      <c r="H30" s="58" t="s">
        <v>2489</v>
      </c>
      <c r="J30" s="58" t="s">
        <v>2131</v>
      </c>
      <c r="K30" s="58" t="s">
        <v>838</v>
      </c>
      <c r="L30" s="58" t="s">
        <v>582</v>
      </c>
      <c r="M30" s="58">
        <v>10</v>
      </c>
      <c r="Q30" s="58">
        <v>1</v>
      </c>
      <c r="R30" s="58">
        <v>1</v>
      </c>
      <c r="S30" s="58">
        <v>1</v>
      </c>
      <c r="T30" s="58">
        <v>1</v>
      </c>
      <c r="U30" s="58">
        <v>1</v>
      </c>
      <c r="V30" s="58">
        <v>1</v>
      </c>
      <c r="W30" s="58">
        <v>1</v>
      </c>
      <c r="X30" s="58">
        <v>1</v>
      </c>
      <c r="Y30" s="58">
        <v>1</v>
      </c>
      <c r="Z30" s="58">
        <v>1</v>
      </c>
      <c r="AA30" s="58">
        <v>1</v>
      </c>
      <c r="AB30" s="58">
        <v>1</v>
      </c>
      <c r="AC30" s="58">
        <v>1</v>
      </c>
      <c r="AD30" s="58">
        <v>1</v>
      </c>
      <c r="AE30" s="58">
        <v>1</v>
      </c>
      <c r="AF30" s="58">
        <v>1</v>
      </c>
      <c r="AG30" s="58">
        <v>1</v>
      </c>
      <c r="AH30" s="58">
        <v>1</v>
      </c>
      <c r="AI30" s="58">
        <v>1</v>
      </c>
      <c r="AJ30" s="58">
        <v>1</v>
      </c>
      <c r="AK30" s="58">
        <v>1</v>
      </c>
      <c r="AL30" s="58">
        <v>1</v>
      </c>
      <c r="AM30" s="58">
        <v>1</v>
      </c>
      <c r="AN30" s="58">
        <v>1</v>
      </c>
      <c r="AQ30" s="58" t="s">
        <v>584</v>
      </c>
      <c r="AU30" s="58" t="s">
        <v>664</v>
      </c>
      <c r="AW30" s="58" t="s">
        <v>1165</v>
      </c>
      <c r="AX30" s="58">
        <v>45</v>
      </c>
      <c r="AY30" s="58">
        <v>71</v>
      </c>
      <c r="AZ30" s="58">
        <v>111111</v>
      </c>
    </row>
    <row r="31" spans="1:52" s="58" customFormat="1" ht="18" customHeight="1">
      <c r="A31" s="58">
        <v>866</v>
      </c>
      <c r="C31" s="58">
        <v>8</v>
      </c>
      <c r="D31" s="58">
        <v>1</v>
      </c>
      <c r="E31" s="58">
        <v>100</v>
      </c>
      <c r="F31" s="58" t="s">
        <v>2174</v>
      </c>
      <c r="G31" s="58" t="s">
        <v>2174</v>
      </c>
      <c r="H31" s="58" t="s">
        <v>2490</v>
      </c>
      <c r="J31" s="58" t="s">
        <v>2128</v>
      </c>
      <c r="K31" s="58" t="s">
        <v>838</v>
      </c>
      <c r="L31" s="58" t="s">
        <v>582</v>
      </c>
      <c r="M31" s="58">
        <v>10</v>
      </c>
      <c r="Q31" s="58">
        <v>1</v>
      </c>
      <c r="R31" s="58">
        <v>1</v>
      </c>
      <c r="S31" s="58">
        <v>1</v>
      </c>
      <c r="T31" s="58">
        <v>1</v>
      </c>
      <c r="U31" s="58">
        <v>1</v>
      </c>
      <c r="V31" s="58">
        <v>1</v>
      </c>
      <c r="W31" s="58">
        <v>1</v>
      </c>
      <c r="X31" s="58">
        <v>1</v>
      </c>
      <c r="Y31" s="58">
        <v>1</v>
      </c>
      <c r="Z31" s="58">
        <v>1</v>
      </c>
      <c r="AA31" s="58">
        <v>1</v>
      </c>
      <c r="AB31" s="58">
        <v>1</v>
      </c>
      <c r="AC31" s="58">
        <v>1</v>
      </c>
      <c r="AD31" s="58">
        <v>1</v>
      </c>
      <c r="AE31" s="58">
        <v>1</v>
      </c>
      <c r="AF31" s="58">
        <v>1</v>
      </c>
      <c r="AG31" s="58">
        <v>1</v>
      </c>
      <c r="AH31" s="58">
        <v>1</v>
      </c>
      <c r="AI31" s="58">
        <v>1</v>
      </c>
      <c r="AJ31" s="58">
        <v>1</v>
      </c>
      <c r="AK31" s="58">
        <v>1</v>
      </c>
      <c r="AL31" s="58">
        <v>1</v>
      </c>
      <c r="AM31" s="58">
        <v>1</v>
      </c>
      <c r="AN31" s="58">
        <v>1</v>
      </c>
      <c r="AU31" s="58" t="s">
        <v>664</v>
      </c>
      <c r="AW31" s="58" t="s">
        <v>1165</v>
      </c>
      <c r="AX31" s="58">
        <v>45</v>
      </c>
      <c r="AY31" s="58">
        <v>88</v>
      </c>
      <c r="AZ31" s="58">
        <v>111111</v>
      </c>
    </row>
    <row r="32" spans="1:52" s="58" customFormat="1" ht="18" customHeight="1">
      <c r="A32" s="58">
        <v>726</v>
      </c>
      <c r="B32" s="58">
        <v>93</v>
      </c>
      <c r="C32" s="58">
        <v>8</v>
      </c>
      <c r="D32" s="58">
        <v>1</v>
      </c>
      <c r="E32" s="58">
        <v>50</v>
      </c>
      <c r="F32" s="58" t="s">
        <v>2231</v>
      </c>
      <c r="G32" s="58" t="s">
        <v>2175</v>
      </c>
      <c r="H32" s="58" t="s">
        <v>2491</v>
      </c>
      <c r="I32" s="58" t="s">
        <v>2492</v>
      </c>
      <c r="J32" s="58" t="s">
        <v>2128</v>
      </c>
      <c r="K32" s="58" t="s">
        <v>2216</v>
      </c>
      <c r="L32" s="58" t="s">
        <v>581</v>
      </c>
      <c r="M32" s="58">
        <v>25</v>
      </c>
      <c r="N32" s="58" t="s">
        <v>2493</v>
      </c>
      <c r="Q32" s="58">
        <v>1</v>
      </c>
      <c r="R32" s="58">
        <v>1</v>
      </c>
      <c r="S32" s="58">
        <v>1</v>
      </c>
      <c r="T32" s="58">
        <v>1</v>
      </c>
      <c r="U32" s="58">
        <v>1</v>
      </c>
      <c r="V32" s="58">
        <v>1</v>
      </c>
      <c r="W32" s="58">
        <v>1</v>
      </c>
      <c r="X32" s="58">
        <v>1</v>
      </c>
      <c r="Y32" s="58">
        <v>1</v>
      </c>
      <c r="Z32" s="58">
        <v>1</v>
      </c>
      <c r="AA32" s="58">
        <v>1</v>
      </c>
      <c r="AB32" s="58">
        <v>1</v>
      </c>
      <c r="AC32" s="58">
        <v>1</v>
      </c>
      <c r="AD32" s="58">
        <v>1</v>
      </c>
      <c r="AE32" s="58">
        <v>1</v>
      </c>
      <c r="AF32" s="58">
        <v>1</v>
      </c>
      <c r="AG32" s="58">
        <v>1</v>
      </c>
      <c r="AH32" s="58">
        <v>1</v>
      </c>
      <c r="AI32" s="58">
        <v>1</v>
      </c>
      <c r="AJ32" s="58">
        <v>1</v>
      </c>
      <c r="AK32" s="58">
        <v>1</v>
      </c>
      <c r="AL32" s="58">
        <v>1</v>
      </c>
      <c r="AM32" s="58">
        <v>1</v>
      </c>
      <c r="AN32" s="58">
        <v>1</v>
      </c>
      <c r="AO32" s="58" t="s">
        <v>2128</v>
      </c>
      <c r="AP32" s="58" t="s">
        <v>2159</v>
      </c>
      <c r="AQ32" s="58" t="s">
        <v>584</v>
      </c>
      <c r="AR32" s="58" t="s">
        <v>2235</v>
      </c>
      <c r="AT32" s="58" t="s">
        <v>596</v>
      </c>
      <c r="AU32" s="58" t="s">
        <v>664</v>
      </c>
      <c r="AV32" s="58" t="s">
        <v>654</v>
      </c>
      <c r="AW32" s="58" t="s">
        <v>1165</v>
      </c>
      <c r="AX32" s="58">
        <v>45</v>
      </c>
      <c r="AY32" s="58">
        <v>20</v>
      </c>
      <c r="AZ32" s="58">
        <v>111111</v>
      </c>
    </row>
    <row r="33" spans="1:52" s="58" customFormat="1" ht="18" customHeight="1">
      <c r="A33" s="58">
        <v>787</v>
      </c>
      <c r="B33" s="58">
        <v>94</v>
      </c>
      <c r="C33" s="58">
        <v>8</v>
      </c>
      <c r="D33" s="58">
        <v>1</v>
      </c>
      <c r="E33" s="58">
        <v>75</v>
      </c>
      <c r="F33" s="58" t="s">
        <v>2494</v>
      </c>
      <c r="G33" s="58" t="s">
        <v>2164</v>
      </c>
      <c r="H33" s="58" t="s">
        <v>2495</v>
      </c>
      <c r="I33" s="58" t="s">
        <v>2496</v>
      </c>
      <c r="J33" s="58" t="s">
        <v>2146</v>
      </c>
      <c r="K33" s="58" t="s">
        <v>2195</v>
      </c>
      <c r="L33" s="58" t="s">
        <v>581</v>
      </c>
      <c r="M33" s="58">
        <v>25</v>
      </c>
      <c r="N33" s="58" t="s">
        <v>2497</v>
      </c>
      <c r="Q33" s="58">
        <v>1</v>
      </c>
      <c r="R33" s="58">
        <v>1</v>
      </c>
      <c r="S33" s="58">
        <v>1</v>
      </c>
      <c r="T33" s="58">
        <v>1</v>
      </c>
      <c r="U33" s="58">
        <v>1</v>
      </c>
      <c r="V33" s="58">
        <v>1</v>
      </c>
      <c r="W33" s="58">
        <v>1</v>
      </c>
      <c r="X33" s="58">
        <v>1</v>
      </c>
      <c r="Y33" s="58">
        <v>1</v>
      </c>
      <c r="Z33" s="58">
        <v>1</v>
      </c>
      <c r="AA33" s="58">
        <v>1</v>
      </c>
      <c r="AB33" s="58">
        <v>1</v>
      </c>
      <c r="AC33" s="58">
        <v>1</v>
      </c>
      <c r="AD33" s="58">
        <v>1</v>
      </c>
      <c r="AE33" s="58">
        <v>1</v>
      </c>
      <c r="AF33" s="58">
        <v>1</v>
      </c>
      <c r="AG33" s="58">
        <v>1</v>
      </c>
      <c r="AH33" s="58">
        <v>1</v>
      </c>
      <c r="AI33" s="58">
        <v>1</v>
      </c>
      <c r="AJ33" s="58">
        <v>1</v>
      </c>
      <c r="AK33" s="58">
        <v>1</v>
      </c>
      <c r="AL33" s="58">
        <v>1</v>
      </c>
      <c r="AM33" s="58">
        <v>1</v>
      </c>
      <c r="AN33" s="58">
        <v>1</v>
      </c>
      <c r="AO33" s="58" t="s">
        <v>668</v>
      </c>
      <c r="AP33" s="58" t="s">
        <v>2157</v>
      </c>
      <c r="AQ33" s="58" t="s">
        <v>586</v>
      </c>
      <c r="AR33" s="58" t="s">
        <v>2234</v>
      </c>
      <c r="AT33" s="58" t="s">
        <v>596</v>
      </c>
      <c r="AU33" s="58" t="s">
        <v>664</v>
      </c>
      <c r="AV33" s="58" t="s">
        <v>1417</v>
      </c>
      <c r="AW33" s="58" t="s">
        <v>1165</v>
      </c>
      <c r="AX33" s="58">
        <v>45</v>
      </c>
      <c r="AY33" s="58">
        <v>91</v>
      </c>
      <c r="AZ33" s="58">
        <v>111111</v>
      </c>
    </row>
    <row r="34" spans="1:52" s="58" customFormat="1" ht="18" customHeight="1">
      <c r="A34" s="58">
        <v>810</v>
      </c>
      <c r="C34" s="58">
        <v>8</v>
      </c>
      <c r="D34" s="58">
        <v>2</v>
      </c>
      <c r="E34" s="58">
        <v>100</v>
      </c>
      <c r="F34" s="58" t="s">
        <v>1388</v>
      </c>
      <c r="G34" s="58" t="s">
        <v>1388</v>
      </c>
      <c r="H34" s="58" t="s">
        <v>2498</v>
      </c>
      <c r="J34" s="58" t="s">
        <v>2138</v>
      </c>
      <c r="K34" s="58" t="s">
        <v>838</v>
      </c>
      <c r="L34" s="58" t="s">
        <v>582</v>
      </c>
      <c r="M34" s="58">
        <v>10</v>
      </c>
      <c r="Q34" s="58">
        <v>2</v>
      </c>
      <c r="R34" s="58">
        <v>2</v>
      </c>
      <c r="S34" s="58">
        <v>2</v>
      </c>
      <c r="T34" s="58">
        <v>2</v>
      </c>
      <c r="U34" s="58">
        <v>2</v>
      </c>
      <c r="V34" s="58">
        <v>2</v>
      </c>
      <c r="W34" s="58">
        <v>2</v>
      </c>
      <c r="X34" s="58">
        <v>2</v>
      </c>
      <c r="Y34" s="58">
        <v>2</v>
      </c>
      <c r="Z34" s="58">
        <v>2</v>
      </c>
      <c r="AA34" s="58">
        <v>2</v>
      </c>
      <c r="AB34" s="58">
        <v>2</v>
      </c>
      <c r="AC34" s="58">
        <v>2</v>
      </c>
      <c r="AD34" s="58">
        <v>2</v>
      </c>
      <c r="AE34" s="58">
        <v>2</v>
      </c>
      <c r="AF34" s="58">
        <v>2</v>
      </c>
      <c r="AG34" s="58">
        <v>2</v>
      </c>
      <c r="AH34" s="58">
        <v>2</v>
      </c>
      <c r="AI34" s="58">
        <v>2</v>
      </c>
      <c r="AJ34" s="58">
        <v>2</v>
      </c>
      <c r="AK34" s="58">
        <v>2</v>
      </c>
      <c r="AL34" s="58">
        <v>2</v>
      </c>
      <c r="AM34" s="58">
        <v>2</v>
      </c>
      <c r="AN34" s="58">
        <v>2</v>
      </c>
      <c r="AU34" s="58" t="s">
        <v>664</v>
      </c>
      <c r="AW34" s="58" t="s">
        <v>1165</v>
      </c>
      <c r="AX34" s="58">
        <v>45</v>
      </c>
      <c r="AY34" s="58">
        <v>32</v>
      </c>
      <c r="AZ34" s="58">
        <v>111111</v>
      </c>
    </row>
    <row r="35" spans="1:52" s="58" customFormat="1" ht="18" customHeight="1">
      <c r="A35" s="58">
        <v>719</v>
      </c>
      <c r="B35" s="58">
        <v>95</v>
      </c>
      <c r="C35" s="58">
        <v>8</v>
      </c>
      <c r="D35" s="58">
        <v>1</v>
      </c>
      <c r="E35" s="58">
        <v>50</v>
      </c>
      <c r="F35" s="58" t="s">
        <v>1092</v>
      </c>
      <c r="G35" s="58" t="s">
        <v>614</v>
      </c>
      <c r="H35" s="58" t="s">
        <v>1580</v>
      </c>
      <c r="I35" s="58" t="s">
        <v>2499</v>
      </c>
      <c r="J35" s="58" t="s">
        <v>2146</v>
      </c>
      <c r="K35" s="58" t="s">
        <v>2206</v>
      </c>
      <c r="L35" s="58" t="s">
        <v>581</v>
      </c>
      <c r="M35" s="58">
        <v>25</v>
      </c>
      <c r="N35" s="58" t="s">
        <v>2500</v>
      </c>
      <c r="Q35" s="58">
        <v>1</v>
      </c>
      <c r="R35" s="58">
        <v>1</v>
      </c>
      <c r="S35" s="58">
        <v>1</v>
      </c>
      <c r="T35" s="58">
        <v>1</v>
      </c>
      <c r="U35" s="58">
        <v>1</v>
      </c>
      <c r="V35" s="58">
        <v>1</v>
      </c>
      <c r="W35" s="58">
        <v>1</v>
      </c>
      <c r="X35" s="58">
        <v>1</v>
      </c>
      <c r="Y35" s="58">
        <v>1</v>
      </c>
      <c r="Z35" s="58">
        <v>1</v>
      </c>
      <c r="AA35" s="58">
        <v>1</v>
      </c>
      <c r="AB35" s="58">
        <v>1</v>
      </c>
      <c r="AC35" s="58">
        <v>1</v>
      </c>
      <c r="AD35" s="58">
        <v>1</v>
      </c>
      <c r="AE35" s="58">
        <v>1</v>
      </c>
      <c r="AF35" s="58">
        <v>1</v>
      </c>
      <c r="AG35" s="58">
        <v>1</v>
      </c>
      <c r="AH35" s="58">
        <v>1</v>
      </c>
      <c r="AI35" s="58">
        <v>1</v>
      </c>
      <c r="AJ35" s="58">
        <v>1</v>
      </c>
      <c r="AK35" s="58">
        <v>1</v>
      </c>
      <c r="AL35" s="58">
        <v>1</v>
      </c>
      <c r="AM35" s="58">
        <v>1</v>
      </c>
      <c r="AN35" s="58">
        <v>1</v>
      </c>
      <c r="AO35" s="58" t="s">
        <v>668</v>
      </c>
      <c r="AP35" s="58" t="s">
        <v>2157</v>
      </c>
      <c r="AQ35" s="58" t="s">
        <v>586</v>
      </c>
      <c r="AT35" s="58" t="s">
        <v>596</v>
      </c>
      <c r="AU35" s="58" t="s">
        <v>664</v>
      </c>
      <c r="AV35" s="58" t="s">
        <v>654</v>
      </c>
      <c r="AW35" s="58" t="s">
        <v>1165</v>
      </c>
      <c r="AX35" s="58">
        <v>45</v>
      </c>
      <c r="AY35" s="58">
        <v>20</v>
      </c>
      <c r="AZ35" s="58">
        <v>111111</v>
      </c>
    </row>
    <row r="36" spans="1:52" s="58" customFormat="1" ht="18" customHeight="1">
      <c r="A36" s="58">
        <v>819</v>
      </c>
      <c r="C36" s="58">
        <v>8</v>
      </c>
      <c r="D36" s="58">
        <v>1</v>
      </c>
      <c r="E36" s="58">
        <v>100</v>
      </c>
      <c r="F36" s="58" t="s">
        <v>483</v>
      </c>
      <c r="G36" s="58" t="s">
        <v>483</v>
      </c>
      <c r="H36" s="58" t="s">
        <v>483</v>
      </c>
      <c r="J36" s="58" t="s">
        <v>1491</v>
      </c>
      <c r="K36" s="58" t="s">
        <v>838</v>
      </c>
      <c r="L36" s="58" t="s">
        <v>582</v>
      </c>
      <c r="M36" s="58">
        <v>10</v>
      </c>
      <c r="Q36" s="58">
        <v>1</v>
      </c>
      <c r="R36" s="58">
        <v>1</v>
      </c>
      <c r="S36" s="58">
        <v>1</v>
      </c>
      <c r="T36" s="58">
        <v>1</v>
      </c>
      <c r="U36" s="58">
        <v>1</v>
      </c>
      <c r="V36" s="58">
        <v>1</v>
      </c>
      <c r="W36" s="58">
        <v>1</v>
      </c>
      <c r="X36" s="58">
        <v>1</v>
      </c>
      <c r="Y36" s="58">
        <v>1</v>
      </c>
      <c r="Z36" s="58">
        <v>1</v>
      </c>
      <c r="AA36" s="58">
        <v>1</v>
      </c>
      <c r="AB36" s="58">
        <v>1</v>
      </c>
      <c r="AC36" s="58">
        <v>1</v>
      </c>
      <c r="AD36" s="58">
        <v>1</v>
      </c>
      <c r="AE36" s="58">
        <v>1</v>
      </c>
      <c r="AF36" s="58">
        <v>1</v>
      </c>
      <c r="AG36" s="58">
        <v>1</v>
      </c>
      <c r="AH36" s="58">
        <v>1</v>
      </c>
      <c r="AI36" s="58">
        <v>1</v>
      </c>
      <c r="AJ36" s="58">
        <v>1</v>
      </c>
      <c r="AK36" s="58">
        <v>1</v>
      </c>
      <c r="AL36" s="58">
        <v>1</v>
      </c>
      <c r="AM36" s="58">
        <v>1</v>
      </c>
      <c r="AN36" s="58">
        <v>1</v>
      </c>
      <c r="AU36" s="58" t="s">
        <v>664</v>
      </c>
      <c r="AW36" s="58" t="s">
        <v>1165</v>
      </c>
      <c r="AX36" s="58">
        <v>45</v>
      </c>
      <c r="AY36" s="58">
        <v>41</v>
      </c>
      <c r="AZ36" s="58">
        <v>111111</v>
      </c>
    </row>
    <row r="37" spans="1:52" s="58" customFormat="1" ht="18" customHeight="1">
      <c r="A37" s="58">
        <v>786</v>
      </c>
      <c r="B37" s="58">
        <v>96</v>
      </c>
      <c r="C37" s="58">
        <v>8</v>
      </c>
      <c r="D37" s="58">
        <v>1</v>
      </c>
      <c r="E37" s="58">
        <v>75</v>
      </c>
      <c r="F37" s="58" t="s">
        <v>2234</v>
      </c>
      <c r="G37" s="58" t="s">
        <v>2166</v>
      </c>
      <c r="H37" s="58" t="s">
        <v>2501</v>
      </c>
      <c r="I37" s="58" t="s">
        <v>2502</v>
      </c>
      <c r="J37" s="58" t="s">
        <v>2146</v>
      </c>
      <c r="K37" s="58" t="s">
        <v>2199</v>
      </c>
      <c r="L37" s="58" t="s">
        <v>581</v>
      </c>
      <c r="M37" s="58">
        <v>25</v>
      </c>
      <c r="N37" s="58" t="s">
        <v>2503</v>
      </c>
      <c r="Q37" s="58">
        <v>1</v>
      </c>
      <c r="R37" s="58">
        <v>1</v>
      </c>
      <c r="S37" s="58">
        <v>1</v>
      </c>
      <c r="T37" s="58">
        <v>1</v>
      </c>
      <c r="U37" s="58">
        <v>1</v>
      </c>
      <c r="V37" s="58">
        <v>1</v>
      </c>
      <c r="W37" s="58">
        <v>1</v>
      </c>
      <c r="X37" s="58">
        <v>1</v>
      </c>
      <c r="Y37" s="58">
        <v>1</v>
      </c>
      <c r="Z37" s="58">
        <v>1</v>
      </c>
      <c r="AA37" s="58">
        <v>1</v>
      </c>
      <c r="AB37" s="58">
        <v>1</v>
      </c>
      <c r="AC37" s="58">
        <v>1</v>
      </c>
      <c r="AD37" s="58">
        <v>1</v>
      </c>
      <c r="AE37" s="58">
        <v>1</v>
      </c>
      <c r="AF37" s="58">
        <v>1</v>
      </c>
      <c r="AG37" s="58">
        <v>1</v>
      </c>
      <c r="AH37" s="58">
        <v>1</v>
      </c>
      <c r="AI37" s="58">
        <v>1</v>
      </c>
      <c r="AJ37" s="58">
        <v>1</v>
      </c>
      <c r="AK37" s="58">
        <v>1</v>
      </c>
      <c r="AL37" s="58">
        <v>1</v>
      </c>
      <c r="AM37" s="58">
        <v>1</v>
      </c>
      <c r="AN37" s="58">
        <v>1</v>
      </c>
      <c r="AO37" s="58" t="s">
        <v>668</v>
      </c>
      <c r="AP37" s="58" t="s">
        <v>2157</v>
      </c>
      <c r="AQ37" s="58" t="s">
        <v>587</v>
      </c>
      <c r="AT37" s="58" t="s">
        <v>596</v>
      </c>
      <c r="AU37" s="58" t="s">
        <v>664</v>
      </c>
      <c r="AV37" s="58" t="s">
        <v>654</v>
      </c>
      <c r="AW37" s="58" t="s">
        <v>1165</v>
      </c>
      <c r="AX37" s="58">
        <v>45</v>
      </c>
      <c r="AY37" s="58">
        <v>90</v>
      </c>
      <c r="AZ37" s="58">
        <v>111111</v>
      </c>
    </row>
    <row r="38" spans="1:52" s="58" customFormat="1" ht="18" customHeight="1">
      <c r="A38" s="58">
        <v>774</v>
      </c>
      <c r="B38" s="58">
        <v>97</v>
      </c>
      <c r="C38" s="58">
        <v>8</v>
      </c>
      <c r="D38" s="58">
        <v>1</v>
      </c>
      <c r="E38" s="58">
        <v>100</v>
      </c>
      <c r="F38" s="58" t="s">
        <v>2157</v>
      </c>
      <c r="G38" s="58" t="s">
        <v>588</v>
      </c>
      <c r="H38" s="58" t="s">
        <v>2504</v>
      </c>
      <c r="I38" s="58" t="s">
        <v>2505</v>
      </c>
      <c r="J38" s="58" t="s">
        <v>2131</v>
      </c>
      <c r="K38" s="58" t="s">
        <v>2131</v>
      </c>
      <c r="L38" s="58" t="s">
        <v>581</v>
      </c>
      <c r="M38" s="58">
        <v>10</v>
      </c>
      <c r="N38" s="58" t="s">
        <v>2506</v>
      </c>
      <c r="Q38" s="58">
        <v>1</v>
      </c>
      <c r="R38" s="58">
        <v>1</v>
      </c>
      <c r="S38" s="58">
        <v>1</v>
      </c>
      <c r="T38" s="58">
        <v>1</v>
      </c>
      <c r="U38" s="58">
        <v>1</v>
      </c>
      <c r="V38" s="58">
        <v>1</v>
      </c>
      <c r="W38" s="58">
        <v>1</v>
      </c>
      <c r="X38" s="58">
        <v>1</v>
      </c>
      <c r="Y38" s="58">
        <v>1</v>
      </c>
      <c r="Z38" s="58">
        <v>1</v>
      </c>
      <c r="AA38" s="58">
        <v>1</v>
      </c>
      <c r="AB38" s="58">
        <v>1</v>
      </c>
      <c r="AC38" s="58">
        <v>1</v>
      </c>
      <c r="AD38" s="58">
        <v>1</v>
      </c>
      <c r="AE38" s="58">
        <v>1</v>
      </c>
      <c r="AF38" s="58">
        <v>1</v>
      </c>
      <c r="AG38" s="58">
        <v>1</v>
      </c>
      <c r="AH38" s="58">
        <v>1</v>
      </c>
      <c r="AI38" s="58">
        <v>1</v>
      </c>
      <c r="AJ38" s="58">
        <v>1</v>
      </c>
      <c r="AK38" s="58">
        <v>1</v>
      </c>
      <c r="AL38" s="58">
        <v>1</v>
      </c>
      <c r="AM38" s="58">
        <v>1</v>
      </c>
      <c r="AN38" s="58">
        <v>1</v>
      </c>
      <c r="AO38" s="58" t="s">
        <v>668</v>
      </c>
      <c r="AQ38" s="58" t="s">
        <v>586</v>
      </c>
      <c r="AR38" s="58" t="s">
        <v>2234</v>
      </c>
      <c r="AT38" s="58" t="s">
        <v>596</v>
      </c>
      <c r="AU38" s="58" t="s">
        <v>664</v>
      </c>
      <c r="AV38" s="58" t="s">
        <v>656</v>
      </c>
      <c r="AW38" s="58" t="s">
        <v>1167</v>
      </c>
      <c r="AX38" s="58">
        <v>45</v>
      </c>
    </row>
    <row r="39" spans="1:52" s="58" customFormat="1" ht="18" customHeight="1">
      <c r="A39" s="58">
        <v>792</v>
      </c>
      <c r="B39" s="58">
        <v>98</v>
      </c>
      <c r="C39" s="58">
        <v>8</v>
      </c>
      <c r="D39" s="58">
        <v>1</v>
      </c>
      <c r="E39" s="58">
        <v>75</v>
      </c>
      <c r="F39" s="58" t="s">
        <v>2507</v>
      </c>
      <c r="G39" s="58" t="s">
        <v>2173</v>
      </c>
      <c r="H39" s="58" t="s">
        <v>2508</v>
      </c>
      <c r="I39" s="58" t="s">
        <v>2509</v>
      </c>
      <c r="J39" s="58" t="s">
        <v>2131</v>
      </c>
      <c r="K39" s="58" t="s">
        <v>2211</v>
      </c>
      <c r="L39" s="58" t="s">
        <v>581</v>
      </c>
      <c r="M39" s="58">
        <v>25</v>
      </c>
      <c r="N39" s="58" t="s">
        <v>2510</v>
      </c>
      <c r="Q39" s="58">
        <v>1</v>
      </c>
      <c r="R39" s="58">
        <v>1</v>
      </c>
      <c r="S39" s="58">
        <v>1</v>
      </c>
      <c r="T39" s="58">
        <v>1</v>
      </c>
      <c r="U39" s="58">
        <v>1</v>
      </c>
      <c r="V39" s="58">
        <v>1</v>
      </c>
      <c r="W39" s="58">
        <v>1</v>
      </c>
      <c r="X39" s="58">
        <v>1</v>
      </c>
      <c r="Y39" s="58">
        <v>1</v>
      </c>
      <c r="Z39" s="58">
        <v>1</v>
      </c>
      <c r="AA39" s="58">
        <v>1</v>
      </c>
      <c r="AB39" s="58">
        <v>1</v>
      </c>
      <c r="AC39" s="58">
        <v>1</v>
      </c>
      <c r="AD39" s="58">
        <v>1</v>
      </c>
      <c r="AE39" s="58">
        <v>1</v>
      </c>
      <c r="AF39" s="58">
        <v>1</v>
      </c>
      <c r="AG39" s="58">
        <v>1</v>
      </c>
      <c r="AH39" s="58">
        <v>1</v>
      </c>
      <c r="AI39" s="58">
        <v>1</v>
      </c>
      <c r="AJ39" s="58">
        <v>1</v>
      </c>
      <c r="AK39" s="58">
        <v>1</v>
      </c>
      <c r="AL39" s="58">
        <v>1</v>
      </c>
      <c r="AM39" s="58">
        <v>1</v>
      </c>
      <c r="AN39" s="58">
        <v>1</v>
      </c>
      <c r="AO39" s="58" t="s">
        <v>668</v>
      </c>
      <c r="AP39" s="58" t="s">
        <v>2157</v>
      </c>
      <c r="AQ39" s="58" t="s">
        <v>587</v>
      </c>
      <c r="AR39" s="58" t="s">
        <v>2234</v>
      </c>
      <c r="AS39" s="58" t="s">
        <v>2231</v>
      </c>
      <c r="AT39" s="58" t="s">
        <v>596</v>
      </c>
      <c r="AU39" s="58" t="s">
        <v>664</v>
      </c>
      <c r="AV39" s="58" t="s">
        <v>656</v>
      </c>
      <c r="AW39" s="58" t="s">
        <v>1165</v>
      </c>
      <c r="AX39" s="58">
        <v>45</v>
      </c>
      <c r="AY39" s="58">
        <v>96</v>
      </c>
      <c r="AZ39" s="58">
        <v>111111</v>
      </c>
    </row>
    <row r="40" spans="1:52" s="58" customFormat="1" ht="18" customHeight="1">
      <c r="A40" s="58">
        <v>784</v>
      </c>
      <c r="B40" s="58">
        <v>99</v>
      </c>
      <c r="C40" s="58">
        <v>8</v>
      </c>
      <c r="D40" s="58">
        <v>1</v>
      </c>
      <c r="E40" s="58">
        <v>75</v>
      </c>
      <c r="F40" s="58" t="s">
        <v>2511</v>
      </c>
      <c r="G40" s="58" t="s">
        <v>2178</v>
      </c>
      <c r="H40" s="58" t="s">
        <v>2512</v>
      </c>
      <c r="I40" s="58" t="s">
        <v>2513</v>
      </c>
      <c r="J40" s="58" t="s">
        <v>2146</v>
      </c>
      <c r="K40" s="58" t="s">
        <v>2207</v>
      </c>
      <c r="L40" s="58" t="s">
        <v>581</v>
      </c>
      <c r="M40" s="58">
        <v>25</v>
      </c>
      <c r="N40" s="58" t="s">
        <v>2514</v>
      </c>
      <c r="Q40" s="58">
        <v>1</v>
      </c>
      <c r="R40" s="58">
        <v>1</v>
      </c>
      <c r="S40" s="58">
        <v>1</v>
      </c>
      <c r="T40" s="58">
        <v>1</v>
      </c>
      <c r="U40" s="58">
        <v>1</v>
      </c>
      <c r="V40" s="58">
        <v>1</v>
      </c>
      <c r="W40" s="58">
        <v>1</v>
      </c>
      <c r="X40" s="58">
        <v>1</v>
      </c>
      <c r="Y40" s="58">
        <v>1</v>
      </c>
      <c r="Z40" s="58">
        <v>1</v>
      </c>
      <c r="AA40" s="58">
        <v>1</v>
      </c>
      <c r="AB40" s="58">
        <v>1</v>
      </c>
      <c r="AC40" s="58">
        <v>1</v>
      </c>
      <c r="AD40" s="58">
        <v>1</v>
      </c>
      <c r="AE40" s="58">
        <v>1</v>
      </c>
      <c r="AF40" s="58">
        <v>1</v>
      </c>
      <c r="AG40" s="58">
        <v>1</v>
      </c>
      <c r="AH40" s="58">
        <v>1</v>
      </c>
      <c r="AI40" s="58">
        <v>1</v>
      </c>
      <c r="AJ40" s="58">
        <v>1</v>
      </c>
      <c r="AK40" s="58">
        <v>1</v>
      </c>
      <c r="AL40" s="58">
        <v>1</v>
      </c>
      <c r="AM40" s="58">
        <v>1</v>
      </c>
      <c r="AN40" s="58">
        <v>1</v>
      </c>
      <c r="AO40" s="58" t="s">
        <v>668</v>
      </c>
      <c r="AP40" s="58" t="s">
        <v>2157</v>
      </c>
      <c r="AQ40" s="58" t="s">
        <v>584</v>
      </c>
      <c r="AR40" s="58" t="s">
        <v>1092</v>
      </c>
      <c r="AT40" s="58" t="s">
        <v>596</v>
      </c>
      <c r="AU40" s="58" t="s">
        <v>664</v>
      </c>
      <c r="AV40" s="58" t="s">
        <v>1417</v>
      </c>
      <c r="AW40" s="58" t="s">
        <v>1166</v>
      </c>
      <c r="AX40" s="58">
        <v>45</v>
      </c>
      <c r="AY40" s="58">
        <v>88</v>
      </c>
      <c r="AZ40" s="58">
        <v>111111</v>
      </c>
    </row>
    <row r="41" spans="1:52" s="58" customFormat="1" ht="18" customHeight="1">
      <c r="A41" s="58">
        <v>785</v>
      </c>
      <c r="B41" s="58">
        <v>100</v>
      </c>
      <c r="C41" s="58">
        <v>8</v>
      </c>
      <c r="D41" s="58">
        <v>1</v>
      </c>
      <c r="E41" s="58">
        <v>75</v>
      </c>
      <c r="F41" s="58" t="s">
        <v>2515</v>
      </c>
      <c r="G41" s="58" t="s">
        <v>2178</v>
      </c>
      <c r="H41" s="58" t="s">
        <v>2516</v>
      </c>
      <c r="I41" s="58" t="s">
        <v>2517</v>
      </c>
      <c r="J41" s="58" t="s">
        <v>2146</v>
      </c>
      <c r="K41" s="58" t="s">
        <v>2215</v>
      </c>
      <c r="L41" s="58" t="s">
        <v>581</v>
      </c>
      <c r="M41" s="58">
        <v>25</v>
      </c>
      <c r="N41" s="58" t="s">
        <v>2518</v>
      </c>
      <c r="Q41" s="58">
        <v>1</v>
      </c>
      <c r="R41" s="58">
        <v>1</v>
      </c>
      <c r="S41" s="58">
        <v>1</v>
      </c>
      <c r="T41" s="58">
        <v>1</v>
      </c>
      <c r="U41" s="58">
        <v>1</v>
      </c>
      <c r="V41" s="58">
        <v>1</v>
      </c>
      <c r="W41" s="58">
        <v>1</v>
      </c>
      <c r="X41" s="58">
        <v>1</v>
      </c>
      <c r="Y41" s="58">
        <v>1</v>
      </c>
      <c r="Z41" s="58">
        <v>1</v>
      </c>
      <c r="AA41" s="58">
        <v>1</v>
      </c>
      <c r="AB41" s="58">
        <v>1</v>
      </c>
      <c r="AC41" s="58">
        <v>1</v>
      </c>
      <c r="AD41" s="58">
        <v>1</v>
      </c>
      <c r="AE41" s="58">
        <v>1</v>
      </c>
      <c r="AF41" s="58">
        <v>1</v>
      </c>
      <c r="AG41" s="58">
        <v>1</v>
      </c>
      <c r="AH41" s="58">
        <v>1</v>
      </c>
      <c r="AI41" s="58">
        <v>1</v>
      </c>
      <c r="AJ41" s="58">
        <v>1</v>
      </c>
      <c r="AK41" s="58">
        <v>1</v>
      </c>
      <c r="AL41" s="58">
        <v>1</v>
      </c>
      <c r="AM41" s="58">
        <v>1</v>
      </c>
      <c r="AN41" s="58">
        <v>1</v>
      </c>
      <c r="AO41" s="58" t="s">
        <v>668</v>
      </c>
      <c r="AP41" s="58" t="s">
        <v>2157</v>
      </c>
      <c r="AQ41" s="58" t="s">
        <v>584</v>
      </c>
      <c r="AR41" s="58" t="s">
        <v>1092</v>
      </c>
      <c r="AT41" s="58" t="s">
        <v>596</v>
      </c>
      <c r="AU41" s="58" t="s">
        <v>664</v>
      </c>
      <c r="AV41" s="58" t="s">
        <v>1417</v>
      </c>
      <c r="AW41" s="58" t="s">
        <v>1166</v>
      </c>
      <c r="AX41" s="58">
        <v>45</v>
      </c>
      <c r="AY41" s="58">
        <v>89</v>
      </c>
      <c r="AZ41" s="58">
        <v>111111</v>
      </c>
    </row>
    <row r="42" spans="1:52" s="58" customFormat="1" ht="18" customHeight="1">
      <c r="A42" s="58">
        <v>863</v>
      </c>
      <c r="C42" s="58">
        <v>8</v>
      </c>
      <c r="D42" s="58">
        <v>5</v>
      </c>
      <c r="E42" s="58">
        <v>100</v>
      </c>
      <c r="F42" s="58" t="s">
        <v>2175</v>
      </c>
      <c r="G42" s="58" t="s">
        <v>2175</v>
      </c>
      <c r="H42" s="58" t="s">
        <v>2519</v>
      </c>
      <c r="J42" s="58" t="s">
        <v>2128</v>
      </c>
      <c r="K42" s="58" t="s">
        <v>838</v>
      </c>
      <c r="L42" s="58" t="s">
        <v>582</v>
      </c>
      <c r="M42" s="58">
        <v>10</v>
      </c>
      <c r="Q42" s="58">
        <v>5</v>
      </c>
      <c r="R42" s="58">
        <v>5</v>
      </c>
      <c r="S42" s="58">
        <v>5</v>
      </c>
      <c r="T42" s="58">
        <v>5</v>
      </c>
      <c r="U42" s="58">
        <v>5</v>
      </c>
      <c r="V42" s="58">
        <v>5</v>
      </c>
      <c r="W42" s="58">
        <v>5</v>
      </c>
      <c r="X42" s="58">
        <v>5</v>
      </c>
      <c r="Y42" s="58">
        <v>5</v>
      </c>
      <c r="Z42" s="58">
        <v>5</v>
      </c>
      <c r="AA42" s="58">
        <v>5</v>
      </c>
      <c r="AB42" s="58">
        <v>5</v>
      </c>
      <c r="AC42" s="58">
        <v>5</v>
      </c>
      <c r="AD42" s="58">
        <v>5</v>
      </c>
      <c r="AE42" s="58">
        <v>5</v>
      </c>
      <c r="AF42" s="58">
        <v>5</v>
      </c>
      <c r="AG42" s="58">
        <v>5</v>
      </c>
      <c r="AH42" s="58">
        <v>5</v>
      </c>
      <c r="AI42" s="58">
        <v>5</v>
      </c>
      <c r="AJ42" s="58">
        <v>5</v>
      </c>
      <c r="AK42" s="58">
        <v>5</v>
      </c>
      <c r="AL42" s="58">
        <v>5</v>
      </c>
      <c r="AM42" s="58">
        <v>5</v>
      </c>
      <c r="AN42" s="58">
        <v>5</v>
      </c>
      <c r="AQ42" s="58" t="s">
        <v>584</v>
      </c>
      <c r="AU42" s="58" t="s">
        <v>664</v>
      </c>
      <c r="AW42" s="58" t="s">
        <v>1165</v>
      </c>
      <c r="AX42" s="58">
        <v>45</v>
      </c>
      <c r="AY42" s="58">
        <v>85</v>
      </c>
      <c r="AZ42" s="58">
        <v>111111</v>
      </c>
    </row>
    <row r="43" spans="1:52" s="58" customFormat="1" ht="18" customHeight="1">
      <c r="A43" s="58">
        <v>720</v>
      </c>
      <c r="B43" s="58">
        <v>101</v>
      </c>
      <c r="C43" s="58">
        <v>8</v>
      </c>
      <c r="D43" s="58">
        <v>1</v>
      </c>
      <c r="E43" s="58">
        <v>50</v>
      </c>
      <c r="F43" s="58" t="s">
        <v>2408</v>
      </c>
      <c r="G43" s="58" t="s">
        <v>2181</v>
      </c>
      <c r="H43" s="58" t="s">
        <v>1581</v>
      </c>
      <c r="I43" s="58" t="s">
        <v>2520</v>
      </c>
      <c r="J43" s="58" t="s">
        <v>2140</v>
      </c>
      <c r="K43" s="58" t="s">
        <v>2225</v>
      </c>
      <c r="L43" s="58" t="s">
        <v>581</v>
      </c>
      <c r="M43" s="58">
        <v>25</v>
      </c>
      <c r="N43" s="58" t="s">
        <v>2521</v>
      </c>
      <c r="Q43" s="58">
        <v>1</v>
      </c>
      <c r="R43" s="58">
        <v>1</v>
      </c>
      <c r="S43" s="58">
        <v>1</v>
      </c>
      <c r="T43" s="58">
        <v>1</v>
      </c>
      <c r="U43" s="58">
        <v>1</v>
      </c>
      <c r="V43" s="58">
        <v>1</v>
      </c>
      <c r="W43" s="58">
        <v>1</v>
      </c>
      <c r="X43" s="58">
        <v>1</v>
      </c>
      <c r="Y43" s="58">
        <v>1</v>
      </c>
      <c r="Z43" s="58">
        <v>1</v>
      </c>
      <c r="AA43" s="58">
        <v>1</v>
      </c>
      <c r="AB43" s="58">
        <v>1</v>
      </c>
      <c r="AC43" s="58">
        <v>1</v>
      </c>
      <c r="AD43" s="58">
        <v>1</v>
      </c>
      <c r="AE43" s="58">
        <v>1</v>
      </c>
      <c r="AF43" s="58">
        <v>1</v>
      </c>
      <c r="AG43" s="58">
        <v>1</v>
      </c>
      <c r="AH43" s="58">
        <v>1</v>
      </c>
      <c r="AI43" s="58">
        <v>1</v>
      </c>
      <c r="AJ43" s="58">
        <v>1</v>
      </c>
      <c r="AK43" s="58">
        <v>1</v>
      </c>
      <c r="AL43" s="58">
        <v>1</v>
      </c>
      <c r="AM43" s="58">
        <v>1</v>
      </c>
      <c r="AN43" s="58">
        <v>1</v>
      </c>
      <c r="AO43" s="58" t="s">
        <v>668</v>
      </c>
      <c r="AP43" s="58" t="s">
        <v>2157</v>
      </c>
      <c r="AQ43" s="58" t="s">
        <v>584</v>
      </c>
      <c r="AR43" s="58" t="s">
        <v>1092</v>
      </c>
      <c r="AT43" s="58" t="s">
        <v>596</v>
      </c>
      <c r="AU43" s="58" t="s">
        <v>664</v>
      </c>
      <c r="AV43" s="58" t="s">
        <v>1417</v>
      </c>
      <c r="AW43" s="58" t="s">
        <v>1165</v>
      </c>
      <c r="AX43" s="58">
        <v>45</v>
      </c>
      <c r="AY43" s="58">
        <v>20</v>
      </c>
      <c r="AZ43" s="58">
        <v>111111</v>
      </c>
    </row>
    <row r="44" spans="1:52" s="58" customFormat="1" ht="18" customHeight="1">
      <c r="A44" s="58">
        <v>842</v>
      </c>
      <c r="C44" s="58">
        <v>8</v>
      </c>
      <c r="D44" s="58">
        <v>0</v>
      </c>
      <c r="E44" s="58">
        <v>100</v>
      </c>
      <c r="F44" s="58" t="s">
        <v>2176</v>
      </c>
      <c r="G44" s="58" t="s">
        <v>2176</v>
      </c>
      <c r="H44" s="58" t="s">
        <v>2522</v>
      </c>
      <c r="J44" s="58" t="s">
        <v>2144</v>
      </c>
      <c r="K44" s="58" t="s">
        <v>838</v>
      </c>
      <c r="L44" s="58" t="s">
        <v>582</v>
      </c>
      <c r="M44" s="58">
        <v>10</v>
      </c>
      <c r="AU44" s="58" t="s">
        <v>664</v>
      </c>
      <c r="AW44" s="58" t="s">
        <v>1165</v>
      </c>
      <c r="AX44" s="58">
        <v>45</v>
      </c>
      <c r="AY44" s="58">
        <v>64</v>
      </c>
      <c r="AZ44" s="58">
        <v>111111</v>
      </c>
    </row>
    <row r="45" spans="1:52" s="58" customFormat="1" ht="18" customHeight="1">
      <c r="A45" s="58">
        <v>790</v>
      </c>
      <c r="B45" s="58">
        <v>102</v>
      </c>
      <c r="C45" s="58">
        <v>8</v>
      </c>
      <c r="D45" s="58">
        <v>1</v>
      </c>
      <c r="E45" s="58">
        <v>75</v>
      </c>
      <c r="F45" s="58" t="s">
        <v>2523</v>
      </c>
      <c r="G45" s="58" t="s">
        <v>2181</v>
      </c>
      <c r="H45" s="58" t="s">
        <v>2524</v>
      </c>
      <c r="I45" s="58" t="s">
        <v>2525</v>
      </c>
      <c r="J45" s="58" t="s">
        <v>2140</v>
      </c>
      <c r="K45" s="58" t="s">
        <v>2225</v>
      </c>
      <c r="L45" s="58" t="s">
        <v>581</v>
      </c>
      <c r="M45" s="58">
        <v>25</v>
      </c>
      <c r="N45" s="58" t="s">
        <v>2526</v>
      </c>
      <c r="Q45" s="58">
        <v>1</v>
      </c>
      <c r="R45" s="58">
        <v>1</v>
      </c>
      <c r="S45" s="58">
        <v>1</v>
      </c>
      <c r="T45" s="58">
        <v>1</v>
      </c>
      <c r="U45" s="58">
        <v>1</v>
      </c>
      <c r="V45" s="58">
        <v>1</v>
      </c>
      <c r="W45" s="58">
        <v>1</v>
      </c>
      <c r="X45" s="58">
        <v>1</v>
      </c>
      <c r="Y45" s="58">
        <v>1</v>
      </c>
      <c r="Z45" s="58">
        <v>1</v>
      </c>
      <c r="AA45" s="58">
        <v>1</v>
      </c>
      <c r="AB45" s="58">
        <v>1</v>
      </c>
      <c r="AC45" s="58">
        <v>1</v>
      </c>
      <c r="AD45" s="58">
        <v>1</v>
      </c>
      <c r="AE45" s="58">
        <v>1</v>
      </c>
      <c r="AF45" s="58">
        <v>1</v>
      </c>
      <c r="AG45" s="58">
        <v>1</v>
      </c>
      <c r="AH45" s="58">
        <v>1</v>
      </c>
      <c r="AI45" s="58">
        <v>1</v>
      </c>
      <c r="AJ45" s="58">
        <v>1</v>
      </c>
      <c r="AK45" s="58">
        <v>1</v>
      </c>
      <c r="AL45" s="58">
        <v>1</v>
      </c>
      <c r="AM45" s="58">
        <v>1</v>
      </c>
      <c r="AN45" s="58">
        <v>1</v>
      </c>
      <c r="AO45" s="58" t="s">
        <v>668</v>
      </c>
      <c r="AP45" s="58" t="s">
        <v>2157</v>
      </c>
      <c r="AQ45" s="58" t="s">
        <v>584</v>
      </c>
      <c r="AR45" s="58" t="s">
        <v>1092</v>
      </c>
      <c r="AT45" s="58" t="s">
        <v>596</v>
      </c>
      <c r="AU45" s="58" t="s">
        <v>664</v>
      </c>
      <c r="AV45" s="58" t="s">
        <v>1417</v>
      </c>
      <c r="AW45" s="58" t="s">
        <v>1165</v>
      </c>
      <c r="AX45" s="58">
        <v>45</v>
      </c>
      <c r="AY45" s="58">
        <v>94</v>
      </c>
      <c r="AZ45" s="58">
        <v>111111</v>
      </c>
    </row>
    <row r="46" spans="1:52" s="58" customFormat="1" ht="18" customHeight="1">
      <c r="A46" s="58">
        <v>860</v>
      </c>
      <c r="C46" s="58">
        <v>8</v>
      </c>
      <c r="D46" s="58">
        <v>0</v>
      </c>
      <c r="E46" s="58">
        <v>100</v>
      </c>
      <c r="F46" s="58" t="s">
        <v>2177</v>
      </c>
      <c r="G46" s="58" t="s">
        <v>2177</v>
      </c>
      <c r="H46" s="58" t="s">
        <v>2527</v>
      </c>
      <c r="J46" s="58" t="s">
        <v>2142</v>
      </c>
      <c r="K46" s="58" t="s">
        <v>838</v>
      </c>
      <c r="L46" s="58" t="s">
        <v>582</v>
      </c>
      <c r="M46" s="58">
        <v>10</v>
      </c>
      <c r="AU46" s="58" t="s">
        <v>664</v>
      </c>
      <c r="AW46" s="58" t="s">
        <v>1165</v>
      </c>
      <c r="AX46" s="58">
        <v>45</v>
      </c>
      <c r="AY46" s="58">
        <v>82</v>
      </c>
      <c r="AZ46" s="58">
        <v>111111</v>
      </c>
    </row>
    <row r="47" spans="1:52" s="58" customFormat="1" ht="18" customHeight="1">
      <c r="A47" s="58">
        <v>826</v>
      </c>
      <c r="C47" s="58">
        <v>8</v>
      </c>
      <c r="D47" s="58">
        <v>2</v>
      </c>
      <c r="E47" s="58">
        <v>100</v>
      </c>
      <c r="F47" s="58" t="s">
        <v>2178</v>
      </c>
      <c r="G47" s="58" t="s">
        <v>2178</v>
      </c>
      <c r="H47" s="58" t="s">
        <v>2528</v>
      </c>
      <c r="J47" s="58" t="s">
        <v>2146</v>
      </c>
      <c r="K47" s="58" t="s">
        <v>838</v>
      </c>
      <c r="L47" s="58" t="s">
        <v>582</v>
      </c>
      <c r="M47" s="58">
        <v>10</v>
      </c>
      <c r="Q47" s="58">
        <v>2</v>
      </c>
      <c r="R47" s="58">
        <v>2</v>
      </c>
      <c r="S47" s="58">
        <v>2</v>
      </c>
      <c r="T47" s="58">
        <v>2</v>
      </c>
      <c r="U47" s="58">
        <v>2</v>
      </c>
      <c r="V47" s="58">
        <v>2</v>
      </c>
      <c r="W47" s="58">
        <v>2</v>
      </c>
      <c r="X47" s="58">
        <v>2</v>
      </c>
      <c r="Y47" s="58">
        <v>2</v>
      </c>
      <c r="Z47" s="58">
        <v>2</v>
      </c>
      <c r="AA47" s="58">
        <v>2</v>
      </c>
      <c r="AB47" s="58">
        <v>2</v>
      </c>
      <c r="AC47" s="58">
        <v>2</v>
      </c>
      <c r="AD47" s="58">
        <v>2</v>
      </c>
      <c r="AE47" s="58">
        <v>2</v>
      </c>
      <c r="AF47" s="58">
        <v>2</v>
      </c>
      <c r="AG47" s="58">
        <v>2</v>
      </c>
      <c r="AH47" s="58">
        <v>2</v>
      </c>
      <c r="AI47" s="58">
        <v>2</v>
      </c>
      <c r="AJ47" s="58">
        <v>2</v>
      </c>
      <c r="AK47" s="58">
        <v>2</v>
      </c>
      <c r="AL47" s="58">
        <v>2</v>
      </c>
      <c r="AM47" s="58">
        <v>2</v>
      </c>
      <c r="AN47" s="58">
        <v>2</v>
      </c>
      <c r="AU47" s="58" t="s">
        <v>664</v>
      </c>
      <c r="AW47" s="58" t="s">
        <v>1165</v>
      </c>
      <c r="AX47" s="58">
        <v>45</v>
      </c>
      <c r="AY47" s="58">
        <v>48</v>
      </c>
      <c r="AZ47" s="58">
        <v>111111</v>
      </c>
    </row>
    <row r="48" spans="1:52" s="58" customFormat="1" ht="18" customHeight="1">
      <c r="A48" s="58">
        <v>775</v>
      </c>
      <c r="B48" s="58">
        <v>103</v>
      </c>
      <c r="C48" s="58">
        <v>8</v>
      </c>
      <c r="D48" s="58">
        <v>1</v>
      </c>
      <c r="E48" s="58">
        <v>100</v>
      </c>
      <c r="F48" s="58" t="s">
        <v>2232</v>
      </c>
      <c r="G48" s="58" t="s">
        <v>2165</v>
      </c>
      <c r="H48" s="58" t="s">
        <v>2529</v>
      </c>
      <c r="I48" s="58" t="s">
        <v>2530</v>
      </c>
      <c r="J48" s="58" t="s">
        <v>607</v>
      </c>
      <c r="K48" s="58" t="s">
        <v>2204</v>
      </c>
      <c r="L48" s="58" t="s">
        <v>581</v>
      </c>
      <c r="M48" s="58">
        <v>10</v>
      </c>
      <c r="N48" s="58" t="s">
        <v>2531</v>
      </c>
      <c r="Q48" s="58">
        <v>1</v>
      </c>
      <c r="R48" s="58">
        <v>1</v>
      </c>
      <c r="S48" s="58">
        <v>1</v>
      </c>
      <c r="T48" s="58">
        <v>1</v>
      </c>
      <c r="U48" s="58">
        <v>1</v>
      </c>
      <c r="V48" s="58">
        <v>1</v>
      </c>
      <c r="W48" s="58">
        <v>1</v>
      </c>
      <c r="X48" s="58">
        <v>1</v>
      </c>
      <c r="Y48" s="58">
        <v>1</v>
      </c>
      <c r="Z48" s="58">
        <v>1</v>
      </c>
      <c r="AA48" s="58">
        <v>1</v>
      </c>
      <c r="AB48" s="58">
        <v>1</v>
      </c>
      <c r="AC48" s="58">
        <v>1</v>
      </c>
      <c r="AD48" s="58">
        <v>1</v>
      </c>
      <c r="AE48" s="58">
        <v>1</v>
      </c>
      <c r="AF48" s="58">
        <v>1</v>
      </c>
      <c r="AG48" s="58">
        <v>1</v>
      </c>
      <c r="AH48" s="58">
        <v>1</v>
      </c>
      <c r="AI48" s="58">
        <v>1</v>
      </c>
      <c r="AJ48" s="58">
        <v>1</v>
      </c>
      <c r="AK48" s="58">
        <v>1</v>
      </c>
      <c r="AL48" s="58">
        <v>1</v>
      </c>
      <c r="AM48" s="58">
        <v>1</v>
      </c>
      <c r="AN48" s="58">
        <v>1</v>
      </c>
      <c r="AO48" s="58" t="s">
        <v>2154</v>
      </c>
      <c r="AQ48" s="58" t="s">
        <v>587</v>
      </c>
      <c r="AT48" s="58" t="s">
        <v>596</v>
      </c>
      <c r="AU48" s="58" t="s">
        <v>664</v>
      </c>
      <c r="AV48" s="58" t="s">
        <v>1417</v>
      </c>
      <c r="AX48" s="58">
        <v>45</v>
      </c>
    </row>
    <row r="49" spans="1:52" s="58" customFormat="1" ht="18" customHeight="1">
      <c r="A49" s="58">
        <v>823</v>
      </c>
      <c r="C49" s="58">
        <v>8</v>
      </c>
      <c r="D49" s="58">
        <v>1</v>
      </c>
      <c r="E49" s="58">
        <v>100</v>
      </c>
      <c r="F49" s="58" t="s">
        <v>2179</v>
      </c>
      <c r="G49" s="58" t="s">
        <v>2179</v>
      </c>
      <c r="H49" s="58" t="s">
        <v>2532</v>
      </c>
      <c r="J49" s="58" t="s">
        <v>2148</v>
      </c>
      <c r="K49" s="58" t="s">
        <v>838</v>
      </c>
      <c r="L49" s="58" t="s">
        <v>582</v>
      </c>
      <c r="M49" s="58">
        <v>10</v>
      </c>
      <c r="Q49" s="58">
        <v>1</v>
      </c>
      <c r="R49" s="58">
        <v>1</v>
      </c>
      <c r="S49" s="58">
        <v>1</v>
      </c>
      <c r="T49" s="58">
        <v>1</v>
      </c>
      <c r="U49" s="58">
        <v>1</v>
      </c>
      <c r="V49" s="58">
        <v>1</v>
      </c>
      <c r="W49" s="58">
        <v>1</v>
      </c>
      <c r="X49" s="58">
        <v>1</v>
      </c>
      <c r="Y49" s="58">
        <v>1</v>
      </c>
      <c r="Z49" s="58">
        <v>1</v>
      </c>
      <c r="AA49" s="58">
        <v>1</v>
      </c>
      <c r="AB49" s="58">
        <v>1</v>
      </c>
      <c r="AC49" s="58">
        <v>1</v>
      </c>
      <c r="AD49" s="58">
        <v>1</v>
      </c>
      <c r="AE49" s="58">
        <v>1</v>
      </c>
      <c r="AF49" s="58">
        <v>1</v>
      </c>
      <c r="AG49" s="58">
        <v>1</v>
      </c>
      <c r="AH49" s="58">
        <v>1</v>
      </c>
      <c r="AI49" s="58">
        <v>1</v>
      </c>
      <c r="AJ49" s="58">
        <v>1</v>
      </c>
      <c r="AK49" s="58">
        <v>1</v>
      </c>
      <c r="AL49" s="58">
        <v>1</v>
      </c>
      <c r="AM49" s="58">
        <v>1</v>
      </c>
      <c r="AN49" s="58">
        <v>1</v>
      </c>
      <c r="AU49" s="58" t="s">
        <v>664</v>
      </c>
      <c r="AW49" s="58" t="s">
        <v>1165</v>
      </c>
      <c r="AX49" s="58">
        <v>45</v>
      </c>
      <c r="AY49" s="58">
        <v>45</v>
      </c>
      <c r="AZ49" s="58">
        <v>111111</v>
      </c>
    </row>
    <row r="50" spans="1:52" s="58" customFormat="1" ht="18" customHeight="1">
      <c r="A50" s="58">
        <v>836</v>
      </c>
      <c r="C50" s="58">
        <v>8</v>
      </c>
      <c r="D50" s="58">
        <v>1</v>
      </c>
      <c r="E50" s="58">
        <v>100</v>
      </c>
      <c r="F50" s="58" t="s">
        <v>2180</v>
      </c>
      <c r="G50" s="58" t="s">
        <v>2180</v>
      </c>
      <c r="H50" s="58" t="s">
        <v>2533</v>
      </c>
      <c r="J50" s="58" t="s">
        <v>2122</v>
      </c>
      <c r="K50" s="58" t="s">
        <v>838</v>
      </c>
      <c r="L50" s="58" t="s">
        <v>582</v>
      </c>
      <c r="M50" s="58">
        <v>10</v>
      </c>
      <c r="Q50" s="58">
        <v>1</v>
      </c>
      <c r="R50" s="58">
        <v>1</v>
      </c>
      <c r="S50" s="58">
        <v>1</v>
      </c>
      <c r="T50" s="58">
        <v>1</v>
      </c>
      <c r="U50" s="58">
        <v>1</v>
      </c>
      <c r="V50" s="58">
        <v>1</v>
      </c>
      <c r="W50" s="58">
        <v>1</v>
      </c>
      <c r="X50" s="58">
        <v>1</v>
      </c>
      <c r="Y50" s="58">
        <v>1</v>
      </c>
      <c r="Z50" s="58">
        <v>1</v>
      </c>
      <c r="AA50" s="58">
        <v>1</v>
      </c>
      <c r="AB50" s="58">
        <v>1</v>
      </c>
      <c r="AC50" s="58">
        <v>1</v>
      </c>
      <c r="AD50" s="58">
        <v>1</v>
      </c>
      <c r="AE50" s="58">
        <v>1</v>
      </c>
      <c r="AF50" s="58">
        <v>1</v>
      </c>
      <c r="AG50" s="58">
        <v>1</v>
      </c>
      <c r="AH50" s="58">
        <v>1</v>
      </c>
      <c r="AI50" s="58">
        <v>1</v>
      </c>
      <c r="AJ50" s="58">
        <v>1</v>
      </c>
      <c r="AK50" s="58">
        <v>1</v>
      </c>
      <c r="AL50" s="58">
        <v>1</v>
      </c>
      <c r="AM50" s="58">
        <v>1</v>
      </c>
      <c r="AN50" s="58">
        <v>1</v>
      </c>
      <c r="AU50" s="58" t="s">
        <v>664</v>
      </c>
      <c r="AW50" s="58" t="s">
        <v>1165</v>
      </c>
      <c r="AX50" s="58">
        <v>45</v>
      </c>
      <c r="AY50" s="58">
        <v>58</v>
      </c>
      <c r="AZ50" s="58">
        <v>111111</v>
      </c>
    </row>
    <row r="51" spans="1:52" s="58" customFormat="1" ht="18" customHeight="1">
      <c r="A51" s="58">
        <v>776</v>
      </c>
      <c r="B51" s="58">
        <v>104</v>
      </c>
      <c r="C51" s="58">
        <v>8</v>
      </c>
      <c r="D51" s="58">
        <v>1</v>
      </c>
      <c r="E51" s="58">
        <v>100</v>
      </c>
      <c r="F51" s="58" t="s">
        <v>2233</v>
      </c>
      <c r="G51" s="58" t="s">
        <v>2165</v>
      </c>
      <c r="H51" s="58" t="s">
        <v>2534</v>
      </c>
      <c r="I51" s="58" t="s">
        <v>2535</v>
      </c>
      <c r="J51" s="58" t="s">
        <v>2148</v>
      </c>
      <c r="K51" s="58" t="s">
        <v>616</v>
      </c>
      <c r="L51" s="58" t="s">
        <v>581</v>
      </c>
      <c r="M51" s="58">
        <v>10</v>
      </c>
      <c r="N51" s="58" t="s">
        <v>2536</v>
      </c>
      <c r="Q51" s="58">
        <v>1</v>
      </c>
      <c r="R51" s="58">
        <v>1</v>
      </c>
      <c r="S51" s="58">
        <v>1</v>
      </c>
      <c r="T51" s="58">
        <v>1</v>
      </c>
      <c r="U51" s="58">
        <v>1</v>
      </c>
      <c r="V51" s="58">
        <v>1</v>
      </c>
      <c r="W51" s="58">
        <v>1</v>
      </c>
      <c r="X51" s="58">
        <v>1</v>
      </c>
      <c r="Y51" s="58">
        <v>1</v>
      </c>
      <c r="Z51" s="58">
        <v>1</v>
      </c>
      <c r="AA51" s="58">
        <v>1</v>
      </c>
      <c r="AB51" s="58">
        <v>1</v>
      </c>
      <c r="AC51" s="58">
        <v>1</v>
      </c>
      <c r="AD51" s="58">
        <v>1</v>
      </c>
      <c r="AE51" s="58">
        <v>1</v>
      </c>
      <c r="AF51" s="58">
        <v>1</v>
      </c>
      <c r="AG51" s="58">
        <v>1</v>
      </c>
      <c r="AH51" s="58">
        <v>1</v>
      </c>
      <c r="AI51" s="58">
        <v>1</v>
      </c>
      <c r="AJ51" s="58">
        <v>1</v>
      </c>
      <c r="AK51" s="58">
        <v>1</v>
      </c>
      <c r="AL51" s="58">
        <v>1</v>
      </c>
      <c r="AM51" s="58">
        <v>1</v>
      </c>
      <c r="AN51" s="58">
        <v>1</v>
      </c>
      <c r="AO51" s="58" t="s">
        <v>2154</v>
      </c>
      <c r="AQ51" s="58" t="s">
        <v>584</v>
      </c>
      <c r="AT51" s="58" t="s">
        <v>596</v>
      </c>
      <c r="AU51" s="58" t="s">
        <v>664</v>
      </c>
      <c r="AV51" s="58" t="s">
        <v>1417</v>
      </c>
      <c r="AX51" s="58">
        <v>45</v>
      </c>
    </row>
    <row r="52" spans="1:52" s="58" customFormat="1" ht="18" customHeight="1">
      <c r="A52" s="58">
        <v>839</v>
      </c>
      <c r="C52" s="58">
        <v>8</v>
      </c>
      <c r="D52" s="58">
        <v>2</v>
      </c>
      <c r="E52" s="58">
        <v>100</v>
      </c>
      <c r="F52" s="58" t="s">
        <v>2181</v>
      </c>
      <c r="G52" s="58" t="s">
        <v>2181</v>
      </c>
      <c r="H52" s="58" t="s">
        <v>2537</v>
      </c>
      <c r="J52" s="58" t="s">
        <v>2140</v>
      </c>
      <c r="K52" s="58" t="s">
        <v>838</v>
      </c>
      <c r="L52" s="58" t="s">
        <v>582</v>
      </c>
      <c r="M52" s="58">
        <v>10</v>
      </c>
      <c r="Q52" s="58">
        <v>2</v>
      </c>
      <c r="R52" s="58">
        <v>2</v>
      </c>
      <c r="S52" s="58">
        <v>2</v>
      </c>
      <c r="T52" s="58">
        <v>2</v>
      </c>
      <c r="U52" s="58">
        <v>2</v>
      </c>
      <c r="V52" s="58">
        <v>2</v>
      </c>
      <c r="W52" s="58">
        <v>2</v>
      </c>
      <c r="X52" s="58">
        <v>2</v>
      </c>
      <c r="Y52" s="58">
        <v>2</v>
      </c>
      <c r="Z52" s="58">
        <v>2</v>
      </c>
      <c r="AA52" s="58">
        <v>2</v>
      </c>
      <c r="AB52" s="58">
        <v>2</v>
      </c>
      <c r="AC52" s="58">
        <v>2</v>
      </c>
      <c r="AD52" s="58">
        <v>2</v>
      </c>
      <c r="AE52" s="58">
        <v>2</v>
      </c>
      <c r="AF52" s="58">
        <v>2</v>
      </c>
      <c r="AG52" s="58">
        <v>2</v>
      </c>
      <c r="AH52" s="58">
        <v>2</v>
      </c>
      <c r="AI52" s="58">
        <v>2</v>
      </c>
      <c r="AJ52" s="58">
        <v>2</v>
      </c>
      <c r="AK52" s="58">
        <v>2</v>
      </c>
      <c r="AL52" s="58">
        <v>2</v>
      </c>
      <c r="AM52" s="58">
        <v>2</v>
      </c>
      <c r="AN52" s="58">
        <v>2</v>
      </c>
      <c r="AU52" s="58" t="s">
        <v>664</v>
      </c>
      <c r="AW52" s="58" t="s">
        <v>1165</v>
      </c>
      <c r="AX52" s="58">
        <v>45</v>
      </c>
      <c r="AY52" s="58">
        <v>61</v>
      </c>
      <c r="AZ52" s="58">
        <v>111111</v>
      </c>
    </row>
    <row r="53" spans="1:52" s="58" customFormat="1" ht="18" customHeight="1">
      <c r="A53" s="58">
        <v>834</v>
      </c>
      <c r="C53" s="58">
        <v>8</v>
      </c>
      <c r="D53" s="58">
        <v>1</v>
      </c>
      <c r="E53" s="58">
        <v>100</v>
      </c>
      <c r="F53" s="58" t="s">
        <v>2182</v>
      </c>
      <c r="G53" s="58" t="s">
        <v>2182</v>
      </c>
      <c r="H53" s="58" t="s">
        <v>2538</v>
      </c>
      <c r="J53" s="58" t="s">
        <v>618</v>
      </c>
      <c r="K53" s="58" t="s">
        <v>838</v>
      </c>
      <c r="L53" s="58" t="s">
        <v>582</v>
      </c>
      <c r="M53" s="58">
        <v>10</v>
      </c>
      <c r="Q53" s="58">
        <v>1</v>
      </c>
      <c r="R53" s="58">
        <v>1</v>
      </c>
      <c r="S53" s="58">
        <v>1</v>
      </c>
      <c r="T53" s="58">
        <v>1</v>
      </c>
      <c r="U53" s="58">
        <v>1</v>
      </c>
      <c r="V53" s="58">
        <v>1</v>
      </c>
      <c r="W53" s="58">
        <v>1</v>
      </c>
      <c r="X53" s="58">
        <v>1</v>
      </c>
      <c r="Y53" s="58">
        <v>1</v>
      </c>
      <c r="Z53" s="58">
        <v>1</v>
      </c>
      <c r="AA53" s="58">
        <v>1</v>
      </c>
      <c r="AB53" s="58">
        <v>1</v>
      </c>
      <c r="AC53" s="58">
        <v>1</v>
      </c>
      <c r="AD53" s="58">
        <v>1</v>
      </c>
      <c r="AE53" s="58">
        <v>1</v>
      </c>
      <c r="AF53" s="58">
        <v>1</v>
      </c>
      <c r="AG53" s="58">
        <v>1</v>
      </c>
      <c r="AH53" s="58">
        <v>1</v>
      </c>
      <c r="AI53" s="58">
        <v>1</v>
      </c>
      <c r="AJ53" s="58">
        <v>1</v>
      </c>
      <c r="AK53" s="58">
        <v>1</v>
      </c>
      <c r="AL53" s="58">
        <v>1</v>
      </c>
      <c r="AM53" s="58">
        <v>1</v>
      </c>
      <c r="AN53" s="58">
        <v>1</v>
      </c>
      <c r="AU53" s="58" t="s">
        <v>664</v>
      </c>
      <c r="AW53" s="58" t="s">
        <v>1165</v>
      </c>
      <c r="AX53" s="58">
        <v>45</v>
      </c>
      <c r="AY53" s="58">
        <v>56</v>
      </c>
      <c r="AZ53" s="58">
        <v>111111</v>
      </c>
    </row>
    <row r="54" spans="1:52" s="58" customFormat="1" ht="18" customHeight="1">
      <c r="A54" s="58">
        <v>771</v>
      </c>
      <c r="B54" s="58">
        <v>105</v>
      </c>
      <c r="C54" s="58">
        <v>8</v>
      </c>
      <c r="D54" s="58">
        <v>1</v>
      </c>
      <c r="E54" s="58">
        <v>100</v>
      </c>
      <c r="F54" s="58" t="s">
        <v>2235</v>
      </c>
      <c r="G54" s="58" t="s">
        <v>2167</v>
      </c>
      <c r="H54" s="58" t="s">
        <v>2539</v>
      </c>
      <c r="I54" s="58" t="s">
        <v>2540</v>
      </c>
      <c r="J54" s="58" t="s">
        <v>2124</v>
      </c>
      <c r="K54" s="58" t="s">
        <v>2154</v>
      </c>
      <c r="L54" s="58" t="s">
        <v>581</v>
      </c>
      <c r="M54" s="58">
        <v>10</v>
      </c>
      <c r="N54" s="58" t="s">
        <v>2541</v>
      </c>
      <c r="Q54" s="58">
        <v>1</v>
      </c>
      <c r="R54" s="58">
        <v>1</v>
      </c>
      <c r="S54" s="58">
        <v>1</v>
      </c>
      <c r="T54" s="58">
        <v>1</v>
      </c>
      <c r="U54" s="58">
        <v>1</v>
      </c>
      <c r="V54" s="58">
        <v>1</v>
      </c>
      <c r="W54" s="58">
        <v>1</v>
      </c>
      <c r="X54" s="58">
        <v>1</v>
      </c>
      <c r="Y54" s="58">
        <v>1</v>
      </c>
      <c r="Z54" s="58">
        <v>1</v>
      </c>
      <c r="AA54" s="58">
        <v>1</v>
      </c>
      <c r="AB54" s="58">
        <v>1</v>
      </c>
      <c r="AC54" s="58">
        <v>1</v>
      </c>
      <c r="AD54" s="58">
        <v>1</v>
      </c>
      <c r="AE54" s="58">
        <v>1</v>
      </c>
      <c r="AF54" s="58">
        <v>1</v>
      </c>
      <c r="AG54" s="58">
        <v>1</v>
      </c>
      <c r="AH54" s="58">
        <v>1</v>
      </c>
      <c r="AI54" s="58">
        <v>1</v>
      </c>
      <c r="AJ54" s="58">
        <v>1</v>
      </c>
      <c r="AK54" s="58">
        <v>1</v>
      </c>
      <c r="AL54" s="58">
        <v>1</v>
      </c>
      <c r="AM54" s="58">
        <v>1</v>
      </c>
      <c r="AN54" s="58">
        <v>1</v>
      </c>
      <c r="AO54" s="58" t="s">
        <v>2154</v>
      </c>
      <c r="AQ54" s="58" t="s">
        <v>584</v>
      </c>
      <c r="AT54" s="58" t="s">
        <v>596</v>
      </c>
      <c r="AU54" s="58" t="s">
        <v>664</v>
      </c>
      <c r="AV54" s="58" t="s">
        <v>654</v>
      </c>
      <c r="AX54" s="58">
        <v>45</v>
      </c>
    </row>
    <row r="55" spans="1:52" s="58" customFormat="1" ht="18" customHeight="1">
      <c r="A55" s="58">
        <v>815</v>
      </c>
      <c r="C55" s="58">
        <v>8</v>
      </c>
      <c r="D55" s="58">
        <v>0</v>
      </c>
      <c r="E55" s="58">
        <v>100</v>
      </c>
      <c r="F55" s="58" t="s">
        <v>2183</v>
      </c>
      <c r="G55" s="58" t="s">
        <v>2183</v>
      </c>
      <c r="H55" s="58" t="s">
        <v>2542</v>
      </c>
      <c r="J55" s="58" t="s">
        <v>2134</v>
      </c>
      <c r="K55" s="58" t="s">
        <v>838</v>
      </c>
      <c r="L55" s="58" t="s">
        <v>582</v>
      </c>
      <c r="M55" s="58">
        <v>10</v>
      </c>
      <c r="AQ55" s="58" t="s">
        <v>584</v>
      </c>
      <c r="AU55" s="58" t="s">
        <v>664</v>
      </c>
      <c r="AW55" s="58" t="s">
        <v>1165</v>
      </c>
      <c r="AX55" s="58">
        <v>45</v>
      </c>
      <c r="AY55" s="58">
        <v>37</v>
      </c>
      <c r="AZ55" s="58">
        <v>111111</v>
      </c>
    </row>
    <row r="56" spans="1:52" s="58" customFormat="1" ht="18" customHeight="1">
      <c r="A56" s="58">
        <v>770</v>
      </c>
      <c r="B56" s="58">
        <v>106</v>
      </c>
      <c r="C56" s="58">
        <v>8</v>
      </c>
      <c r="D56" s="58">
        <v>1</v>
      </c>
      <c r="E56" s="58">
        <v>100</v>
      </c>
      <c r="F56" s="58" t="s">
        <v>2236</v>
      </c>
      <c r="G56" s="58" t="s">
        <v>528</v>
      </c>
      <c r="H56" s="58" t="s">
        <v>2543</v>
      </c>
      <c r="I56" s="58" t="s">
        <v>2544</v>
      </c>
      <c r="J56" s="58" t="s">
        <v>2124</v>
      </c>
      <c r="K56" s="58" t="s">
        <v>2208</v>
      </c>
      <c r="L56" s="58" t="s">
        <v>581</v>
      </c>
      <c r="M56" s="58">
        <v>10</v>
      </c>
      <c r="N56" s="58" t="s">
        <v>2545</v>
      </c>
      <c r="Q56" s="58">
        <v>1</v>
      </c>
      <c r="R56" s="58">
        <v>1</v>
      </c>
      <c r="S56" s="58">
        <v>1</v>
      </c>
      <c r="T56" s="58">
        <v>1</v>
      </c>
      <c r="U56" s="58">
        <v>1</v>
      </c>
      <c r="V56" s="58">
        <v>1</v>
      </c>
      <c r="W56" s="58">
        <v>1</v>
      </c>
      <c r="X56" s="58">
        <v>1</v>
      </c>
      <c r="Y56" s="58">
        <v>1</v>
      </c>
      <c r="Z56" s="58">
        <v>1</v>
      </c>
      <c r="AA56" s="58">
        <v>1</v>
      </c>
      <c r="AB56" s="58">
        <v>1</v>
      </c>
      <c r="AC56" s="58">
        <v>1</v>
      </c>
      <c r="AD56" s="58">
        <v>1</v>
      </c>
      <c r="AE56" s="58">
        <v>1</v>
      </c>
      <c r="AF56" s="58">
        <v>1</v>
      </c>
      <c r="AG56" s="58">
        <v>1</v>
      </c>
      <c r="AH56" s="58">
        <v>1</v>
      </c>
      <c r="AI56" s="58">
        <v>1</v>
      </c>
      <c r="AJ56" s="58">
        <v>1</v>
      </c>
      <c r="AK56" s="58">
        <v>1</v>
      </c>
      <c r="AL56" s="58">
        <v>1</v>
      </c>
      <c r="AM56" s="58">
        <v>1</v>
      </c>
      <c r="AN56" s="58">
        <v>1</v>
      </c>
      <c r="AO56" s="58" t="s">
        <v>2154</v>
      </c>
      <c r="AQ56" s="58" t="s">
        <v>586</v>
      </c>
      <c r="AT56" s="58" t="s">
        <v>596</v>
      </c>
      <c r="AU56" s="58" t="s">
        <v>664</v>
      </c>
      <c r="AV56" s="58" t="s">
        <v>1417</v>
      </c>
      <c r="AX56" s="58">
        <v>45</v>
      </c>
    </row>
    <row r="57" spans="1:52" s="58" customFormat="1" ht="18" customHeight="1">
      <c r="A57" s="58">
        <v>702</v>
      </c>
      <c r="B57" s="58">
        <v>107</v>
      </c>
      <c r="C57" s="58">
        <v>8</v>
      </c>
      <c r="D57" s="58">
        <v>1</v>
      </c>
      <c r="E57" s="58">
        <v>50</v>
      </c>
      <c r="F57" s="58" t="s">
        <v>2105</v>
      </c>
      <c r="G57" s="58" t="s">
        <v>2169</v>
      </c>
      <c r="H57" s="58" t="s">
        <v>1578</v>
      </c>
      <c r="I57" s="58" t="s">
        <v>2546</v>
      </c>
      <c r="J57" s="58" t="s">
        <v>607</v>
      </c>
      <c r="K57" s="58" t="s">
        <v>2204</v>
      </c>
      <c r="L57" s="58" t="s">
        <v>581</v>
      </c>
      <c r="M57" s="58">
        <v>50</v>
      </c>
      <c r="N57" s="58" t="s">
        <v>2547</v>
      </c>
      <c r="Q57" s="58">
        <v>1</v>
      </c>
      <c r="R57" s="58">
        <v>1</v>
      </c>
      <c r="S57" s="58">
        <v>1</v>
      </c>
      <c r="T57" s="58">
        <v>1</v>
      </c>
      <c r="U57" s="58">
        <v>1</v>
      </c>
      <c r="V57" s="58">
        <v>1</v>
      </c>
      <c r="W57" s="58">
        <v>1</v>
      </c>
      <c r="X57" s="58">
        <v>1</v>
      </c>
      <c r="Y57" s="58">
        <v>1</v>
      </c>
      <c r="Z57" s="58">
        <v>1</v>
      </c>
      <c r="AA57" s="58">
        <v>1</v>
      </c>
      <c r="AB57" s="58">
        <v>1</v>
      </c>
      <c r="AC57" s="58">
        <v>1</v>
      </c>
      <c r="AD57" s="58">
        <v>1</v>
      </c>
      <c r="AE57" s="58">
        <v>1</v>
      </c>
      <c r="AF57" s="58">
        <v>1</v>
      </c>
      <c r="AG57" s="58">
        <v>1</v>
      </c>
      <c r="AH57" s="58">
        <v>1</v>
      </c>
      <c r="AI57" s="58">
        <v>1</v>
      </c>
      <c r="AJ57" s="58">
        <v>1</v>
      </c>
      <c r="AK57" s="58">
        <v>1</v>
      </c>
      <c r="AL57" s="58">
        <v>1</v>
      </c>
      <c r="AM57" s="58">
        <v>1</v>
      </c>
      <c r="AN57" s="58">
        <v>1</v>
      </c>
      <c r="AO57" s="58" t="s">
        <v>2154</v>
      </c>
      <c r="AQ57" s="58" t="s">
        <v>586</v>
      </c>
      <c r="AR57" s="58" t="s">
        <v>2232</v>
      </c>
      <c r="AT57" s="58" t="s">
        <v>596</v>
      </c>
      <c r="AU57" s="58" t="s">
        <v>664</v>
      </c>
      <c r="AV57" s="58" t="s">
        <v>656</v>
      </c>
      <c r="AW57" s="58" t="s">
        <v>1166</v>
      </c>
      <c r="AX57" s="58">
        <v>45</v>
      </c>
      <c r="AY57" s="58">
        <v>3</v>
      </c>
      <c r="AZ57" s="58">
        <v>111111</v>
      </c>
    </row>
    <row r="58" spans="1:52" s="58" customFormat="1" ht="18" customHeight="1">
      <c r="A58" s="58">
        <v>701</v>
      </c>
      <c r="B58" s="58">
        <v>108</v>
      </c>
      <c r="C58" s="58">
        <v>8</v>
      </c>
      <c r="D58" s="58">
        <v>1</v>
      </c>
      <c r="E58" s="58">
        <v>50</v>
      </c>
      <c r="F58" s="58" t="s">
        <v>1696</v>
      </c>
      <c r="G58" s="58" t="s">
        <v>865</v>
      </c>
      <c r="H58" s="58" t="s">
        <v>1696</v>
      </c>
      <c r="I58" s="58" t="s">
        <v>2548</v>
      </c>
      <c r="J58" s="58" t="s">
        <v>611</v>
      </c>
      <c r="K58" s="58" t="s">
        <v>611</v>
      </c>
      <c r="L58" s="58" t="s">
        <v>581</v>
      </c>
      <c r="M58" s="58">
        <v>50</v>
      </c>
      <c r="N58" s="58" t="s">
        <v>2549</v>
      </c>
      <c r="Q58" s="58">
        <v>1</v>
      </c>
      <c r="R58" s="58">
        <v>1</v>
      </c>
      <c r="S58" s="58">
        <v>1</v>
      </c>
      <c r="T58" s="58">
        <v>1</v>
      </c>
      <c r="U58" s="58">
        <v>1</v>
      </c>
      <c r="V58" s="58">
        <v>1</v>
      </c>
      <c r="W58" s="58">
        <v>1</v>
      </c>
      <c r="X58" s="58">
        <v>1</v>
      </c>
      <c r="Y58" s="58">
        <v>1</v>
      </c>
      <c r="Z58" s="58">
        <v>1</v>
      </c>
      <c r="AA58" s="58">
        <v>1</v>
      </c>
      <c r="AB58" s="58">
        <v>1</v>
      </c>
      <c r="AC58" s="58">
        <v>1</v>
      </c>
      <c r="AD58" s="58">
        <v>1</v>
      </c>
      <c r="AE58" s="58">
        <v>1</v>
      </c>
      <c r="AF58" s="58">
        <v>1</v>
      </c>
      <c r="AG58" s="58">
        <v>1</v>
      </c>
      <c r="AH58" s="58">
        <v>1</v>
      </c>
      <c r="AI58" s="58">
        <v>1</v>
      </c>
      <c r="AJ58" s="58">
        <v>1</v>
      </c>
      <c r="AK58" s="58">
        <v>1</v>
      </c>
      <c r="AL58" s="58">
        <v>1</v>
      </c>
      <c r="AM58" s="58">
        <v>1</v>
      </c>
      <c r="AN58" s="58">
        <v>1</v>
      </c>
      <c r="AO58" s="58" t="s">
        <v>2154</v>
      </c>
      <c r="AP58" s="58" t="s">
        <v>2107</v>
      </c>
      <c r="AQ58" s="58" t="s">
        <v>586</v>
      </c>
      <c r="AR58" s="58" t="s">
        <v>2235</v>
      </c>
      <c r="AT58" s="58" t="s">
        <v>596</v>
      </c>
      <c r="AU58" s="58" t="s">
        <v>664</v>
      </c>
      <c r="AV58" s="58" t="s">
        <v>656</v>
      </c>
      <c r="AW58" s="58" t="s">
        <v>1167</v>
      </c>
      <c r="AX58" s="58">
        <v>45</v>
      </c>
      <c r="AY58" s="58">
        <v>2</v>
      </c>
      <c r="AZ58" s="58">
        <v>111111</v>
      </c>
    </row>
    <row r="59" spans="1:52" s="58" customFormat="1" ht="18" customHeight="1">
      <c r="A59" s="58">
        <v>778</v>
      </c>
      <c r="B59" s="58">
        <v>109</v>
      </c>
      <c r="C59" s="58">
        <v>8</v>
      </c>
      <c r="D59" s="58">
        <v>1</v>
      </c>
      <c r="E59" s="58">
        <v>100</v>
      </c>
      <c r="F59" s="58" t="s">
        <v>2106</v>
      </c>
      <c r="G59" s="58" t="s">
        <v>865</v>
      </c>
      <c r="H59" s="58" t="s">
        <v>2550</v>
      </c>
      <c r="I59" s="58" t="s">
        <v>2551</v>
      </c>
      <c r="J59" s="58" t="s">
        <v>611</v>
      </c>
      <c r="K59" s="58" t="s">
        <v>611</v>
      </c>
      <c r="L59" s="58" t="s">
        <v>581</v>
      </c>
      <c r="M59" s="58">
        <v>10</v>
      </c>
      <c r="N59" s="58" t="s">
        <v>2552</v>
      </c>
      <c r="Q59" s="58">
        <v>1</v>
      </c>
      <c r="R59" s="58">
        <v>1</v>
      </c>
      <c r="S59" s="58">
        <v>1</v>
      </c>
      <c r="T59" s="58">
        <v>1</v>
      </c>
      <c r="U59" s="58">
        <v>1</v>
      </c>
      <c r="V59" s="58">
        <v>1</v>
      </c>
      <c r="W59" s="58">
        <v>1</v>
      </c>
      <c r="X59" s="58">
        <v>1</v>
      </c>
      <c r="Y59" s="58">
        <v>1</v>
      </c>
      <c r="Z59" s="58">
        <v>1</v>
      </c>
      <c r="AA59" s="58">
        <v>1</v>
      </c>
      <c r="AB59" s="58">
        <v>1</v>
      </c>
      <c r="AC59" s="58">
        <v>1</v>
      </c>
      <c r="AD59" s="58">
        <v>1</v>
      </c>
      <c r="AE59" s="58">
        <v>1</v>
      </c>
      <c r="AF59" s="58">
        <v>1</v>
      </c>
      <c r="AG59" s="58">
        <v>1</v>
      </c>
      <c r="AH59" s="58">
        <v>1</v>
      </c>
      <c r="AI59" s="58">
        <v>1</v>
      </c>
      <c r="AJ59" s="58">
        <v>1</v>
      </c>
      <c r="AK59" s="58">
        <v>1</v>
      </c>
      <c r="AL59" s="58">
        <v>1</v>
      </c>
      <c r="AM59" s="58">
        <v>1</v>
      </c>
      <c r="AN59" s="58">
        <v>1</v>
      </c>
      <c r="AO59" s="58" t="s">
        <v>2154</v>
      </c>
      <c r="AP59" s="58" t="s">
        <v>2107</v>
      </c>
      <c r="AQ59" s="58" t="s">
        <v>584</v>
      </c>
      <c r="AR59" s="58" t="s">
        <v>2235</v>
      </c>
      <c r="AT59" s="58" t="s">
        <v>596</v>
      </c>
      <c r="AU59" s="58" t="s">
        <v>664</v>
      </c>
      <c r="AV59" s="58" t="s">
        <v>656</v>
      </c>
      <c r="AW59" s="58" t="s">
        <v>1167</v>
      </c>
      <c r="AX59" s="58">
        <v>45</v>
      </c>
    </row>
    <row r="60" spans="1:52" s="58" customFormat="1" ht="18" customHeight="1">
      <c r="A60" s="58">
        <v>780</v>
      </c>
      <c r="B60" s="58">
        <v>110</v>
      </c>
      <c r="C60" s="58">
        <v>8</v>
      </c>
      <c r="D60" s="58">
        <v>1</v>
      </c>
      <c r="E60" s="58">
        <v>100</v>
      </c>
      <c r="F60" s="58" t="s">
        <v>2108</v>
      </c>
      <c r="G60" s="58" t="s">
        <v>2172</v>
      </c>
      <c r="H60" s="58" t="s">
        <v>2553</v>
      </c>
      <c r="I60" s="58" t="s">
        <v>2554</v>
      </c>
      <c r="J60" s="58" t="s">
        <v>2132</v>
      </c>
      <c r="K60" s="58" t="s">
        <v>2132</v>
      </c>
      <c r="L60" s="58" t="s">
        <v>581</v>
      </c>
      <c r="M60" s="58">
        <v>10</v>
      </c>
      <c r="N60" s="58" t="s">
        <v>2555</v>
      </c>
      <c r="Q60" s="58">
        <v>1</v>
      </c>
      <c r="R60" s="58">
        <v>1</v>
      </c>
      <c r="S60" s="58">
        <v>1</v>
      </c>
      <c r="T60" s="58">
        <v>1</v>
      </c>
      <c r="U60" s="58">
        <v>1</v>
      </c>
      <c r="V60" s="58">
        <v>1</v>
      </c>
      <c r="W60" s="58">
        <v>1</v>
      </c>
      <c r="X60" s="58">
        <v>1</v>
      </c>
      <c r="Y60" s="58">
        <v>1</v>
      </c>
      <c r="Z60" s="58">
        <v>1</v>
      </c>
      <c r="AA60" s="58">
        <v>1</v>
      </c>
      <c r="AB60" s="58">
        <v>1</v>
      </c>
      <c r="AC60" s="58">
        <v>1</v>
      </c>
      <c r="AD60" s="58">
        <v>1</v>
      </c>
      <c r="AE60" s="58">
        <v>1</v>
      </c>
      <c r="AF60" s="58">
        <v>1</v>
      </c>
      <c r="AG60" s="58">
        <v>1</v>
      </c>
      <c r="AH60" s="58">
        <v>1</v>
      </c>
      <c r="AI60" s="58">
        <v>1</v>
      </c>
      <c r="AJ60" s="58">
        <v>1</v>
      </c>
      <c r="AK60" s="58">
        <v>1</v>
      </c>
      <c r="AL60" s="58">
        <v>1</v>
      </c>
      <c r="AM60" s="58">
        <v>1</v>
      </c>
      <c r="AN60" s="58">
        <v>1</v>
      </c>
      <c r="AO60" s="58" t="s">
        <v>2154</v>
      </c>
      <c r="AQ60" s="58" t="s">
        <v>587</v>
      </c>
      <c r="AR60" s="58" t="s">
        <v>2236</v>
      </c>
      <c r="AT60" s="58" t="s">
        <v>596</v>
      </c>
      <c r="AU60" s="58" t="s">
        <v>664</v>
      </c>
      <c r="AV60" s="58" t="s">
        <v>656</v>
      </c>
      <c r="AW60" s="58" t="s">
        <v>1167</v>
      </c>
      <c r="AX60" s="58">
        <v>45</v>
      </c>
    </row>
    <row r="61" spans="1:52" s="58" customFormat="1" ht="18" customHeight="1">
      <c r="A61" s="58">
        <v>782</v>
      </c>
      <c r="B61" s="58">
        <v>111</v>
      </c>
      <c r="C61" s="58">
        <v>8</v>
      </c>
      <c r="D61" s="58">
        <v>1</v>
      </c>
      <c r="E61" s="58">
        <v>100</v>
      </c>
      <c r="F61" s="58" t="s">
        <v>2160</v>
      </c>
      <c r="G61" s="58" t="s">
        <v>1388</v>
      </c>
      <c r="H61" s="58" t="s">
        <v>2556</v>
      </c>
      <c r="I61" s="58" t="s">
        <v>2557</v>
      </c>
      <c r="J61" s="58" t="s">
        <v>2138</v>
      </c>
      <c r="K61" s="58" t="s">
        <v>619</v>
      </c>
      <c r="L61" s="58" t="s">
        <v>581</v>
      </c>
      <c r="M61" s="58">
        <v>10</v>
      </c>
      <c r="N61" s="58" t="s">
        <v>2479</v>
      </c>
      <c r="Q61" s="58">
        <v>1</v>
      </c>
      <c r="R61" s="58">
        <v>1</v>
      </c>
      <c r="S61" s="58">
        <v>1</v>
      </c>
      <c r="T61" s="58">
        <v>1</v>
      </c>
      <c r="U61" s="58">
        <v>1</v>
      </c>
      <c r="V61" s="58">
        <v>1</v>
      </c>
      <c r="W61" s="58">
        <v>1</v>
      </c>
      <c r="X61" s="58">
        <v>1</v>
      </c>
      <c r="Y61" s="58">
        <v>1</v>
      </c>
      <c r="Z61" s="58">
        <v>1</v>
      </c>
      <c r="AA61" s="58">
        <v>1</v>
      </c>
      <c r="AB61" s="58">
        <v>1</v>
      </c>
      <c r="AC61" s="58">
        <v>1</v>
      </c>
      <c r="AD61" s="58">
        <v>1</v>
      </c>
      <c r="AE61" s="58">
        <v>1</v>
      </c>
      <c r="AF61" s="58">
        <v>1</v>
      </c>
      <c r="AG61" s="58">
        <v>1</v>
      </c>
      <c r="AH61" s="58">
        <v>1</v>
      </c>
      <c r="AI61" s="58">
        <v>1</v>
      </c>
      <c r="AJ61" s="58">
        <v>1</v>
      </c>
      <c r="AK61" s="58">
        <v>1</v>
      </c>
      <c r="AL61" s="58">
        <v>1</v>
      </c>
      <c r="AM61" s="58">
        <v>1</v>
      </c>
      <c r="AN61" s="58">
        <v>1</v>
      </c>
      <c r="AO61" s="58" t="s">
        <v>2154</v>
      </c>
      <c r="AP61" s="58" t="s">
        <v>2160</v>
      </c>
      <c r="AQ61" s="58" t="s">
        <v>587</v>
      </c>
      <c r="AR61" s="58" t="s">
        <v>2233</v>
      </c>
      <c r="AT61" s="58" t="s">
        <v>596</v>
      </c>
      <c r="AU61" s="58" t="s">
        <v>664</v>
      </c>
      <c r="AV61" s="58" t="s">
        <v>656</v>
      </c>
      <c r="AW61" s="58" t="s">
        <v>1165</v>
      </c>
      <c r="AX61" s="58">
        <v>45</v>
      </c>
    </row>
    <row r="62" spans="1:52" s="58" customFormat="1" ht="18" customHeight="1">
      <c r="A62" s="58">
        <v>783</v>
      </c>
      <c r="B62" s="58">
        <v>112</v>
      </c>
      <c r="C62" s="58">
        <v>8</v>
      </c>
      <c r="D62" s="58">
        <v>1</v>
      </c>
      <c r="E62" s="58">
        <v>100</v>
      </c>
      <c r="F62" s="58" t="s">
        <v>2161</v>
      </c>
      <c r="G62" s="58" t="s">
        <v>1388</v>
      </c>
      <c r="H62" s="58" t="s">
        <v>2558</v>
      </c>
      <c r="I62" s="58" t="s">
        <v>2559</v>
      </c>
      <c r="J62" s="58" t="s">
        <v>2138</v>
      </c>
      <c r="K62" s="58" t="s">
        <v>619</v>
      </c>
      <c r="L62" s="58" t="s">
        <v>581</v>
      </c>
      <c r="M62" s="58">
        <v>10</v>
      </c>
      <c r="N62" s="58" t="s">
        <v>2560</v>
      </c>
      <c r="Q62" s="58">
        <v>1</v>
      </c>
      <c r="R62" s="58">
        <v>1</v>
      </c>
      <c r="S62" s="58">
        <v>1</v>
      </c>
      <c r="T62" s="58">
        <v>1</v>
      </c>
      <c r="U62" s="58">
        <v>1</v>
      </c>
      <c r="V62" s="58">
        <v>1</v>
      </c>
      <c r="W62" s="58">
        <v>1</v>
      </c>
      <c r="X62" s="58">
        <v>1</v>
      </c>
      <c r="Y62" s="58">
        <v>1</v>
      </c>
      <c r="Z62" s="58">
        <v>1</v>
      </c>
      <c r="AA62" s="58">
        <v>1</v>
      </c>
      <c r="AB62" s="58">
        <v>1</v>
      </c>
      <c r="AC62" s="58">
        <v>1</v>
      </c>
      <c r="AD62" s="58">
        <v>1</v>
      </c>
      <c r="AE62" s="58">
        <v>1</v>
      </c>
      <c r="AF62" s="58">
        <v>1</v>
      </c>
      <c r="AG62" s="58">
        <v>1</v>
      </c>
      <c r="AH62" s="58">
        <v>1</v>
      </c>
      <c r="AI62" s="58">
        <v>1</v>
      </c>
      <c r="AJ62" s="58">
        <v>1</v>
      </c>
      <c r="AK62" s="58">
        <v>1</v>
      </c>
      <c r="AL62" s="58">
        <v>1</v>
      </c>
      <c r="AM62" s="58">
        <v>1</v>
      </c>
      <c r="AN62" s="58">
        <v>1</v>
      </c>
      <c r="AO62" s="58" t="s">
        <v>2154</v>
      </c>
      <c r="AP62" s="58" t="s">
        <v>2160</v>
      </c>
      <c r="AQ62" s="58" t="s">
        <v>587</v>
      </c>
      <c r="AR62" s="58" t="s">
        <v>2233</v>
      </c>
      <c r="AT62" s="58" t="s">
        <v>596</v>
      </c>
      <c r="AU62" s="58" t="s">
        <v>664</v>
      </c>
      <c r="AV62" s="58" t="s">
        <v>656</v>
      </c>
      <c r="AW62" s="58" t="s">
        <v>1165</v>
      </c>
      <c r="AX62" s="58">
        <v>45</v>
      </c>
    </row>
    <row r="63" spans="1:52" s="58" customFormat="1" ht="18" customHeight="1">
      <c r="A63" s="58">
        <v>779</v>
      </c>
      <c r="B63" s="58">
        <v>113</v>
      </c>
      <c r="C63" s="58">
        <v>8</v>
      </c>
      <c r="D63" s="58">
        <v>1</v>
      </c>
      <c r="E63" s="58">
        <v>100</v>
      </c>
      <c r="F63" s="58" t="s">
        <v>2162</v>
      </c>
      <c r="G63" s="58" t="s">
        <v>2176</v>
      </c>
      <c r="H63" s="58" t="s">
        <v>2561</v>
      </c>
      <c r="I63" s="58" t="s">
        <v>2562</v>
      </c>
      <c r="J63" s="58" t="s">
        <v>2144</v>
      </c>
      <c r="K63" s="58" t="s">
        <v>2217</v>
      </c>
      <c r="L63" s="58" t="s">
        <v>581</v>
      </c>
      <c r="M63" s="58">
        <v>10</v>
      </c>
      <c r="N63" s="58" t="s">
        <v>2563</v>
      </c>
      <c r="Q63" s="58">
        <v>1</v>
      </c>
      <c r="R63" s="58">
        <v>1</v>
      </c>
      <c r="S63" s="58">
        <v>1</v>
      </c>
      <c r="T63" s="58">
        <v>1</v>
      </c>
      <c r="U63" s="58">
        <v>1</v>
      </c>
      <c r="V63" s="58">
        <v>1</v>
      </c>
      <c r="W63" s="58">
        <v>1</v>
      </c>
      <c r="X63" s="58">
        <v>1</v>
      </c>
      <c r="Y63" s="58">
        <v>1</v>
      </c>
      <c r="Z63" s="58">
        <v>1</v>
      </c>
      <c r="AA63" s="58">
        <v>1</v>
      </c>
      <c r="AB63" s="58">
        <v>1</v>
      </c>
      <c r="AC63" s="58">
        <v>1</v>
      </c>
      <c r="AD63" s="58">
        <v>1</v>
      </c>
      <c r="AE63" s="58">
        <v>1</v>
      </c>
      <c r="AF63" s="58">
        <v>1</v>
      </c>
      <c r="AG63" s="58">
        <v>1</v>
      </c>
      <c r="AH63" s="58">
        <v>1</v>
      </c>
      <c r="AI63" s="58">
        <v>1</v>
      </c>
      <c r="AJ63" s="58">
        <v>1</v>
      </c>
      <c r="AK63" s="58">
        <v>1</v>
      </c>
      <c r="AL63" s="58">
        <v>1</v>
      </c>
      <c r="AM63" s="58">
        <v>1</v>
      </c>
      <c r="AN63" s="58">
        <v>1</v>
      </c>
      <c r="AO63" s="58" t="s">
        <v>2154</v>
      </c>
      <c r="AQ63" s="58" t="s">
        <v>584</v>
      </c>
      <c r="AR63" s="58" t="s">
        <v>2235</v>
      </c>
      <c r="AT63" s="58" t="s">
        <v>596</v>
      </c>
      <c r="AU63" s="58" t="s">
        <v>664</v>
      </c>
      <c r="AV63" s="58" t="s">
        <v>1417</v>
      </c>
      <c r="AW63" s="58" t="s">
        <v>1166</v>
      </c>
      <c r="AX63" s="58">
        <v>45</v>
      </c>
    </row>
    <row r="64" spans="1:52" s="58" customFormat="1" ht="18" customHeight="1">
      <c r="A64" s="58">
        <v>772</v>
      </c>
      <c r="B64" s="58">
        <v>114</v>
      </c>
      <c r="C64" s="58">
        <v>8</v>
      </c>
      <c r="D64" s="58">
        <v>1</v>
      </c>
      <c r="E64" s="58">
        <v>100</v>
      </c>
      <c r="F64" s="58" t="s">
        <v>2107</v>
      </c>
      <c r="G64" s="58" t="s">
        <v>2177</v>
      </c>
      <c r="H64" s="58" t="s">
        <v>2564</v>
      </c>
      <c r="I64" s="58" t="s">
        <v>2565</v>
      </c>
      <c r="J64" s="58" t="s">
        <v>2142</v>
      </c>
      <c r="K64" s="58" t="s">
        <v>2142</v>
      </c>
      <c r="L64" s="58" t="s">
        <v>581</v>
      </c>
      <c r="M64" s="58">
        <v>10</v>
      </c>
      <c r="N64" s="58" t="s">
        <v>2566</v>
      </c>
      <c r="Q64" s="58">
        <v>1</v>
      </c>
      <c r="R64" s="58">
        <v>1</v>
      </c>
      <c r="S64" s="58">
        <v>1</v>
      </c>
      <c r="T64" s="58">
        <v>1</v>
      </c>
      <c r="U64" s="58">
        <v>1</v>
      </c>
      <c r="V64" s="58">
        <v>1</v>
      </c>
      <c r="W64" s="58">
        <v>1</v>
      </c>
      <c r="X64" s="58">
        <v>1</v>
      </c>
      <c r="Y64" s="58">
        <v>1</v>
      </c>
      <c r="Z64" s="58">
        <v>1</v>
      </c>
      <c r="AA64" s="58">
        <v>1</v>
      </c>
      <c r="AB64" s="58">
        <v>1</v>
      </c>
      <c r="AC64" s="58">
        <v>1</v>
      </c>
      <c r="AD64" s="58">
        <v>1</v>
      </c>
      <c r="AE64" s="58">
        <v>1</v>
      </c>
      <c r="AF64" s="58">
        <v>1</v>
      </c>
      <c r="AG64" s="58">
        <v>1</v>
      </c>
      <c r="AH64" s="58">
        <v>1</v>
      </c>
      <c r="AI64" s="58">
        <v>1</v>
      </c>
      <c r="AJ64" s="58">
        <v>1</v>
      </c>
      <c r="AK64" s="58">
        <v>1</v>
      </c>
      <c r="AL64" s="58">
        <v>1</v>
      </c>
      <c r="AM64" s="58">
        <v>1</v>
      </c>
      <c r="AN64" s="58">
        <v>1</v>
      </c>
      <c r="AO64" s="58" t="s">
        <v>2154</v>
      </c>
      <c r="AQ64" s="58" t="s">
        <v>584</v>
      </c>
      <c r="AR64" s="58" t="s">
        <v>2236</v>
      </c>
      <c r="AT64" s="58" t="s">
        <v>596</v>
      </c>
      <c r="AU64" s="58" t="s">
        <v>664</v>
      </c>
      <c r="AV64" s="58" t="s">
        <v>1417</v>
      </c>
      <c r="AW64" s="58" t="s">
        <v>1166</v>
      </c>
      <c r="AX64" s="58">
        <v>45</v>
      </c>
    </row>
    <row r="65" spans="1:89" s="58" customFormat="1" ht="18" customHeight="1">
      <c r="A65" s="58">
        <v>781</v>
      </c>
      <c r="B65" s="58">
        <v>115</v>
      </c>
      <c r="C65" s="58">
        <v>8</v>
      </c>
      <c r="D65" s="58">
        <v>1</v>
      </c>
      <c r="E65" s="58">
        <v>100</v>
      </c>
      <c r="F65" s="58" t="s">
        <v>2163</v>
      </c>
      <c r="G65" s="58" t="s">
        <v>2183</v>
      </c>
      <c r="H65" s="58" t="s">
        <v>2567</v>
      </c>
      <c r="I65" s="58" t="s">
        <v>2568</v>
      </c>
      <c r="J65" s="58" t="s">
        <v>2134</v>
      </c>
      <c r="K65" s="58" t="s">
        <v>199</v>
      </c>
      <c r="L65" s="58" t="s">
        <v>581</v>
      </c>
      <c r="M65" s="58">
        <v>10</v>
      </c>
      <c r="N65" s="58" t="s">
        <v>2569</v>
      </c>
      <c r="Q65" s="58">
        <v>1</v>
      </c>
      <c r="R65" s="58">
        <v>1</v>
      </c>
      <c r="S65" s="58">
        <v>1</v>
      </c>
      <c r="T65" s="58">
        <v>1</v>
      </c>
      <c r="U65" s="58">
        <v>1</v>
      </c>
      <c r="V65" s="58">
        <v>1</v>
      </c>
      <c r="W65" s="58">
        <v>1</v>
      </c>
      <c r="X65" s="58">
        <v>1</v>
      </c>
      <c r="Y65" s="58">
        <v>1</v>
      </c>
      <c r="Z65" s="58">
        <v>1</v>
      </c>
      <c r="AA65" s="58">
        <v>1</v>
      </c>
      <c r="AB65" s="58">
        <v>1</v>
      </c>
      <c r="AC65" s="58">
        <v>1</v>
      </c>
      <c r="AD65" s="58">
        <v>1</v>
      </c>
      <c r="AE65" s="58">
        <v>1</v>
      </c>
      <c r="AF65" s="58">
        <v>1</v>
      </c>
      <c r="AG65" s="58">
        <v>1</v>
      </c>
      <c r="AH65" s="58">
        <v>1</v>
      </c>
      <c r="AI65" s="58">
        <v>1</v>
      </c>
      <c r="AJ65" s="58">
        <v>1</v>
      </c>
      <c r="AK65" s="58">
        <v>1</v>
      </c>
      <c r="AL65" s="58">
        <v>1</v>
      </c>
      <c r="AM65" s="58">
        <v>1</v>
      </c>
      <c r="AN65" s="58">
        <v>1</v>
      </c>
      <c r="AO65" s="58" t="s">
        <v>2154</v>
      </c>
      <c r="AQ65" s="58" t="s">
        <v>584</v>
      </c>
      <c r="AR65" s="58" t="s">
        <v>2232</v>
      </c>
      <c r="AT65" s="58" t="s">
        <v>596</v>
      </c>
      <c r="AU65" s="58" t="s">
        <v>664</v>
      </c>
      <c r="AV65" s="58" t="s">
        <v>1417</v>
      </c>
      <c r="AX65" s="58">
        <v>45</v>
      </c>
    </row>
    <row r="66" spans="1:89" s="58" customFormat="1" ht="18" customHeight="1">
      <c r="A66" s="58">
        <v>781.1</v>
      </c>
      <c r="B66" s="58">
        <v>118</v>
      </c>
      <c r="C66" s="58">
        <v>8</v>
      </c>
      <c r="D66" s="58">
        <v>1</v>
      </c>
      <c r="E66" s="58">
        <v>100</v>
      </c>
      <c r="F66" s="58" t="s">
        <v>506</v>
      </c>
      <c r="G66" s="58" t="s">
        <v>2183</v>
      </c>
      <c r="H66" s="58" t="s">
        <v>3012</v>
      </c>
      <c r="I66" s="58" t="s">
        <v>2573</v>
      </c>
      <c r="J66" s="58" t="s">
        <v>2134</v>
      </c>
      <c r="K66" s="58" t="s">
        <v>199</v>
      </c>
      <c r="L66" s="58" t="s">
        <v>581</v>
      </c>
      <c r="M66" s="58">
        <v>10</v>
      </c>
      <c r="N66" s="58" t="s">
        <v>2569</v>
      </c>
      <c r="Q66" s="58">
        <v>1</v>
      </c>
      <c r="R66" s="58">
        <v>1</v>
      </c>
      <c r="S66" s="58">
        <v>1</v>
      </c>
      <c r="T66" s="58">
        <v>1</v>
      </c>
      <c r="U66" s="58">
        <v>1</v>
      </c>
      <c r="V66" s="58">
        <v>1</v>
      </c>
      <c r="W66" s="58">
        <v>1</v>
      </c>
      <c r="X66" s="58">
        <v>1</v>
      </c>
      <c r="Y66" s="58">
        <v>1</v>
      </c>
      <c r="Z66" s="58">
        <v>1</v>
      </c>
      <c r="AA66" s="58">
        <v>1</v>
      </c>
      <c r="AB66" s="58">
        <v>1</v>
      </c>
      <c r="AC66" s="58">
        <v>1</v>
      </c>
      <c r="AD66" s="58">
        <v>1</v>
      </c>
      <c r="AE66" s="58">
        <v>1</v>
      </c>
      <c r="AF66" s="58">
        <v>1</v>
      </c>
      <c r="AG66" s="58">
        <v>1</v>
      </c>
      <c r="AH66" s="58">
        <v>1</v>
      </c>
      <c r="AI66" s="58">
        <v>1</v>
      </c>
      <c r="AJ66" s="58">
        <v>1</v>
      </c>
      <c r="AK66" s="58">
        <v>1</v>
      </c>
      <c r="AL66" s="58">
        <v>1</v>
      </c>
      <c r="AM66" s="58">
        <v>1</v>
      </c>
      <c r="AN66" s="58">
        <v>1</v>
      </c>
      <c r="AO66" s="58" t="s">
        <v>2154</v>
      </c>
      <c r="AQ66" s="58" t="s">
        <v>584</v>
      </c>
      <c r="AR66" s="58" t="s">
        <v>2232</v>
      </c>
      <c r="AT66" s="58" t="s">
        <v>596</v>
      </c>
      <c r="AU66" s="58" t="s">
        <v>664</v>
      </c>
      <c r="AV66" s="58" t="s">
        <v>1417</v>
      </c>
      <c r="AX66" s="58">
        <v>45</v>
      </c>
    </row>
    <row r="67" spans="1:89">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row>
    <row r="68" spans="1:89">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row>
    <row r="69" spans="1:89">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row>
    <row r="70" spans="1:89">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row>
    <row r="71" spans="1:89">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row>
    <row r="72" spans="1:89">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row>
    <row r="73" spans="1:89">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row>
    <row r="74" spans="1:89">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row>
    <row r="75" spans="1:89">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row>
    <row r="76" spans="1:89">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row>
    <row r="77" spans="1:89">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row>
  </sheetData>
  <autoFilter ref="A3:CK3" xr:uid="{10693BB4-E45A-4671-A66E-42AE28C68FC3}"/>
  <phoneticPr fontId="45" type="noConversion"/>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ErrorMessage="1" errorTitle="Invalid value" error="Please choose a value from the list." xr:uid="{7113B927-1CAB-4562-97F3-706028793E8E}">
          <x14:formula1>
            <xm:f>Tags!#REF!</xm:f>
          </x14:formula1>
          <xm:sqref>K78:M165 G78:G165 B78:C165 AO78:AW165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118F2-9575-46FC-A3C5-BA1F86B0EFDB}">
  <sheetPr codeName="SchemaSht"/>
  <dimension ref="A1:U454"/>
  <sheetViews>
    <sheetView workbookViewId="0">
      <pane ySplit="3" topLeftCell="A222" activePane="bottomLeft" state="frozen"/>
      <selection pane="bottomLeft" activeCell="C225" sqref="C225"/>
    </sheetView>
  </sheetViews>
  <sheetFormatPr defaultRowHeight="14.25"/>
  <cols>
    <col min="1" max="1" width="8.59765625" style="59" customWidth="1"/>
    <col min="2" max="2" width="14.19921875" style="59" customWidth="1"/>
    <col min="3" max="3" width="24.33203125" style="59" customWidth="1"/>
    <col min="4" max="4" width="14.1328125" style="61" customWidth="1"/>
    <col min="5" max="5" width="11.19921875" style="59" customWidth="1"/>
    <col min="6" max="8" width="11.19921875" style="59" hidden="1" customWidth="1"/>
    <col min="9" max="9" width="8.59765625" style="59" hidden="1" customWidth="1"/>
    <col min="10" max="10" width="11.73046875" style="59" customWidth="1"/>
    <col min="11" max="11" width="8.1328125" style="59" customWidth="1"/>
    <col min="12" max="12" width="16.46484375" style="59" customWidth="1"/>
    <col min="13" max="15" width="8.1328125" style="59" customWidth="1"/>
    <col min="16" max="16" width="11.73046875" style="59" customWidth="1"/>
    <col min="17" max="17" width="13" customWidth="1"/>
    <col min="18" max="18" width="15" customWidth="1"/>
    <col min="19" max="19" width="19.3984375" customWidth="1"/>
    <col min="20" max="20" width="18.73046875" customWidth="1"/>
    <col min="21" max="21" width="20.1328125" customWidth="1"/>
  </cols>
  <sheetData>
    <row r="1" spans="1:21">
      <c r="A1" s="114" t="s">
        <v>2580</v>
      </c>
      <c r="B1" s="114" t="s">
        <v>2581</v>
      </c>
      <c r="C1" s="114" t="s">
        <v>2582</v>
      </c>
      <c r="D1" s="114" t="s">
        <v>2583</v>
      </c>
      <c r="E1" s="114" t="s">
        <v>2584</v>
      </c>
      <c r="F1" s="114" t="s">
        <v>2585</v>
      </c>
      <c r="G1" s="114" t="s">
        <v>2586</v>
      </c>
      <c r="H1" s="114" t="s">
        <v>2587</v>
      </c>
      <c r="I1" s="114" t="s">
        <v>2588</v>
      </c>
      <c r="J1" s="114" t="s">
        <v>2589</v>
      </c>
      <c r="K1" s="114" t="s">
        <v>2590</v>
      </c>
      <c r="L1" s="114" t="s">
        <v>2591</v>
      </c>
      <c r="M1" s="114" t="s">
        <v>2592</v>
      </c>
      <c r="N1" s="114" t="s">
        <v>2593</v>
      </c>
      <c r="O1" s="114" t="s">
        <v>2594</v>
      </c>
      <c r="P1" s="114" t="s">
        <v>2656</v>
      </c>
      <c r="Q1" s="114" t="s">
        <v>2657</v>
      </c>
      <c r="R1" s="114" t="s">
        <v>2658</v>
      </c>
      <c r="S1" s="114" t="s">
        <v>2595</v>
      </c>
      <c r="T1" s="114" t="s">
        <v>2596</v>
      </c>
      <c r="U1" s="114" t="s">
        <v>2741</v>
      </c>
    </row>
    <row r="2" spans="1:21" ht="22.5">
      <c r="A2" s="94" t="s">
        <v>2579</v>
      </c>
      <c r="B2" s="94"/>
      <c r="C2" s="94"/>
      <c r="D2" s="120"/>
      <c r="E2" s="94"/>
      <c r="F2" s="94"/>
      <c r="G2" s="94"/>
      <c r="H2" s="94"/>
      <c r="I2" s="94"/>
      <c r="J2" s="94"/>
      <c r="K2" s="94"/>
      <c r="L2" s="94"/>
      <c r="M2" s="94"/>
      <c r="N2" s="119"/>
      <c r="O2" s="94"/>
      <c r="P2" s="94"/>
    </row>
    <row r="3" spans="1:21" ht="23.25">
      <c r="A3" s="71" t="s">
        <v>2580</v>
      </c>
      <c r="B3" s="71" t="s">
        <v>2715</v>
      </c>
      <c r="C3" s="71" t="s">
        <v>2716</v>
      </c>
      <c r="D3" s="83" t="s">
        <v>883</v>
      </c>
      <c r="E3" s="71" t="s">
        <v>2717</v>
      </c>
      <c r="F3" s="71" t="s">
        <v>2718</v>
      </c>
      <c r="G3" s="71" t="s">
        <v>882</v>
      </c>
      <c r="H3" s="71" t="s">
        <v>2719</v>
      </c>
      <c r="I3" s="71" t="s">
        <v>1186</v>
      </c>
      <c r="J3" s="71" t="s">
        <v>347</v>
      </c>
      <c r="K3" s="71" t="s">
        <v>2721</v>
      </c>
      <c r="L3" s="71" t="s">
        <v>2720</v>
      </c>
      <c r="M3" s="71" t="s">
        <v>265</v>
      </c>
      <c r="N3" s="71" t="s">
        <v>20</v>
      </c>
      <c r="O3" s="71" t="s">
        <v>801</v>
      </c>
      <c r="P3" s="71" t="s">
        <v>2659</v>
      </c>
      <c r="Q3" s="71" t="s">
        <v>2660</v>
      </c>
      <c r="R3" s="71" t="s">
        <v>2722</v>
      </c>
      <c r="S3" s="71" t="s">
        <v>2723</v>
      </c>
      <c r="T3" s="71" t="s">
        <v>2734</v>
      </c>
      <c r="U3" s="71" t="s">
        <v>2735</v>
      </c>
    </row>
    <row r="4" spans="1:21">
      <c r="A4">
        <v>339</v>
      </c>
      <c r="B4" t="s">
        <v>403</v>
      </c>
      <c r="C4" t="s">
        <v>224</v>
      </c>
      <c r="D4"/>
      <c r="E4" t="s">
        <v>989</v>
      </c>
      <c r="F4" t="s">
        <v>948</v>
      </c>
      <c r="G4">
        <v>18</v>
      </c>
      <c r="H4" t="s">
        <v>243</v>
      </c>
      <c r="I4" t="s">
        <v>243</v>
      </c>
      <c r="J4"/>
      <c r="K4"/>
      <c r="L4"/>
      <c r="M4"/>
      <c r="N4"/>
      <c r="O4"/>
      <c r="P4"/>
    </row>
    <row r="5" spans="1:21">
      <c r="A5">
        <v>340</v>
      </c>
      <c r="B5" t="s">
        <v>403</v>
      </c>
      <c r="C5" t="s">
        <v>225</v>
      </c>
      <c r="D5"/>
      <c r="E5" t="s">
        <v>949</v>
      </c>
      <c r="F5" t="s">
        <v>948</v>
      </c>
      <c r="G5">
        <v>20</v>
      </c>
      <c r="H5" t="s">
        <v>249</v>
      </c>
      <c r="I5" t="s">
        <v>249</v>
      </c>
      <c r="J5"/>
      <c r="K5"/>
      <c r="L5"/>
      <c r="M5"/>
      <c r="N5"/>
      <c r="O5"/>
      <c r="P5"/>
    </row>
    <row r="6" spans="1:21">
      <c r="A6">
        <v>338</v>
      </c>
      <c r="B6" t="s">
        <v>403</v>
      </c>
      <c r="C6" t="s">
        <v>211</v>
      </c>
      <c r="D6"/>
      <c r="E6" t="s">
        <v>949</v>
      </c>
      <c r="F6" t="s">
        <v>948</v>
      </c>
      <c r="G6">
        <v>30</v>
      </c>
      <c r="H6" t="s">
        <v>243</v>
      </c>
      <c r="I6" t="s">
        <v>243</v>
      </c>
      <c r="J6"/>
      <c r="K6"/>
      <c r="L6"/>
      <c r="M6"/>
      <c r="N6"/>
      <c r="O6"/>
      <c r="P6"/>
    </row>
    <row r="7" spans="1:21">
      <c r="A7">
        <v>344</v>
      </c>
      <c r="B7" t="s">
        <v>403</v>
      </c>
      <c r="C7" t="s">
        <v>722</v>
      </c>
      <c r="D7"/>
      <c r="E7" t="s">
        <v>949</v>
      </c>
      <c r="F7" t="s">
        <v>948</v>
      </c>
      <c r="G7">
        <v>10</v>
      </c>
      <c r="H7" t="s">
        <v>249</v>
      </c>
      <c r="I7" t="s">
        <v>249</v>
      </c>
      <c r="J7"/>
      <c r="K7"/>
      <c r="L7"/>
      <c r="M7"/>
      <c r="N7"/>
      <c r="O7"/>
      <c r="P7"/>
    </row>
    <row r="8" spans="1:21">
      <c r="A8">
        <v>343</v>
      </c>
      <c r="B8" t="s">
        <v>403</v>
      </c>
      <c r="C8" t="s">
        <v>721</v>
      </c>
      <c r="D8"/>
      <c r="E8" t="s">
        <v>949</v>
      </c>
      <c r="F8" t="s">
        <v>948</v>
      </c>
      <c r="G8">
        <v>10</v>
      </c>
      <c r="H8" t="s">
        <v>249</v>
      </c>
      <c r="I8" t="s">
        <v>249</v>
      </c>
      <c r="J8"/>
      <c r="K8"/>
      <c r="L8"/>
      <c r="M8"/>
      <c r="N8"/>
      <c r="O8"/>
      <c r="P8"/>
    </row>
    <row r="9" spans="1:21">
      <c r="A9">
        <v>341</v>
      </c>
      <c r="B9" t="s">
        <v>403</v>
      </c>
      <c r="C9" t="s">
        <v>213</v>
      </c>
      <c r="D9"/>
      <c r="E9" t="s">
        <v>949</v>
      </c>
      <c r="F9" t="s">
        <v>948</v>
      </c>
      <c r="G9">
        <v>8</v>
      </c>
      <c r="H9" t="s">
        <v>249</v>
      </c>
      <c r="I9" t="s">
        <v>249</v>
      </c>
      <c r="J9"/>
      <c r="K9"/>
      <c r="L9"/>
      <c r="M9"/>
      <c r="N9"/>
      <c r="O9"/>
      <c r="P9"/>
    </row>
    <row r="10" spans="1:21">
      <c r="A10">
        <v>342</v>
      </c>
      <c r="B10" t="s">
        <v>403</v>
      </c>
      <c r="C10" t="s">
        <v>214</v>
      </c>
      <c r="D10"/>
      <c r="E10" t="s">
        <v>949</v>
      </c>
      <c r="F10" t="s">
        <v>948</v>
      </c>
      <c r="G10">
        <v>10</v>
      </c>
      <c r="H10" t="s">
        <v>249</v>
      </c>
      <c r="I10" t="s">
        <v>249</v>
      </c>
      <c r="J10"/>
      <c r="K10"/>
      <c r="L10"/>
      <c r="M10"/>
      <c r="N10"/>
      <c r="O10"/>
      <c r="P10"/>
    </row>
    <row r="11" spans="1:21">
      <c r="A11">
        <v>362</v>
      </c>
      <c r="B11" t="s">
        <v>403</v>
      </c>
      <c r="C11" t="s">
        <v>271</v>
      </c>
      <c r="D11"/>
      <c r="E11" t="s">
        <v>949</v>
      </c>
      <c r="F11" t="s">
        <v>948</v>
      </c>
      <c r="G11">
        <v>10</v>
      </c>
      <c r="H11" t="s">
        <v>249</v>
      </c>
      <c r="I11" t="s">
        <v>249</v>
      </c>
      <c r="J11"/>
      <c r="K11"/>
      <c r="L11"/>
      <c r="M11"/>
      <c r="N11"/>
      <c r="O11"/>
      <c r="P11"/>
    </row>
    <row r="12" spans="1:21">
      <c r="A12">
        <v>353</v>
      </c>
      <c r="B12" t="s">
        <v>403</v>
      </c>
      <c r="C12" t="s">
        <v>223</v>
      </c>
      <c r="D12"/>
      <c r="E12" t="s">
        <v>949</v>
      </c>
      <c r="F12" t="s">
        <v>948</v>
      </c>
      <c r="G12">
        <v>10</v>
      </c>
      <c r="H12" t="s">
        <v>249</v>
      </c>
      <c r="I12" t="s">
        <v>249</v>
      </c>
      <c r="J12"/>
      <c r="K12"/>
      <c r="L12"/>
      <c r="M12"/>
      <c r="N12"/>
      <c r="O12"/>
      <c r="P12"/>
    </row>
    <row r="13" spans="1:21">
      <c r="A13">
        <v>350</v>
      </c>
      <c r="B13" t="s">
        <v>403</v>
      </c>
      <c r="C13" t="s">
        <v>220</v>
      </c>
      <c r="D13"/>
      <c r="E13" t="s">
        <v>949</v>
      </c>
      <c r="F13" t="s">
        <v>948</v>
      </c>
      <c r="G13">
        <v>9</v>
      </c>
      <c r="H13" t="s">
        <v>249</v>
      </c>
      <c r="I13" t="s">
        <v>249</v>
      </c>
      <c r="J13"/>
      <c r="K13"/>
      <c r="L13"/>
      <c r="M13"/>
      <c r="N13"/>
      <c r="O13"/>
      <c r="P13"/>
    </row>
    <row r="14" spans="1:21">
      <c r="A14">
        <v>349</v>
      </c>
      <c r="B14" t="s">
        <v>403</v>
      </c>
      <c r="C14" t="s">
        <v>219</v>
      </c>
      <c r="D14"/>
      <c r="E14" t="s">
        <v>949</v>
      </c>
      <c r="F14" t="s">
        <v>948</v>
      </c>
      <c r="G14">
        <v>9</v>
      </c>
      <c r="H14" t="s">
        <v>249</v>
      </c>
      <c r="I14" t="s">
        <v>249</v>
      </c>
      <c r="J14"/>
      <c r="K14"/>
      <c r="L14"/>
      <c r="M14"/>
      <c r="N14"/>
      <c r="O14"/>
      <c r="P14"/>
    </row>
    <row r="15" spans="1:21">
      <c r="A15">
        <v>359</v>
      </c>
      <c r="B15" t="s">
        <v>403</v>
      </c>
      <c r="C15" t="s">
        <v>231</v>
      </c>
      <c r="D15"/>
      <c r="E15" t="s">
        <v>949</v>
      </c>
      <c r="F15" t="s">
        <v>948</v>
      </c>
      <c r="G15">
        <v>10</v>
      </c>
      <c r="H15" t="s">
        <v>249</v>
      </c>
      <c r="I15" t="s">
        <v>249</v>
      </c>
      <c r="J15"/>
      <c r="K15"/>
      <c r="L15"/>
      <c r="M15"/>
      <c r="N15"/>
      <c r="O15"/>
      <c r="P15"/>
    </row>
    <row r="16" spans="1:21">
      <c r="A16">
        <v>337</v>
      </c>
      <c r="B16" t="s">
        <v>403</v>
      </c>
      <c r="C16" t="s">
        <v>212</v>
      </c>
      <c r="D16"/>
      <c r="E16" t="s">
        <v>949</v>
      </c>
      <c r="F16" t="s">
        <v>948</v>
      </c>
      <c r="G16">
        <v>8</v>
      </c>
      <c r="H16" t="s">
        <v>243</v>
      </c>
      <c r="I16" t="s">
        <v>243</v>
      </c>
      <c r="J16"/>
      <c r="K16"/>
      <c r="L16"/>
      <c r="M16"/>
      <c r="N16"/>
      <c r="O16"/>
      <c r="P16"/>
    </row>
    <row r="17" spans="1:16">
      <c r="A17">
        <v>354</v>
      </c>
      <c r="B17" t="s">
        <v>403</v>
      </c>
      <c r="C17" t="s">
        <v>226</v>
      </c>
      <c r="D17"/>
      <c r="E17" t="s">
        <v>949</v>
      </c>
      <c r="F17" t="s">
        <v>948</v>
      </c>
      <c r="G17">
        <v>10</v>
      </c>
      <c r="H17" t="s">
        <v>249</v>
      </c>
      <c r="I17" t="s">
        <v>249</v>
      </c>
      <c r="J17"/>
      <c r="K17"/>
      <c r="L17"/>
      <c r="M17"/>
      <c r="N17"/>
      <c r="O17"/>
      <c r="P17"/>
    </row>
    <row r="18" spans="1:16">
      <c r="A18">
        <v>352</v>
      </c>
      <c r="B18" t="s">
        <v>403</v>
      </c>
      <c r="C18" t="s">
        <v>222</v>
      </c>
      <c r="D18"/>
      <c r="E18" t="s">
        <v>989</v>
      </c>
      <c r="F18" t="s">
        <v>948</v>
      </c>
      <c r="G18">
        <v>18</v>
      </c>
      <c r="H18" t="s">
        <v>243</v>
      </c>
      <c r="I18" t="s">
        <v>243</v>
      </c>
      <c r="J18"/>
      <c r="K18"/>
      <c r="L18"/>
      <c r="M18"/>
      <c r="N18"/>
      <c r="O18"/>
      <c r="P18"/>
    </row>
    <row r="19" spans="1:16">
      <c r="A19">
        <v>364</v>
      </c>
      <c r="B19" t="s">
        <v>403</v>
      </c>
      <c r="C19" t="s">
        <v>232</v>
      </c>
      <c r="D19"/>
      <c r="E19" t="s">
        <v>949</v>
      </c>
      <c r="F19" t="s">
        <v>948</v>
      </c>
      <c r="G19">
        <v>10</v>
      </c>
      <c r="H19" t="s">
        <v>243</v>
      </c>
      <c r="I19" t="s">
        <v>243</v>
      </c>
      <c r="J19"/>
      <c r="K19"/>
      <c r="L19"/>
      <c r="M19"/>
      <c r="N19"/>
      <c r="O19"/>
      <c r="P19"/>
    </row>
    <row r="20" spans="1:16">
      <c r="A20">
        <v>373</v>
      </c>
      <c r="B20" t="s">
        <v>403</v>
      </c>
      <c r="C20" t="s">
        <v>241</v>
      </c>
      <c r="D20"/>
      <c r="E20" t="s">
        <v>949</v>
      </c>
      <c r="F20" t="s">
        <v>948</v>
      </c>
      <c r="G20">
        <v>10</v>
      </c>
      <c r="H20" t="s">
        <v>243</v>
      </c>
      <c r="I20" t="s">
        <v>243</v>
      </c>
      <c r="J20"/>
      <c r="K20"/>
      <c r="L20"/>
      <c r="M20"/>
      <c r="N20"/>
      <c r="O20"/>
      <c r="P20"/>
    </row>
    <row r="21" spans="1:16">
      <c r="A21">
        <v>374</v>
      </c>
      <c r="B21" t="s">
        <v>403</v>
      </c>
      <c r="C21" t="s">
        <v>273</v>
      </c>
      <c r="D21"/>
      <c r="E21" t="s">
        <v>949</v>
      </c>
      <c r="F21" t="s">
        <v>948</v>
      </c>
      <c r="G21">
        <v>10</v>
      </c>
      <c r="H21" t="s">
        <v>243</v>
      </c>
      <c r="I21" t="s">
        <v>243</v>
      </c>
      <c r="J21"/>
      <c r="K21"/>
      <c r="L21"/>
      <c r="M21"/>
      <c r="N21"/>
      <c r="O21"/>
      <c r="P21"/>
    </row>
    <row r="22" spans="1:16">
      <c r="A22">
        <v>375</v>
      </c>
      <c r="B22" t="s">
        <v>403</v>
      </c>
      <c r="C22" t="s">
        <v>274</v>
      </c>
      <c r="D22"/>
      <c r="E22" t="s">
        <v>949</v>
      </c>
      <c r="F22" t="s">
        <v>948</v>
      </c>
      <c r="G22">
        <v>10</v>
      </c>
      <c r="H22" t="s">
        <v>243</v>
      </c>
      <c r="I22" t="s">
        <v>243</v>
      </c>
      <c r="J22"/>
      <c r="K22"/>
      <c r="L22"/>
      <c r="M22"/>
      <c r="N22"/>
      <c r="O22"/>
      <c r="P22"/>
    </row>
    <row r="23" spans="1:16">
      <c r="A23">
        <v>376</v>
      </c>
      <c r="B23" t="s">
        <v>403</v>
      </c>
      <c r="C23" t="s">
        <v>275</v>
      </c>
      <c r="D23"/>
      <c r="E23" t="s">
        <v>949</v>
      </c>
      <c r="F23" t="s">
        <v>948</v>
      </c>
      <c r="G23">
        <v>10</v>
      </c>
      <c r="H23" t="s">
        <v>243</v>
      </c>
      <c r="I23" t="s">
        <v>243</v>
      </c>
      <c r="J23"/>
      <c r="K23"/>
      <c r="L23"/>
      <c r="M23"/>
      <c r="N23"/>
      <c r="O23"/>
      <c r="P23"/>
    </row>
    <row r="24" spans="1:16">
      <c r="A24">
        <v>377</v>
      </c>
      <c r="B24" t="s">
        <v>403</v>
      </c>
      <c r="C24" t="s">
        <v>276</v>
      </c>
      <c r="D24"/>
      <c r="E24" t="s">
        <v>949</v>
      </c>
      <c r="F24" t="s">
        <v>948</v>
      </c>
      <c r="G24">
        <v>10</v>
      </c>
      <c r="H24" t="s">
        <v>243</v>
      </c>
      <c r="I24" t="s">
        <v>243</v>
      </c>
      <c r="J24"/>
      <c r="K24"/>
      <c r="L24"/>
      <c r="M24"/>
      <c r="N24"/>
      <c r="O24"/>
      <c r="P24"/>
    </row>
    <row r="25" spans="1:16">
      <c r="A25">
        <v>365</v>
      </c>
      <c r="B25" t="s">
        <v>403</v>
      </c>
      <c r="C25" t="s">
        <v>233</v>
      </c>
      <c r="D25"/>
      <c r="E25" t="s">
        <v>949</v>
      </c>
      <c r="F25" t="s">
        <v>948</v>
      </c>
      <c r="G25">
        <v>10</v>
      </c>
      <c r="H25" t="s">
        <v>243</v>
      </c>
      <c r="I25" t="s">
        <v>243</v>
      </c>
      <c r="J25"/>
      <c r="K25"/>
      <c r="L25"/>
      <c r="M25"/>
      <c r="N25"/>
      <c r="O25"/>
      <c r="P25"/>
    </row>
    <row r="26" spans="1:16">
      <c r="A26">
        <v>366</v>
      </c>
      <c r="B26" t="s">
        <v>403</v>
      </c>
      <c r="C26" t="s">
        <v>234</v>
      </c>
      <c r="D26"/>
      <c r="E26" t="s">
        <v>949</v>
      </c>
      <c r="F26" t="s">
        <v>948</v>
      </c>
      <c r="G26">
        <v>10</v>
      </c>
      <c r="H26" t="s">
        <v>243</v>
      </c>
      <c r="I26" t="s">
        <v>243</v>
      </c>
      <c r="J26"/>
      <c r="K26"/>
      <c r="L26"/>
      <c r="M26"/>
      <c r="N26"/>
      <c r="O26"/>
      <c r="P26"/>
    </row>
    <row r="27" spans="1:16">
      <c r="A27">
        <v>367</v>
      </c>
      <c r="B27" t="s">
        <v>403</v>
      </c>
      <c r="C27" t="s">
        <v>235</v>
      </c>
      <c r="D27"/>
      <c r="E27" t="s">
        <v>949</v>
      </c>
      <c r="F27" t="s">
        <v>948</v>
      </c>
      <c r="G27">
        <v>10</v>
      </c>
      <c r="H27" t="s">
        <v>243</v>
      </c>
      <c r="I27" t="s">
        <v>243</v>
      </c>
      <c r="J27"/>
      <c r="K27"/>
      <c r="L27"/>
      <c r="M27"/>
      <c r="N27"/>
      <c r="O27"/>
      <c r="P27"/>
    </row>
    <row r="28" spans="1:16">
      <c r="A28">
        <v>368</v>
      </c>
      <c r="B28" t="s">
        <v>403</v>
      </c>
      <c r="C28" t="s">
        <v>236</v>
      </c>
      <c r="D28"/>
      <c r="E28" t="s">
        <v>949</v>
      </c>
      <c r="F28" t="s">
        <v>948</v>
      </c>
      <c r="G28">
        <v>10</v>
      </c>
      <c r="H28" t="s">
        <v>243</v>
      </c>
      <c r="I28" t="s">
        <v>243</v>
      </c>
      <c r="J28"/>
      <c r="K28"/>
      <c r="L28"/>
      <c r="M28"/>
      <c r="N28"/>
      <c r="O28"/>
      <c r="P28"/>
    </row>
    <row r="29" spans="1:16">
      <c r="A29">
        <v>369</v>
      </c>
      <c r="B29" t="s">
        <v>403</v>
      </c>
      <c r="C29" t="s">
        <v>237</v>
      </c>
      <c r="D29"/>
      <c r="E29" t="s">
        <v>949</v>
      </c>
      <c r="F29" t="s">
        <v>948</v>
      </c>
      <c r="G29">
        <v>10</v>
      </c>
      <c r="H29" t="s">
        <v>243</v>
      </c>
      <c r="I29" t="s">
        <v>243</v>
      </c>
      <c r="J29"/>
      <c r="K29"/>
      <c r="L29"/>
      <c r="M29"/>
      <c r="N29"/>
      <c r="O29"/>
      <c r="P29"/>
    </row>
    <row r="30" spans="1:16">
      <c r="A30">
        <v>370</v>
      </c>
      <c r="B30" t="s">
        <v>403</v>
      </c>
      <c r="C30" t="s">
        <v>238</v>
      </c>
      <c r="D30"/>
      <c r="E30" t="s">
        <v>949</v>
      </c>
      <c r="F30" t="s">
        <v>948</v>
      </c>
      <c r="G30">
        <v>10</v>
      </c>
      <c r="H30" t="s">
        <v>243</v>
      </c>
      <c r="I30" t="s">
        <v>243</v>
      </c>
      <c r="J30"/>
      <c r="K30"/>
      <c r="L30"/>
      <c r="M30"/>
      <c r="N30"/>
      <c r="O30"/>
      <c r="P30"/>
    </row>
    <row r="31" spans="1:16">
      <c r="A31">
        <v>371</v>
      </c>
      <c r="B31" t="s">
        <v>403</v>
      </c>
      <c r="C31" t="s">
        <v>239</v>
      </c>
      <c r="D31"/>
      <c r="E31" t="s">
        <v>949</v>
      </c>
      <c r="F31" t="s">
        <v>948</v>
      </c>
      <c r="G31">
        <v>10</v>
      </c>
      <c r="H31" t="s">
        <v>243</v>
      </c>
      <c r="I31" t="s">
        <v>243</v>
      </c>
      <c r="J31"/>
      <c r="K31"/>
      <c r="L31"/>
      <c r="M31"/>
      <c r="N31"/>
      <c r="O31"/>
      <c r="P31"/>
    </row>
    <row r="32" spans="1:16">
      <c r="A32">
        <v>372</v>
      </c>
      <c r="B32" t="s">
        <v>403</v>
      </c>
      <c r="C32" t="s">
        <v>240</v>
      </c>
      <c r="D32"/>
      <c r="E32" t="s">
        <v>949</v>
      </c>
      <c r="F32" t="s">
        <v>948</v>
      </c>
      <c r="G32">
        <v>10</v>
      </c>
      <c r="H32" t="s">
        <v>243</v>
      </c>
      <c r="I32" t="s">
        <v>243</v>
      </c>
      <c r="J32"/>
      <c r="K32"/>
      <c r="L32"/>
      <c r="M32"/>
      <c r="N32"/>
      <c r="O32"/>
      <c r="P32"/>
    </row>
    <row r="33" spans="1:16">
      <c r="A33">
        <v>363</v>
      </c>
      <c r="B33" t="s">
        <v>403</v>
      </c>
      <c r="C33" t="s">
        <v>272</v>
      </c>
      <c r="D33"/>
      <c r="E33" t="s">
        <v>949</v>
      </c>
      <c r="F33" t="s">
        <v>948</v>
      </c>
      <c r="G33">
        <v>10</v>
      </c>
      <c r="H33" t="s">
        <v>243</v>
      </c>
      <c r="I33" t="s">
        <v>243</v>
      </c>
      <c r="J33"/>
      <c r="K33"/>
      <c r="L33"/>
      <c r="M33"/>
      <c r="N33"/>
      <c r="O33"/>
      <c r="P33"/>
    </row>
    <row r="34" spans="1:16">
      <c r="A34">
        <v>355</v>
      </c>
      <c r="B34" t="s">
        <v>403</v>
      </c>
      <c r="C34" t="s">
        <v>227</v>
      </c>
      <c r="D34"/>
      <c r="E34" t="s">
        <v>949</v>
      </c>
      <c r="F34" t="s">
        <v>948</v>
      </c>
      <c r="G34">
        <v>10</v>
      </c>
      <c r="H34" t="s">
        <v>249</v>
      </c>
      <c r="I34" t="s">
        <v>249</v>
      </c>
      <c r="J34"/>
      <c r="K34"/>
      <c r="L34"/>
      <c r="M34"/>
      <c r="N34"/>
      <c r="O34"/>
      <c r="P34"/>
    </row>
    <row r="35" spans="1:16">
      <c r="A35">
        <v>348</v>
      </c>
      <c r="B35" t="s">
        <v>403</v>
      </c>
      <c r="C35" t="s">
        <v>218</v>
      </c>
      <c r="D35"/>
      <c r="E35" t="s">
        <v>989</v>
      </c>
      <c r="F35" t="s">
        <v>948</v>
      </c>
      <c r="G35">
        <v>18</v>
      </c>
      <c r="H35" t="s">
        <v>243</v>
      </c>
      <c r="I35" t="s">
        <v>249</v>
      </c>
      <c r="J35"/>
      <c r="K35"/>
      <c r="L35"/>
      <c r="M35"/>
      <c r="N35"/>
      <c r="O35"/>
      <c r="P35"/>
    </row>
    <row r="36" spans="1:16">
      <c r="A36">
        <v>351</v>
      </c>
      <c r="B36" t="s">
        <v>403</v>
      </c>
      <c r="C36" t="s">
        <v>221</v>
      </c>
      <c r="D36"/>
      <c r="E36" t="s">
        <v>949</v>
      </c>
      <c r="F36" t="s">
        <v>948</v>
      </c>
      <c r="G36">
        <v>10</v>
      </c>
      <c r="H36" t="s">
        <v>243</v>
      </c>
      <c r="I36" t="s">
        <v>243</v>
      </c>
      <c r="J36"/>
      <c r="K36"/>
      <c r="L36"/>
      <c r="M36"/>
      <c r="N36"/>
      <c r="O36"/>
      <c r="P36"/>
    </row>
    <row r="37" spans="1:16">
      <c r="A37">
        <v>347</v>
      </c>
      <c r="B37" t="s">
        <v>403</v>
      </c>
      <c r="C37" t="s">
        <v>217</v>
      </c>
      <c r="D37"/>
      <c r="E37" t="s">
        <v>989</v>
      </c>
      <c r="F37" t="s">
        <v>948</v>
      </c>
      <c r="G37">
        <v>18</v>
      </c>
      <c r="H37" t="s">
        <v>243</v>
      </c>
      <c r="I37" t="s">
        <v>243</v>
      </c>
      <c r="J37"/>
      <c r="K37"/>
      <c r="L37"/>
      <c r="M37"/>
      <c r="N37"/>
      <c r="O37"/>
      <c r="P37"/>
    </row>
    <row r="38" spans="1:16">
      <c r="A38">
        <v>345</v>
      </c>
      <c r="B38" t="s">
        <v>403</v>
      </c>
      <c r="C38" t="s">
        <v>215</v>
      </c>
      <c r="D38"/>
      <c r="E38" t="s">
        <v>949</v>
      </c>
      <c r="F38" t="s">
        <v>948</v>
      </c>
      <c r="G38">
        <v>10</v>
      </c>
      <c r="H38" t="s">
        <v>243</v>
      </c>
      <c r="I38" t="s">
        <v>243</v>
      </c>
      <c r="J38"/>
      <c r="K38"/>
      <c r="L38"/>
      <c r="M38"/>
      <c r="N38"/>
      <c r="O38"/>
      <c r="P38"/>
    </row>
    <row r="39" spans="1:16">
      <c r="A39">
        <v>346</v>
      </c>
      <c r="B39" t="s">
        <v>403</v>
      </c>
      <c r="C39" t="s">
        <v>216</v>
      </c>
      <c r="D39"/>
      <c r="E39" t="s">
        <v>949</v>
      </c>
      <c r="F39" t="s">
        <v>948</v>
      </c>
      <c r="G39">
        <v>10</v>
      </c>
      <c r="H39" t="s">
        <v>243</v>
      </c>
      <c r="I39" t="s">
        <v>243</v>
      </c>
      <c r="J39"/>
      <c r="K39"/>
      <c r="L39"/>
      <c r="M39"/>
      <c r="N39"/>
      <c r="O39"/>
      <c r="P39"/>
    </row>
    <row r="40" spans="1:16">
      <c r="A40">
        <v>45</v>
      </c>
      <c r="B40" t="s">
        <v>247</v>
      </c>
      <c r="C40" t="s">
        <v>68</v>
      </c>
      <c r="D40" t="s">
        <v>68</v>
      </c>
      <c r="E40" t="s">
        <v>949</v>
      </c>
      <c r="F40" t="s">
        <v>948</v>
      </c>
      <c r="G40">
        <v>10</v>
      </c>
      <c r="H40" t="s">
        <v>249</v>
      </c>
      <c r="I40" t="s">
        <v>249</v>
      </c>
      <c r="J40"/>
      <c r="K40"/>
      <c r="L40" t="s">
        <v>1783</v>
      </c>
      <c r="M40"/>
      <c r="N40"/>
      <c r="O40"/>
      <c r="P40" t="s">
        <v>249</v>
      </c>
    </row>
    <row r="41" spans="1:16">
      <c r="A41">
        <v>380</v>
      </c>
      <c r="B41" t="s">
        <v>405</v>
      </c>
      <c r="C41" t="s">
        <v>374</v>
      </c>
      <c r="D41"/>
      <c r="E41" t="s">
        <v>949</v>
      </c>
      <c r="F41" t="s">
        <v>948</v>
      </c>
      <c r="G41">
        <v>9</v>
      </c>
      <c r="H41" t="s">
        <v>249</v>
      </c>
      <c r="I41" t="s">
        <v>249</v>
      </c>
      <c r="J41"/>
      <c r="K41"/>
      <c r="L41"/>
      <c r="M41"/>
      <c r="N41"/>
      <c r="O41"/>
      <c r="P41"/>
    </row>
    <row r="42" spans="1:16">
      <c r="A42">
        <v>379</v>
      </c>
      <c r="B42" t="s">
        <v>405</v>
      </c>
      <c r="C42" t="s">
        <v>373</v>
      </c>
      <c r="D42"/>
      <c r="E42" t="s">
        <v>949</v>
      </c>
      <c r="F42" t="s">
        <v>948</v>
      </c>
      <c r="G42">
        <v>8</v>
      </c>
      <c r="H42" t="s">
        <v>249</v>
      </c>
      <c r="I42" t="s">
        <v>249</v>
      </c>
      <c r="J42"/>
      <c r="K42"/>
      <c r="L42"/>
      <c r="M42"/>
      <c r="N42"/>
      <c r="O42"/>
      <c r="P42"/>
    </row>
    <row r="43" spans="1:16">
      <c r="A43">
        <v>384</v>
      </c>
      <c r="B43" t="s">
        <v>405</v>
      </c>
      <c r="C43" t="s">
        <v>379</v>
      </c>
      <c r="D43"/>
      <c r="E43" t="s">
        <v>949</v>
      </c>
      <c r="F43" t="s">
        <v>948</v>
      </c>
      <c r="G43">
        <v>15</v>
      </c>
      <c r="H43" t="s">
        <v>249</v>
      </c>
      <c r="I43" t="s">
        <v>249</v>
      </c>
      <c r="J43"/>
      <c r="K43"/>
      <c r="L43"/>
      <c r="M43"/>
      <c r="N43"/>
      <c r="O43"/>
      <c r="P43"/>
    </row>
    <row r="44" spans="1:16">
      <c r="A44">
        <v>378</v>
      </c>
      <c r="B44" t="s">
        <v>405</v>
      </c>
      <c r="C44" t="s">
        <v>372</v>
      </c>
      <c r="D44"/>
      <c r="E44" t="s">
        <v>949</v>
      </c>
      <c r="F44" t="s">
        <v>948</v>
      </c>
      <c r="G44">
        <v>7</v>
      </c>
      <c r="H44" t="s">
        <v>249</v>
      </c>
      <c r="I44" t="s">
        <v>249</v>
      </c>
      <c r="J44"/>
      <c r="K44"/>
      <c r="L44"/>
      <c r="M44"/>
      <c r="N44"/>
      <c r="O44"/>
      <c r="P44"/>
    </row>
    <row r="45" spans="1:16">
      <c r="A45">
        <v>385</v>
      </c>
      <c r="B45" t="s">
        <v>405</v>
      </c>
      <c r="C45" t="s">
        <v>380</v>
      </c>
      <c r="D45"/>
      <c r="E45" t="s">
        <v>949</v>
      </c>
      <c r="F45" t="s">
        <v>948</v>
      </c>
      <c r="G45">
        <v>25</v>
      </c>
      <c r="H45" t="s">
        <v>249</v>
      </c>
      <c r="I45" t="s">
        <v>249</v>
      </c>
      <c r="J45"/>
      <c r="K45"/>
      <c r="L45"/>
      <c r="M45"/>
      <c r="N45"/>
      <c r="O45"/>
      <c r="P45"/>
    </row>
    <row r="46" spans="1:16">
      <c r="A46">
        <v>382</v>
      </c>
      <c r="B46" t="s">
        <v>405</v>
      </c>
      <c r="C46" t="s">
        <v>376</v>
      </c>
      <c r="D46"/>
      <c r="E46" t="s">
        <v>949</v>
      </c>
      <c r="F46" t="s">
        <v>948</v>
      </c>
      <c r="G46">
        <v>15</v>
      </c>
      <c r="H46" t="s">
        <v>249</v>
      </c>
      <c r="I46" t="s">
        <v>249</v>
      </c>
      <c r="J46"/>
      <c r="K46"/>
      <c r="L46"/>
      <c r="M46"/>
      <c r="N46"/>
      <c r="O46"/>
      <c r="P46"/>
    </row>
    <row r="47" spans="1:16">
      <c r="A47">
        <v>388</v>
      </c>
      <c r="B47" t="s">
        <v>405</v>
      </c>
      <c r="C47" t="s">
        <v>383</v>
      </c>
      <c r="D47"/>
      <c r="E47" t="s">
        <v>949</v>
      </c>
      <c r="F47" t="s">
        <v>948</v>
      </c>
      <c r="G47">
        <v>10</v>
      </c>
      <c r="H47" t="s">
        <v>249</v>
      </c>
      <c r="I47" t="s">
        <v>249</v>
      </c>
      <c r="J47"/>
      <c r="K47"/>
      <c r="L47"/>
      <c r="M47"/>
      <c r="N47"/>
      <c r="O47"/>
      <c r="P47"/>
    </row>
    <row r="48" spans="1:16">
      <c r="A48">
        <v>389</v>
      </c>
      <c r="B48" t="s">
        <v>405</v>
      </c>
      <c r="C48" t="s">
        <v>384</v>
      </c>
      <c r="D48"/>
      <c r="E48" t="s">
        <v>949</v>
      </c>
      <c r="F48" t="s">
        <v>948</v>
      </c>
      <c r="G48">
        <v>10</v>
      </c>
      <c r="H48" t="s">
        <v>249</v>
      </c>
      <c r="I48" t="s">
        <v>249</v>
      </c>
      <c r="J48"/>
      <c r="K48"/>
      <c r="L48"/>
      <c r="M48"/>
      <c r="N48"/>
      <c r="O48"/>
      <c r="P48"/>
    </row>
    <row r="49" spans="1:19">
      <c r="A49">
        <v>391</v>
      </c>
      <c r="B49" t="s">
        <v>405</v>
      </c>
      <c r="C49" t="s">
        <v>385</v>
      </c>
      <c r="D49"/>
      <c r="E49" t="s">
        <v>949</v>
      </c>
      <c r="F49" t="s">
        <v>948</v>
      </c>
      <c r="G49">
        <v>10</v>
      </c>
      <c r="H49" t="s">
        <v>249</v>
      </c>
      <c r="I49" t="s">
        <v>249</v>
      </c>
      <c r="J49"/>
      <c r="K49"/>
      <c r="L49"/>
      <c r="M49"/>
      <c r="N49"/>
      <c r="O49"/>
      <c r="P49"/>
    </row>
    <row r="50" spans="1:19">
      <c r="A50">
        <v>392</v>
      </c>
      <c r="B50" t="s">
        <v>405</v>
      </c>
      <c r="C50" t="s">
        <v>386</v>
      </c>
      <c r="D50"/>
      <c r="E50" t="s">
        <v>949</v>
      </c>
      <c r="F50" t="s">
        <v>948</v>
      </c>
      <c r="G50">
        <v>10</v>
      </c>
      <c r="H50" t="s">
        <v>249</v>
      </c>
      <c r="I50" t="s">
        <v>249</v>
      </c>
      <c r="J50"/>
      <c r="K50"/>
      <c r="L50"/>
      <c r="M50"/>
      <c r="N50"/>
      <c r="O50"/>
      <c r="P50"/>
    </row>
    <row r="51" spans="1:19">
      <c r="A51">
        <v>393</v>
      </c>
      <c r="B51" t="s">
        <v>405</v>
      </c>
      <c r="C51" t="s">
        <v>387</v>
      </c>
      <c r="D51"/>
      <c r="E51" t="s">
        <v>949</v>
      </c>
      <c r="F51" t="s">
        <v>948</v>
      </c>
      <c r="G51">
        <v>10</v>
      </c>
      <c r="H51" t="s">
        <v>249</v>
      </c>
      <c r="I51" t="s">
        <v>249</v>
      </c>
      <c r="J51"/>
      <c r="K51"/>
      <c r="L51"/>
      <c r="M51"/>
      <c r="N51"/>
      <c r="O51"/>
      <c r="P51"/>
    </row>
    <row r="52" spans="1:19">
      <c r="A52">
        <v>387</v>
      </c>
      <c r="B52" t="s">
        <v>405</v>
      </c>
      <c r="C52" t="s">
        <v>381</v>
      </c>
      <c r="D52"/>
      <c r="E52" t="s">
        <v>949</v>
      </c>
      <c r="F52" t="s">
        <v>948</v>
      </c>
      <c r="G52">
        <v>15</v>
      </c>
      <c r="H52" t="s">
        <v>249</v>
      </c>
      <c r="I52" t="s">
        <v>249</v>
      </c>
      <c r="J52"/>
      <c r="K52"/>
      <c r="L52"/>
      <c r="M52"/>
      <c r="N52"/>
      <c r="O52"/>
      <c r="P52"/>
    </row>
    <row r="53" spans="1:19">
      <c r="A53">
        <v>390</v>
      </c>
      <c r="B53" t="s">
        <v>405</v>
      </c>
      <c r="C53" t="s">
        <v>382</v>
      </c>
      <c r="D53"/>
      <c r="E53" t="s">
        <v>949</v>
      </c>
      <c r="F53" t="s">
        <v>948</v>
      </c>
      <c r="G53">
        <v>10</v>
      </c>
      <c r="H53" t="s">
        <v>249</v>
      </c>
      <c r="I53" t="s">
        <v>249</v>
      </c>
      <c r="J53"/>
      <c r="K53"/>
      <c r="L53"/>
      <c r="M53"/>
      <c r="N53"/>
      <c r="O53"/>
      <c r="P53"/>
    </row>
    <row r="54" spans="1:19">
      <c r="A54">
        <v>386</v>
      </c>
      <c r="B54" t="s">
        <v>405</v>
      </c>
      <c r="C54" t="s">
        <v>378</v>
      </c>
      <c r="D54"/>
      <c r="E54" t="s">
        <v>949</v>
      </c>
      <c r="F54" t="s">
        <v>948</v>
      </c>
      <c r="G54">
        <v>15</v>
      </c>
      <c r="H54" t="s">
        <v>249</v>
      </c>
      <c r="I54" t="s">
        <v>249</v>
      </c>
      <c r="J54"/>
      <c r="K54"/>
      <c r="L54"/>
      <c r="M54"/>
      <c r="N54"/>
      <c r="O54"/>
      <c r="P54"/>
    </row>
    <row r="55" spans="1:19">
      <c r="A55">
        <v>383</v>
      </c>
      <c r="B55" t="s">
        <v>405</v>
      </c>
      <c r="C55" t="s">
        <v>377</v>
      </c>
      <c r="D55"/>
      <c r="E55" t="s">
        <v>949</v>
      </c>
      <c r="F55" t="s">
        <v>948</v>
      </c>
      <c r="G55">
        <v>15</v>
      </c>
      <c r="H55" t="s">
        <v>249</v>
      </c>
      <c r="I55" t="s">
        <v>249</v>
      </c>
      <c r="J55"/>
      <c r="K55"/>
      <c r="L55"/>
      <c r="M55"/>
      <c r="N55"/>
      <c r="O55"/>
      <c r="P55"/>
    </row>
    <row r="56" spans="1:19">
      <c r="A56">
        <v>381</v>
      </c>
      <c r="B56" t="s">
        <v>405</v>
      </c>
      <c r="C56" t="s">
        <v>375</v>
      </c>
      <c r="D56"/>
      <c r="E56" t="s">
        <v>949</v>
      </c>
      <c r="F56" t="s">
        <v>948</v>
      </c>
      <c r="G56">
        <v>10</v>
      </c>
      <c r="H56" t="s">
        <v>249</v>
      </c>
      <c r="I56" t="s">
        <v>249</v>
      </c>
      <c r="J56"/>
      <c r="K56"/>
      <c r="L56"/>
      <c r="M56"/>
      <c r="N56"/>
      <c r="O56"/>
      <c r="P56"/>
    </row>
    <row r="57" spans="1:19">
      <c r="A57">
        <v>46</v>
      </c>
      <c r="B57" t="s">
        <v>247</v>
      </c>
      <c r="C57" t="s">
        <v>75</v>
      </c>
      <c r="D57" t="s">
        <v>75</v>
      </c>
      <c r="E57" t="s">
        <v>949</v>
      </c>
      <c r="F57" t="s">
        <v>948</v>
      </c>
      <c r="G57">
        <v>9</v>
      </c>
      <c r="H57" t="s">
        <v>249</v>
      </c>
      <c r="I57" t="s">
        <v>249</v>
      </c>
      <c r="J57"/>
      <c r="K57"/>
      <c r="L57" t="s">
        <v>1784</v>
      </c>
      <c r="M57"/>
      <c r="N57"/>
      <c r="O57"/>
      <c r="P57" t="s">
        <v>249</v>
      </c>
    </row>
    <row r="58" spans="1:19">
      <c r="A58">
        <v>47</v>
      </c>
      <c r="B58" t="s">
        <v>247</v>
      </c>
      <c r="C58" t="s">
        <v>76</v>
      </c>
      <c r="D58" t="s">
        <v>76</v>
      </c>
      <c r="E58" t="s">
        <v>949</v>
      </c>
      <c r="F58" t="s">
        <v>948</v>
      </c>
      <c r="G58">
        <v>9</v>
      </c>
      <c r="H58" t="s">
        <v>249</v>
      </c>
      <c r="I58" t="s">
        <v>249</v>
      </c>
      <c r="J58"/>
      <c r="K58"/>
      <c r="L58" t="s">
        <v>1785</v>
      </c>
      <c r="M58"/>
      <c r="N58"/>
      <c r="O58"/>
      <c r="P58" t="s">
        <v>249</v>
      </c>
    </row>
    <row r="59" spans="1:19">
      <c r="A59">
        <v>10</v>
      </c>
      <c r="B59" t="s">
        <v>247</v>
      </c>
      <c r="C59" t="s">
        <v>73</v>
      </c>
      <c r="D59" t="s">
        <v>262</v>
      </c>
      <c r="E59" t="s">
        <v>988</v>
      </c>
      <c r="F59" t="s">
        <v>948</v>
      </c>
      <c r="G59">
        <v>9</v>
      </c>
      <c r="H59" t="s">
        <v>243</v>
      </c>
      <c r="I59" t="s">
        <v>243</v>
      </c>
      <c r="J59"/>
      <c r="K59"/>
      <c r="L59" t="s">
        <v>1749</v>
      </c>
      <c r="M59"/>
      <c r="N59"/>
      <c r="O59"/>
      <c r="P59" t="s">
        <v>249</v>
      </c>
      <c r="Q59" t="s">
        <v>2661</v>
      </c>
      <c r="R59" t="s">
        <v>2662</v>
      </c>
      <c r="S59" t="s">
        <v>2669</v>
      </c>
    </row>
    <row r="60" spans="1:19">
      <c r="A60">
        <v>9</v>
      </c>
      <c r="B60" t="s">
        <v>247</v>
      </c>
      <c r="C60" t="s">
        <v>74</v>
      </c>
      <c r="D60" t="s">
        <v>74</v>
      </c>
      <c r="E60" t="s">
        <v>988</v>
      </c>
      <c r="F60" t="s">
        <v>948</v>
      </c>
      <c r="G60">
        <v>9</v>
      </c>
      <c r="H60" t="s">
        <v>243</v>
      </c>
      <c r="I60" t="s">
        <v>243</v>
      </c>
      <c r="J60"/>
      <c r="K60"/>
      <c r="L60" t="s">
        <v>1748</v>
      </c>
      <c r="M60"/>
      <c r="N60"/>
      <c r="O60"/>
      <c r="P60" t="s">
        <v>249</v>
      </c>
      <c r="Q60" t="s">
        <v>2661</v>
      </c>
      <c r="R60" t="s">
        <v>2662</v>
      </c>
      <c r="S60" t="s">
        <v>2668</v>
      </c>
    </row>
    <row r="61" spans="1:19">
      <c r="A61">
        <v>357</v>
      </c>
      <c r="B61" t="s">
        <v>403</v>
      </c>
      <c r="C61" t="s">
        <v>229</v>
      </c>
      <c r="D61"/>
      <c r="E61" t="s">
        <v>949</v>
      </c>
      <c r="F61" t="s">
        <v>948</v>
      </c>
      <c r="G61">
        <v>10</v>
      </c>
      <c r="H61" t="s">
        <v>249</v>
      </c>
      <c r="I61" t="s">
        <v>249</v>
      </c>
      <c r="J61"/>
      <c r="K61"/>
      <c r="L61"/>
      <c r="M61"/>
      <c r="N61"/>
      <c r="O61"/>
      <c r="P61"/>
    </row>
    <row r="62" spans="1:19">
      <c r="A62">
        <v>433</v>
      </c>
      <c r="B62" t="s">
        <v>250</v>
      </c>
      <c r="C62" t="s">
        <v>390</v>
      </c>
      <c r="D62" t="s">
        <v>2604</v>
      </c>
      <c r="E62"/>
      <c r="F62"/>
      <c r="G62"/>
      <c r="H62"/>
      <c r="I62"/>
      <c r="J62"/>
      <c r="K62"/>
      <c r="L62" t="s">
        <v>2605</v>
      </c>
      <c r="M62"/>
      <c r="N62"/>
      <c r="O62"/>
      <c r="P62" t="s">
        <v>249</v>
      </c>
    </row>
    <row r="63" spans="1:19">
      <c r="A63">
        <v>358</v>
      </c>
      <c r="B63" t="s">
        <v>403</v>
      </c>
      <c r="C63" t="s">
        <v>230</v>
      </c>
      <c r="D63"/>
      <c r="E63" t="s">
        <v>949</v>
      </c>
      <c r="F63" t="s">
        <v>948</v>
      </c>
      <c r="G63">
        <v>10</v>
      </c>
      <c r="H63" t="s">
        <v>249</v>
      </c>
      <c r="I63" t="s">
        <v>249</v>
      </c>
      <c r="J63"/>
      <c r="K63"/>
      <c r="L63"/>
      <c r="M63"/>
      <c r="N63"/>
      <c r="O63"/>
      <c r="P63"/>
    </row>
    <row r="64" spans="1:19">
      <c r="A64">
        <v>361</v>
      </c>
      <c r="B64" t="s">
        <v>403</v>
      </c>
      <c r="C64" t="s">
        <v>270</v>
      </c>
      <c r="D64"/>
      <c r="E64" t="s">
        <v>949</v>
      </c>
      <c r="F64" t="s">
        <v>948</v>
      </c>
      <c r="G64">
        <v>10</v>
      </c>
      <c r="H64" t="s">
        <v>249</v>
      </c>
      <c r="I64" t="s">
        <v>249</v>
      </c>
      <c r="J64"/>
      <c r="K64"/>
      <c r="L64"/>
      <c r="M64"/>
      <c r="N64"/>
      <c r="O64"/>
      <c r="P64"/>
    </row>
    <row r="65" spans="1:21">
      <c r="A65">
        <v>360</v>
      </c>
      <c r="B65" t="s">
        <v>403</v>
      </c>
      <c r="C65" t="s">
        <v>269</v>
      </c>
      <c r="D65"/>
      <c r="E65" t="s">
        <v>949</v>
      </c>
      <c r="F65" t="s">
        <v>948</v>
      </c>
      <c r="G65">
        <v>10</v>
      </c>
      <c r="H65" t="s">
        <v>249</v>
      </c>
      <c r="I65" t="s">
        <v>249</v>
      </c>
      <c r="J65"/>
      <c r="K65"/>
      <c r="L65"/>
      <c r="M65"/>
      <c r="N65"/>
      <c r="O65"/>
      <c r="P65"/>
    </row>
    <row r="66" spans="1:21">
      <c r="A66">
        <v>27</v>
      </c>
      <c r="B66" t="s">
        <v>247</v>
      </c>
      <c r="C66" t="s">
        <v>258</v>
      </c>
      <c r="D66" t="s">
        <v>738</v>
      </c>
      <c r="E66" t="s">
        <v>987</v>
      </c>
      <c r="F66" t="s">
        <v>948</v>
      </c>
      <c r="G66">
        <v>10</v>
      </c>
      <c r="H66" t="s">
        <v>243</v>
      </c>
      <c r="I66" t="s">
        <v>249</v>
      </c>
      <c r="J66"/>
      <c r="K66"/>
      <c r="L66" t="s">
        <v>1766</v>
      </c>
      <c r="M66"/>
      <c r="N66"/>
      <c r="O66"/>
      <c r="P66" t="s">
        <v>243</v>
      </c>
      <c r="Q66" t="s">
        <v>2736</v>
      </c>
      <c r="R66" t="s">
        <v>441</v>
      </c>
      <c r="S66" t="s">
        <v>2683</v>
      </c>
      <c r="T66" t="s">
        <v>2984</v>
      </c>
      <c r="U66" t="s">
        <v>2817</v>
      </c>
    </row>
    <row r="67" spans="1:21">
      <c r="A67">
        <v>22</v>
      </c>
      <c r="B67" t="s">
        <v>247</v>
      </c>
      <c r="C67" t="s">
        <v>49</v>
      </c>
      <c r="D67" t="s">
        <v>737</v>
      </c>
      <c r="E67" t="s">
        <v>989</v>
      </c>
      <c r="F67" t="s">
        <v>948</v>
      </c>
      <c r="G67">
        <v>12</v>
      </c>
      <c r="H67" t="s">
        <v>243</v>
      </c>
      <c r="I67" t="s">
        <v>249</v>
      </c>
      <c r="J67"/>
      <c r="K67"/>
      <c r="L67" t="s">
        <v>1761</v>
      </c>
      <c r="M67"/>
      <c r="N67"/>
      <c r="O67"/>
      <c r="P67" t="s">
        <v>243</v>
      </c>
      <c r="Q67" t="s">
        <v>2736</v>
      </c>
      <c r="R67" t="s">
        <v>989</v>
      </c>
      <c r="S67" t="s">
        <v>2679</v>
      </c>
      <c r="T67" t="s">
        <v>2985</v>
      </c>
      <c r="U67" t="s">
        <v>3019</v>
      </c>
    </row>
    <row r="68" spans="1:21">
      <c r="A68">
        <v>21</v>
      </c>
      <c r="B68" t="s">
        <v>247</v>
      </c>
      <c r="C68" t="s">
        <v>48</v>
      </c>
      <c r="D68" t="s">
        <v>736</v>
      </c>
      <c r="E68" t="s">
        <v>989</v>
      </c>
      <c r="F68" t="s">
        <v>948</v>
      </c>
      <c r="G68">
        <v>12</v>
      </c>
      <c r="H68" t="s">
        <v>243</v>
      </c>
      <c r="I68" t="s">
        <v>249</v>
      </c>
      <c r="J68"/>
      <c r="K68"/>
      <c r="L68" t="s">
        <v>1760</v>
      </c>
      <c r="M68"/>
      <c r="N68"/>
      <c r="O68"/>
      <c r="P68" t="s">
        <v>243</v>
      </c>
      <c r="Q68" t="s">
        <v>2736</v>
      </c>
      <c r="R68" t="s">
        <v>989</v>
      </c>
      <c r="S68" t="s">
        <v>2678</v>
      </c>
      <c r="T68" t="s">
        <v>2986</v>
      </c>
      <c r="U68" t="s">
        <v>3020</v>
      </c>
    </row>
    <row r="69" spans="1:21">
      <c r="A69">
        <v>16</v>
      </c>
      <c r="B69" t="s">
        <v>247</v>
      </c>
      <c r="C69" t="s">
        <v>52</v>
      </c>
      <c r="D69" t="s">
        <v>733</v>
      </c>
      <c r="E69" t="s">
        <v>988</v>
      </c>
      <c r="F69" t="s">
        <v>948</v>
      </c>
      <c r="G69">
        <v>10</v>
      </c>
      <c r="H69" t="s">
        <v>243</v>
      </c>
      <c r="I69" t="s">
        <v>249</v>
      </c>
      <c r="J69"/>
      <c r="K69"/>
      <c r="L69" t="s">
        <v>1755</v>
      </c>
      <c r="M69"/>
      <c r="N69"/>
      <c r="O69"/>
      <c r="P69" t="s">
        <v>243</v>
      </c>
      <c r="Q69" t="s">
        <v>2736</v>
      </c>
      <c r="R69" t="s">
        <v>441</v>
      </c>
      <c r="S69" t="s">
        <v>2673</v>
      </c>
      <c r="T69" t="s">
        <v>2987</v>
      </c>
      <c r="U69" t="s">
        <v>2818</v>
      </c>
    </row>
    <row r="70" spans="1:21">
      <c r="A70">
        <v>48</v>
      </c>
      <c r="B70" t="s">
        <v>247</v>
      </c>
      <c r="C70" t="s">
        <v>71</v>
      </c>
      <c r="D70" t="s">
        <v>71</v>
      </c>
      <c r="E70" t="s">
        <v>949</v>
      </c>
      <c r="F70" t="s">
        <v>948</v>
      </c>
      <c r="G70">
        <v>6</v>
      </c>
      <c r="H70" t="s">
        <v>249</v>
      </c>
      <c r="I70" t="s">
        <v>249</v>
      </c>
      <c r="J70"/>
      <c r="K70"/>
      <c r="L70" t="s">
        <v>1786</v>
      </c>
      <c r="M70"/>
      <c r="N70"/>
      <c r="O70"/>
      <c r="P70" t="s">
        <v>249</v>
      </c>
    </row>
    <row r="71" spans="1:21">
      <c r="A71">
        <v>50</v>
      </c>
      <c r="B71" t="s">
        <v>247</v>
      </c>
      <c r="C71" t="s">
        <v>259</v>
      </c>
      <c r="D71" t="s">
        <v>267</v>
      </c>
      <c r="E71" t="s">
        <v>949</v>
      </c>
      <c r="F71" t="s">
        <v>948</v>
      </c>
      <c r="G71">
        <v>6</v>
      </c>
      <c r="H71" t="s">
        <v>249</v>
      </c>
      <c r="I71" t="s">
        <v>249</v>
      </c>
      <c r="J71"/>
      <c r="K71"/>
      <c r="L71" t="s">
        <v>1788</v>
      </c>
      <c r="M71"/>
      <c r="N71"/>
      <c r="O71"/>
      <c r="P71" t="s">
        <v>249</v>
      </c>
    </row>
    <row r="72" spans="1:21">
      <c r="A72">
        <v>51</v>
      </c>
      <c r="B72" t="s">
        <v>247</v>
      </c>
      <c r="C72" t="s">
        <v>70</v>
      </c>
      <c r="D72" t="s">
        <v>70</v>
      </c>
      <c r="E72" t="s">
        <v>949</v>
      </c>
      <c r="F72" t="s">
        <v>948</v>
      </c>
      <c r="G72">
        <v>6</v>
      </c>
      <c r="H72" t="s">
        <v>249</v>
      </c>
      <c r="I72" t="s">
        <v>249</v>
      </c>
      <c r="J72"/>
      <c r="K72"/>
      <c r="L72" t="s">
        <v>1789</v>
      </c>
      <c r="M72"/>
      <c r="N72"/>
      <c r="O72"/>
      <c r="P72" t="s">
        <v>249</v>
      </c>
    </row>
    <row r="73" spans="1:21">
      <c r="A73">
        <v>25</v>
      </c>
      <c r="B73" t="s">
        <v>247</v>
      </c>
      <c r="C73" t="s">
        <v>1203</v>
      </c>
      <c r="D73" t="s">
        <v>1205</v>
      </c>
      <c r="E73" t="s">
        <v>988</v>
      </c>
      <c r="F73" t="s">
        <v>948</v>
      </c>
      <c r="G73">
        <v>10</v>
      </c>
      <c r="H73" t="s">
        <v>243</v>
      </c>
      <c r="I73" t="s">
        <v>249</v>
      </c>
      <c r="J73"/>
      <c r="K73"/>
      <c r="L73" t="s">
        <v>1764</v>
      </c>
      <c r="M73"/>
      <c r="N73"/>
      <c r="O73"/>
      <c r="P73" t="s">
        <v>243</v>
      </c>
      <c r="Q73" t="s">
        <v>2736</v>
      </c>
      <c r="R73" t="s">
        <v>441</v>
      </c>
      <c r="S73" t="s">
        <v>2738</v>
      </c>
      <c r="T73" t="s">
        <v>2988</v>
      </c>
      <c r="U73" t="s">
        <v>2819</v>
      </c>
    </row>
    <row r="74" spans="1:21">
      <c r="A74">
        <v>14</v>
      </c>
      <c r="B74" t="s">
        <v>247</v>
      </c>
      <c r="C74" t="s">
        <v>1202</v>
      </c>
      <c r="D74" t="s">
        <v>1248</v>
      </c>
      <c r="E74" t="s">
        <v>949</v>
      </c>
      <c r="F74" t="s">
        <v>948</v>
      </c>
      <c r="G74">
        <v>9</v>
      </c>
      <c r="H74" t="s">
        <v>249</v>
      </c>
      <c r="I74" t="s">
        <v>249</v>
      </c>
      <c r="J74"/>
      <c r="K74"/>
      <c r="L74" t="s">
        <v>1753</v>
      </c>
      <c r="M74"/>
      <c r="N74"/>
      <c r="O74"/>
      <c r="P74" t="s">
        <v>243</v>
      </c>
      <c r="Q74" t="s">
        <v>2736</v>
      </c>
      <c r="R74" t="s">
        <v>441</v>
      </c>
      <c r="S74" t="s">
        <v>2737</v>
      </c>
      <c r="T74" t="s">
        <v>2989</v>
      </c>
      <c r="U74" t="s">
        <v>2820</v>
      </c>
    </row>
    <row r="75" spans="1:21">
      <c r="A75">
        <v>29</v>
      </c>
      <c r="B75" t="s">
        <v>247</v>
      </c>
      <c r="C75" t="s">
        <v>57</v>
      </c>
      <c r="D75" t="s">
        <v>364</v>
      </c>
      <c r="E75" t="s">
        <v>949</v>
      </c>
      <c r="F75" t="s">
        <v>948</v>
      </c>
      <c r="G75">
        <v>5</v>
      </c>
      <c r="H75" t="s">
        <v>249</v>
      </c>
      <c r="I75" t="s">
        <v>249</v>
      </c>
      <c r="J75"/>
      <c r="K75"/>
      <c r="L75" t="s">
        <v>1768</v>
      </c>
      <c r="M75"/>
      <c r="N75"/>
      <c r="O75"/>
      <c r="P75" t="s">
        <v>243</v>
      </c>
      <c r="Q75" t="s">
        <v>2661</v>
      </c>
      <c r="R75" t="s">
        <v>441</v>
      </c>
      <c r="S75" t="s">
        <v>2713</v>
      </c>
      <c r="U75" t="s">
        <v>2821</v>
      </c>
    </row>
    <row r="76" spans="1:21">
      <c r="A76">
        <v>42</v>
      </c>
      <c r="B76" t="s">
        <v>247</v>
      </c>
      <c r="C76" t="s">
        <v>64</v>
      </c>
      <c r="D76" t="s">
        <v>64</v>
      </c>
      <c r="E76" t="s">
        <v>989</v>
      </c>
      <c r="F76" t="s">
        <v>948</v>
      </c>
      <c r="G76">
        <v>12</v>
      </c>
      <c r="H76" t="s">
        <v>243</v>
      </c>
      <c r="I76" t="s">
        <v>249</v>
      </c>
      <c r="J76"/>
      <c r="K76"/>
      <c r="L76" t="s">
        <v>1780</v>
      </c>
      <c r="M76"/>
      <c r="N76"/>
      <c r="O76"/>
      <c r="P76" t="s">
        <v>249</v>
      </c>
    </row>
    <row r="77" spans="1:21">
      <c r="A77">
        <v>41</v>
      </c>
      <c r="B77" t="s">
        <v>247</v>
      </c>
      <c r="C77" t="s">
        <v>63</v>
      </c>
      <c r="D77" t="s">
        <v>63</v>
      </c>
      <c r="E77" t="s">
        <v>949</v>
      </c>
      <c r="F77" t="s">
        <v>948</v>
      </c>
      <c r="G77">
        <v>6</v>
      </c>
      <c r="H77" t="s">
        <v>249</v>
      </c>
      <c r="I77" t="s">
        <v>249</v>
      </c>
      <c r="J77"/>
      <c r="K77"/>
      <c r="L77" t="s">
        <v>1779</v>
      </c>
      <c r="M77"/>
      <c r="N77"/>
      <c r="O77"/>
      <c r="P77" t="s">
        <v>249</v>
      </c>
    </row>
    <row r="78" spans="1:21">
      <c r="A78">
        <v>8</v>
      </c>
      <c r="B78" t="s">
        <v>247</v>
      </c>
      <c r="C78" t="s">
        <v>27</v>
      </c>
      <c r="D78" t="s">
        <v>730</v>
      </c>
      <c r="E78" t="s">
        <v>988</v>
      </c>
      <c r="F78" t="s">
        <v>948</v>
      </c>
      <c r="G78">
        <v>9</v>
      </c>
      <c r="H78" t="s">
        <v>243</v>
      </c>
      <c r="I78" t="s">
        <v>243</v>
      </c>
      <c r="J78"/>
      <c r="K78"/>
      <c r="L78" t="s">
        <v>1747</v>
      </c>
      <c r="M78"/>
      <c r="N78"/>
      <c r="O78"/>
      <c r="P78" t="s">
        <v>249</v>
      </c>
      <c r="Q78" t="s">
        <v>2661</v>
      </c>
      <c r="R78" t="s">
        <v>2662</v>
      </c>
      <c r="S78" t="s">
        <v>2667</v>
      </c>
    </row>
    <row r="79" spans="1:21">
      <c r="A79">
        <v>11</v>
      </c>
      <c r="B79" t="s">
        <v>247</v>
      </c>
      <c r="C79" t="s">
        <v>726</v>
      </c>
      <c r="D79" t="s">
        <v>731</v>
      </c>
      <c r="E79" t="s">
        <v>988</v>
      </c>
      <c r="F79" t="s">
        <v>948</v>
      </c>
      <c r="G79">
        <v>9</v>
      </c>
      <c r="H79" t="s">
        <v>249</v>
      </c>
      <c r="I79" t="s">
        <v>249</v>
      </c>
      <c r="J79"/>
      <c r="K79"/>
      <c r="L79" t="s">
        <v>1750</v>
      </c>
      <c r="M79"/>
      <c r="N79"/>
      <c r="O79"/>
      <c r="P79"/>
    </row>
    <row r="80" spans="1:21">
      <c r="A80">
        <v>26</v>
      </c>
      <c r="B80" t="s">
        <v>247</v>
      </c>
      <c r="C80" t="s">
        <v>55</v>
      </c>
      <c r="D80" t="s">
        <v>442</v>
      </c>
      <c r="E80" t="s">
        <v>987</v>
      </c>
      <c r="F80" t="s">
        <v>948</v>
      </c>
      <c r="G80">
        <v>10</v>
      </c>
      <c r="H80" t="s">
        <v>243</v>
      </c>
      <c r="I80" t="s">
        <v>249</v>
      </c>
      <c r="J80"/>
      <c r="K80"/>
      <c r="L80" t="s">
        <v>1765</v>
      </c>
      <c r="M80"/>
      <c r="N80"/>
      <c r="O80"/>
      <c r="P80" t="s">
        <v>243</v>
      </c>
      <c r="Q80" t="s">
        <v>2736</v>
      </c>
      <c r="R80" t="s">
        <v>441</v>
      </c>
      <c r="S80" t="s">
        <v>2682</v>
      </c>
      <c r="T80" t="s">
        <v>2990</v>
      </c>
      <c r="U80" t="s">
        <v>2822</v>
      </c>
    </row>
    <row r="81" spans="1:21">
      <c r="A81">
        <v>33</v>
      </c>
      <c r="B81" t="s">
        <v>247</v>
      </c>
      <c r="C81" t="s">
        <v>62</v>
      </c>
      <c r="D81" t="s">
        <v>62</v>
      </c>
      <c r="E81" t="s">
        <v>949</v>
      </c>
      <c r="F81" t="s">
        <v>948</v>
      </c>
      <c r="G81">
        <v>5</v>
      </c>
      <c r="H81" t="s">
        <v>249</v>
      </c>
      <c r="I81" t="s">
        <v>249</v>
      </c>
      <c r="J81"/>
      <c r="K81"/>
      <c r="L81" t="s">
        <v>1772</v>
      </c>
      <c r="M81"/>
      <c r="N81"/>
      <c r="O81"/>
      <c r="P81" t="s">
        <v>243</v>
      </c>
      <c r="Q81" t="s">
        <v>2661</v>
      </c>
      <c r="R81" t="s">
        <v>2662</v>
      </c>
      <c r="S81" t="s">
        <v>2685</v>
      </c>
      <c r="U81" t="s">
        <v>2823</v>
      </c>
    </row>
    <row r="82" spans="1:21">
      <c r="A82">
        <v>28</v>
      </c>
      <c r="B82" t="s">
        <v>247</v>
      </c>
      <c r="C82" t="s">
        <v>56</v>
      </c>
      <c r="D82" t="s">
        <v>739</v>
      </c>
      <c r="E82" t="s">
        <v>987</v>
      </c>
      <c r="F82" t="s">
        <v>948</v>
      </c>
      <c r="G82">
        <v>10</v>
      </c>
      <c r="H82" t="s">
        <v>243</v>
      </c>
      <c r="I82" t="s">
        <v>249</v>
      </c>
      <c r="J82"/>
      <c r="K82"/>
      <c r="L82" t="s">
        <v>1767</v>
      </c>
      <c r="M82"/>
      <c r="N82"/>
      <c r="O82"/>
      <c r="P82" t="s">
        <v>243</v>
      </c>
      <c r="Q82" t="s">
        <v>2736</v>
      </c>
      <c r="R82" t="s">
        <v>441</v>
      </c>
      <c r="S82" t="s">
        <v>2684</v>
      </c>
      <c r="T82" t="s">
        <v>2991</v>
      </c>
      <c r="U82" t="s">
        <v>2824</v>
      </c>
    </row>
    <row r="83" spans="1:21">
      <c r="A83">
        <v>34</v>
      </c>
      <c r="B83" t="s">
        <v>247</v>
      </c>
      <c r="C83" t="s">
        <v>61</v>
      </c>
      <c r="D83" t="s">
        <v>444</v>
      </c>
      <c r="E83" t="s">
        <v>949</v>
      </c>
      <c r="F83" t="s">
        <v>948</v>
      </c>
      <c r="G83">
        <v>5</v>
      </c>
      <c r="H83" t="s">
        <v>249</v>
      </c>
      <c r="I83" t="s">
        <v>249</v>
      </c>
      <c r="J83" t="s">
        <v>444</v>
      </c>
      <c r="K83" t="s">
        <v>2597</v>
      </c>
      <c r="L83" t="s">
        <v>2608</v>
      </c>
      <c r="M83"/>
      <c r="N83"/>
      <c r="O83"/>
      <c r="P83" t="s">
        <v>243</v>
      </c>
      <c r="Q83" t="s">
        <v>2661</v>
      </c>
      <c r="R83" t="s">
        <v>2692</v>
      </c>
      <c r="S83" t="s">
        <v>2686</v>
      </c>
      <c r="U83" t="s">
        <v>2746</v>
      </c>
    </row>
    <row r="84" spans="1:21">
      <c r="A84">
        <v>52</v>
      </c>
      <c r="B84" t="s">
        <v>247</v>
      </c>
      <c r="C84" t="s">
        <v>69</v>
      </c>
      <c r="D84" t="s">
        <v>69</v>
      </c>
      <c r="E84" t="s">
        <v>949</v>
      </c>
      <c r="F84" t="s">
        <v>948</v>
      </c>
      <c r="G84">
        <v>6</v>
      </c>
      <c r="H84" t="s">
        <v>249</v>
      </c>
      <c r="I84" t="s">
        <v>249</v>
      </c>
      <c r="J84"/>
      <c r="K84"/>
      <c r="L84" t="s">
        <v>1790</v>
      </c>
      <c r="M84"/>
      <c r="N84"/>
      <c r="O84"/>
      <c r="P84" t="s">
        <v>249</v>
      </c>
    </row>
    <row r="85" spans="1:21">
      <c r="A85">
        <v>23</v>
      </c>
      <c r="B85" t="s">
        <v>247</v>
      </c>
      <c r="C85" t="s">
        <v>47</v>
      </c>
      <c r="D85" t="s">
        <v>263</v>
      </c>
      <c r="E85" t="s">
        <v>988</v>
      </c>
      <c r="F85" t="s">
        <v>948</v>
      </c>
      <c r="G85">
        <v>8</v>
      </c>
      <c r="H85" t="s">
        <v>243</v>
      </c>
      <c r="I85" t="s">
        <v>249</v>
      </c>
      <c r="J85"/>
      <c r="K85"/>
      <c r="L85" t="s">
        <v>1762</v>
      </c>
      <c r="M85"/>
      <c r="N85"/>
      <c r="O85"/>
      <c r="P85" t="s">
        <v>243</v>
      </c>
      <c r="Q85" t="s">
        <v>2736</v>
      </c>
      <c r="R85" t="s">
        <v>441</v>
      </c>
      <c r="S85" t="s">
        <v>2680</v>
      </c>
      <c r="T85" t="s">
        <v>2992</v>
      </c>
      <c r="U85" t="s">
        <v>2825</v>
      </c>
    </row>
    <row r="86" spans="1:21">
      <c r="A86">
        <v>30</v>
      </c>
      <c r="B86" t="s">
        <v>247</v>
      </c>
      <c r="C86" t="s">
        <v>60</v>
      </c>
      <c r="D86" t="s">
        <v>740</v>
      </c>
      <c r="E86" t="s">
        <v>949</v>
      </c>
      <c r="F86" t="s">
        <v>948</v>
      </c>
      <c r="G86">
        <v>5</v>
      </c>
      <c r="H86" t="s">
        <v>249</v>
      </c>
      <c r="I86" t="s">
        <v>249</v>
      </c>
      <c r="J86"/>
      <c r="K86"/>
      <c r="L86" t="s">
        <v>1769</v>
      </c>
      <c r="M86"/>
      <c r="N86"/>
      <c r="O86"/>
      <c r="P86" t="s">
        <v>243</v>
      </c>
      <c r="Q86" t="s">
        <v>2661</v>
      </c>
      <c r="R86" t="s">
        <v>441</v>
      </c>
      <c r="S86" t="s">
        <v>2706</v>
      </c>
      <c r="U86" t="s">
        <v>2826</v>
      </c>
    </row>
    <row r="87" spans="1:21">
      <c r="A87">
        <v>20</v>
      </c>
      <c r="B87" t="s">
        <v>247</v>
      </c>
      <c r="C87" t="s">
        <v>46</v>
      </c>
      <c r="D87" t="s">
        <v>12</v>
      </c>
      <c r="E87" t="s">
        <v>989</v>
      </c>
      <c r="F87" t="s">
        <v>948</v>
      </c>
      <c r="G87">
        <v>12</v>
      </c>
      <c r="H87" t="s">
        <v>243</v>
      </c>
      <c r="I87" t="s">
        <v>243</v>
      </c>
      <c r="J87"/>
      <c r="K87"/>
      <c r="L87" t="s">
        <v>1759</v>
      </c>
      <c r="M87"/>
      <c r="N87"/>
      <c r="O87"/>
      <c r="P87" t="s">
        <v>243</v>
      </c>
      <c r="Q87" t="s">
        <v>2736</v>
      </c>
      <c r="R87" t="s">
        <v>989</v>
      </c>
      <c r="S87" t="s">
        <v>2677</v>
      </c>
      <c r="T87" t="s">
        <v>2993</v>
      </c>
      <c r="U87" t="s">
        <v>3021</v>
      </c>
    </row>
    <row r="88" spans="1:21">
      <c r="A88">
        <v>43</v>
      </c>
      <c r="B88" t="s">
        <v>247</v>
      </c>
      <c r="C88" t="s">
        <v>65</v>
      </c>
      <c r="D88" t="s">
        <v>441</v>
      </c>
      <c r="E88" t="s">
        <v>949</v>
      </c>
      <c r="F88" t="s">
        <v>948</v>
      </c>
      <c r="G88">
        <v>6</v>
      </c>
      <c r="H88" t="s">
        <v>249</v>
      </c>
      <c r="I88" t="s">
        <v>249</v>
      </c>
      <c r="J88"/>
      <c r="K88"/>
      <c r="L88" t="s">
        <v>1781</v>
      </c>
      <c r="M88"/>
      <c r="N88"/>
      <c r="O88"/>
      <c r="P88" t="s">
        <v>249</v>
      </c>
    </row>
    <row r="89" spans="1:21">
      <c r="A89">
        <v>44</v>
      </c>
      <c r="B89" t="s">
        <v>247</v>
      </c>
      <c r="C89" t="s">
        <v>66</v>
      </c>
      <c r="D89" t="s">
        <v>66</v>
      </c>
      <c r="E89" t="s">
        <v>949</v>
      </c>
      <c r="F89" t="s">
        <v>948</v>
      </c>
      <c r="G89">
        <v>6</v>
      </c>
      <c r="H89" t="s">
        <v>249</v>
      </c>
      <c r="I89" t="s">
        <v>249</v>
      </c>
      <c r="J89"/>
      <c r="K89"/>
      <c r="L89" t="s">
        <v>1782</v>
      </c>
      <c r="M89"/>
      <c r="N89"/>
      <c r="O89"/>
      <c r="P89" t="s">
        <v>249</v>
      </c>
    </row>
    <row r="90" spans="1:21">
      <c r="A90">
        <v>7</v>
      </c>
      <c r="B90" t="s">
        <v>247</v>
      </c>
      <c r="C90" t="s">
        <v>28</v>
      </c>
      <c r="D90" t="s">
        <v>445</v>
      </c>
      <c r="E90" t="s">
        <v>949</v>
      </c>
      <c r="F90" t="s">
        <v>948</v>
      </c>
      <c r="G90">
        <v>15</v>
      </c>
      <c r="H90" t="s">
        <v>249</v>
      </c>
      <c r="I90" t="s">
        <v>249</v>
      </c>
      <c r="J90"/>
      <c r="K90"/>
      <c r="L90" t="s">
        <v>1746</v>
      </c>
      <c r="M90"/>
      <c r="N90"/>
      <c r="O90"/>
      <c r="P90" t="s">
        <v>243</v>
      </c>
      <c r="Q90" t="s">
        <v>2661</v>
      </c>
      <c r="R90" t="s">
        <v>2662</v>
      </c>
      <c r="S90" t="s">
        <v>2666</v>
      </c>
      <c r="U90" t="s">
        <v>2827</v>
      </c>
    </row>
    <row r="91" spans="1:21">
      <c r="A91">
        <v>1</v>
      </c>
      <c r="B91" t="s">
        <v>247</v>
      </c>
      <c r="C91" t="s">
        <v>23</v>
      </c>
      <c r="D91" t="s">
        <v>1</v>
      </c>
      <c r="E91" t="s">
        <v>949</v>
      </c>
      <c r="F91" t="s">
        <v>948</v>
      </c>
      <c r="G91">
        <v>8</v>
      </c>
      <c r="H91" t="s">
        <v>243</v>
      </c>
      <c r="I91" t="s">
        <v>243</v>
      </c>
      <c r="J91"/>
      <c r="K91"/>
      <c r="L91" t="s">
        <v>1740</v>
      </c>
      <c r="M91"/>
      <c r="N91"/>
      <c r="O91"/>
      <c r="P91" t="s">
        <v>243</v>
      </c>
      <c r="Q91" t="s">
        <v>2661</v>
      </c>
      <c r="R91" t="s">
        <v>2662</v>
      </c>
      <c r="S91" t="s">
        <v>23</v>
      </c>
      <c r="U91" t="s">
        <v>2828</v>
      </c>
    </row>
    <row r="92" spans="1:21">
      <c r="A92">
        <v>36</v>
      </c>
      <c r="B92" t="s">
        <v>247</v>
      </c>
      <c r="C92" t="s">
        <v>31</v>
      </c>
      <c r="D92" t="s">
        <v>31</v>
      </c>
      <c r="E92" t="s">
        <v>949</v>
      </c>
      <c r="F92" t="s">
        <v>948</v>
      </c>
      <c r="G92">
        <v>30</v>
      </c>
      <c r="H92" t="s">
        <v>249</v>
      </c>
      <c r="I92" t="s">
        <v>249</v>
      </c>
      <c r="J92"/>
      <c r="K92"/>
      <c r="L92" t="s">
        <v>1774</v>
      </c>
      <c r="M92"/>
      <c r="N92"/>
      <c r="O92"/>
      <c r="P92" t="s">
        <v>249</v>
      </c>
      <c r="Q92" t="s">
        <v>2661</v>
      </c>
      <c r="R92" t="s">
        <v>2662</v>
      </c>
      <c r="S92" t="s">
        <v>2687</v>
      </c>
    </row>
    <row r="93" spans="1:21">
      <c r="A93">
        <v>37</v>
      </c>
      <c r="B93" t="s">
        <v>247</v>
      </c>
      <c r="C93" t="s">
        <v>32</v>
      </c>
      <c r="D93" t="s">
        <v>32</v>
      </c>
      <c r="E93" t="s">
        <v>949</v>
      </c>
      <c r="F93" t="s">
        <v>948</v>
      </c>
      <c r="G93">
        <v>30</v>
      </c>
      <c r="H93" t="s">
        <v>249</v>
      </c>
      <c r="I93" t="s">
        <v>249</v>
      </c>
      <c r="J93"/>
      <c r="K93"/>
      <c r="L93" t="s">
        <v>1775</v>
      </c>
      <c r="M93"/>
      <c r="N93"/>
      <c r="O93"/>
      <c r="P93" t="s">
        <v>249</v>
      </c>
      <c r="Q93" t="s">
        <v>2661</v>
      </c>
      <c r="R93" t="s">
        <v>2662</v>
      </c>
      <c r="S93" t="s">
        <v>2688</v>
      </c>
    </row>
    <row r="94" spans="1:21">
      <c r="A94">
        <v>38</v>
      </c>
      <c r="B94" t="s">
        <v>247</v>
      </c>
      <c r="C94" t="s">
        <v>33</v>
      </c>
      <c r="D94" t="s">
        <v>33</v>
      </c>
      <c r="E94" t="s">
        <v>949</v>
      </c>
      <c r="F94" t="s">
        <v>948</v>
      </c>
      <c r="G94">
        <v>30</v>
      </c>
      <c r="H94" t="s">
        <v>249</v>
      </c>
      <c r="I94" t="s">
        <v>249</v>
      </c>
      <c r="J94"/>
      <c r="K94"/>
      <c r="L94" t="s">
        <v>1776</v>
      </c>
      <c r="M94"/>
      <c r="N94"/>
      <c r="O94"/>
      <c r="P94" t="s">
        <v>249</v>
      </c>
      <c r="Q94" t="s">
        <v>2661</v>
      </c>
      <c r="R94" t="s">
        <v>2662</v>
      </c>
      <c r="S94" t="s">
        <v>2689</v>
      </c>
    </row>
    <row r="95" spans="1:21">
      <c r="A95">
        <v>39</v>
      </c>
      <c r="B95" t="s">
        <v>247</v>
      </c>
      <c r="C95" t="s">
        <v>34</v>
      </c>
      <c r="D95" t="s">
        <v>34</v>
      </c>
      <c r="E95" t="s">
        <v>949</v>
      </c>
      <c r="F95" t="s">
        <v>948</v>
      </c>
      <c r="G95">
        <v>15</v>
      </c>
      <c r="H95" t="s">
        <v>249</v>
      </c>
      <c r="I95" t="s">
        <v>249</v>
      </c>
      <c r="J95"/>
      <c r="K95"/>
      <c r="L95" t="s">
        <v>1777</v>
      </c>
      <c r="M95"/>
      <c r="N95"/>
      <c r="O95"/>
      <c r="P95" t="s">
        <v>249</v>
      </c>
      <c r="Q95" t="s">
        <v>2661</v>
      </c>
      <c r="R95" t="s">
        <v>2662</v>
      </c>
      <c r="S95" t="s">
        <v>2690</v>
      </c>
    </row>
    <row r="96" spans="1:21">
      <c r="A96">
        <v>40</v>
      </c>
      <c r="B96" t="s">
        <v>247</v>
      </c>
      <c r="C96" t="s">
        <v>35</v>
      </c>
      <c r="D96" t="s">
        <v>35</v>
      </c>
      <c r="E96" t="s">
        <v>949</v>
      </c>
      <c r="F96" t="s">
        <v>948</v>
      </c>
      <c r="G96">
        <v>15</v>
      </c>
      <c r="H96" t="s">
        <v>249</v>
      </c>
      <c r="I96" t="s">
        <v>249</v>
      </c>
      <c r="J96"/>
      <c r="K96"/>
      <c r="L96" t="s">
        <v>1778</v>
      </c>
      <c r="M96"/>
      <c r="N96"/>
      <c r="O96"/>
      <c r="P96" t="s">
        <v>249</v>
      </c>
      <c r="Q96" t="s">
        <v>2661</v>
      </c>
      <c r="R96" t="s">
        <v>2662</v>
      </c>
      <c r="S96" t="s">
        <v>2691</v>
      </c>
    </row>
    <row r="97" spans="1:21">
      <c r="A97">
        <v>63.1</v>
      </c>
      <c r="B97" t="s">
        <v>247</v>
      </c>
      <c r="C97" t="s">
        <v>2651</v>
      </c>
      <c r="D97" t="s">
        <v>801</v>
      </c>
      <c r="E97" t="s">
        <v>949</v>
      </c>
      <c r="F97" t="s">
        <v>948</v>
      </c>
      <c r="G97">
        <v>8</v>
      </c>
      <c r="H97" t="s">
        <v>249</v>
      </c>
      <c r="I97" t="s">
        <v>249</v>
      </c>
      <c r="J97"/>
      <c r="K97"/>
      <c r="L97" t="s">
        <v>2652</v>
      </c>
      <c r="M97"/>
      <c r="N97"/>
      <c r="O97"/>
      <c r="P97"/>
    </row>
    <row r="98" spans="1:21">
      <c r="A98">
        <v>429</v>
      </c>
      <c r="B98" t="s">
        <v>250</v>
      </c>
      <c r="C98" t="s">
        <v>2266</v>
      </c>
      <c r="D98" t="s">
        <v>2315</v>
      </c>
      <c r="E98" t="s">
        <v>949</v>
      </c>
      <c r="F98" t="s">
        <v>948</v>
      </c>
      <c r="G98">
        <v>50</v>
      </c>
      <c r="H98" t="s">
        <v>249</v>
      </c>
      <c r="I98" t="s">
        <v>249</v>
      </c>
      <c r="J98"/>
      <c r="K98"/>
      <c r="L98" t="s">
        <v>2381</v>
      </c>
      <c r="M98"/>
      <c r="N98"/>
      <c r="O98"/>
      <c r="P98" t="s">
        <v>243</v>
      </c>
      <c r="Q98" t="s">
        <v>2736</v>
      </c>
      <c r="R98" t="s">
        <v>2829</v>
      </c>
      <c r="S98" t="s">
        <v>2315</v>
      </c>
      <c r="T98" t="s">
        <v>2830</v>
      </c>
      <c r="U98" t="s">
        <v>2975</v>
      </c>
    </row>
    <row r="99" spans="1:21">
      <c r="A99">
        <v>418</v>
      </c>
      <c r="B99" t="s">
        <v>250</v>
      </c>
      <c r="C99" t="s">
        <v>2255</v>
      </c>
      <c r="D99" t="s">
        <v>2304</v>
      </c>
      <c r="E99" t="s">
        <v>989</v>
      </c>
      <c r="F99" t="s">
        <v>948</v>
      </c>
      <c r="G99">
        <v>14</v>
      </c>
      <c r="H99" t="s">
        <v>243</v>
      </c>
      <c r="I99" t="s">
        <v>249</v>
      </c>
      <c r="J99"/>
      <c r="K99"/>
      <c r="L99" t="s">
        <v>2370</v>
      </c>
      <c r="M99"/>
      <c r="N99"/>
      <c r="O99"/>
      <c r="P99" t="s">
        <v>249</v>
      </c>
      <c r="Q99" t="s">
        <v>2736</v>
      </c>
      <c r="R99" t="s">
        <v>989</v>
      </c>
      <c r="S99" t="s">
        <v>2304</v>
      </c>
      <c r="T99" t="s">
        <v>3022</v>
      </c>
      <c r="U99" t="s">
        <v>3023</v>
      </c>
    </row>
    <row r="100" spans="1:21">
      <c r="A100">
        <v>156</v>
      </c>
      <c r="B100" t="s">
        <v>250</v>
      </c>
      <c r="C100" t="s">
        <v>104</v>
      </c>
      <c r="D100" t="s">
        <v>280</v>
      </c>
      <c r="E100" t="s">
        <v>949</v>
      </c>
      <c r="F100" t="s">
        <v>948</v>
      </c>
      <c r="G100">
        <v>10</v>
      </c>
      <c r="H100" t="s">
        <v>249</v>
      </c>
      <c r="I100" t="s">
        <v>249</v>
      </c>
      <c r="J100"/>
      <c r="K100"/>
      <c r="L100" t="s">
        <v>1885</v>
      </c>
      <c r="M100"/>
      <c r="N100"/>
      <c r="O100"/>
      <c r="P100" t="s">
        <v>249</v>
      </c>
    </row>
    <row r="101" spans="1:21">
      <c r="A101">
        <v>128</v>
      </c>
      <c r="B101" t="s">
        <v>250</v>
      </c>
      <c r="C101" t="s">
        <v>139</v>
      </c>
      <c r="D101" t="s">
        <v>787</v>
      </c>
      <c r="E101" t="s">
        <v>949</v>
      </c>
      <c r="F101" t="s">
        <v>948</v>
      </c>
      <c r="G101">
        <v>10</v>
      </c>
      <c r="H101" t="s">
        <v>249</v>
      </c>
      <c r="I101" t="s">
        <v>249</v>
      </c>
      <c r="J101"/>
      <c r="K101"/>
      <c r="L101" t="s">
        <v>1858</v>
      </c>
      <c r="M101"/>
      <c r="N101"/>
      <c r="O101"/>
      <c r="P101" t="s">
        <v>243</v>
      </c>
      <c r="Q101" t="s">
        <v>79</v>
      </c>
      <c r="R101" t="s">
        <v>2829</v>
      </c>
      <c r="S101" t="s">
        <v>787</v>
      </c>
      <c r="T101" t="s">
        <v>2831</v>
      </c>
    </row>
    <row r="102" spans="1:21">
      <c r="A102">
        <v>414</v>
      </c>
      <c r="B102" t="s">
        <v>250</v>
      </c>
      <c r="C102" t="s">
        <v>2251</v>
      </c>
      <c r="D102" t="s">
        <v>2301</v>
      </c>
      <c r="E102" t="s">
        <v>989</v>
      </c>
      <c r="F102" t="s">
        <v>948</v>
      </c>
      <c r="G102">
        <v>14</v>
      </c>
      <c r="H102" t="s">
        <v>243</v>
      </c>
      <c r="I102" t="s">
        <v>249</v>
      </c>
      <c r="J102"/>
      <c r="K102"/>
      <c r="L102" t="s">
        <v>2366</v>
      </c>
      <c r="M102"/>
      <c r="N102"/>
      <c r="O102"/>
      <c r="P102" t="s">
        <v>249</v>
      </c>
      <c r="Q102" t="s">
        <v>79</v>
      </c>
      <c r="R102" t="s">
        <v>989</v>
      </c>
      <c r="S102" t="s">
        <v>2301</v>
      </c>
    </row>
    <row r="103" spans="1:21">
      <c r="A103">
        <v>119</v>
      </c>
      <c r="B103" t="s">
        <v>250</v>
      </c>
      <c r="C103" t="s">
        <v>154</v>
      </c>
      <c r="D103" t="s">
        <v>780</v>
      </c>
      <c r="E103" t="s">
        <v>949</v>
      </c>
      <c r="F103" t="s">
        <v>948</v>
      </c>
      <c r="G103">
        <v>10</v>
      </c>
      <c r="H103" t="s">
        <v>249</v>
      </c>
      <c r="I103" t="s">
        <v>249</v>
      </c>
      <c r="J103" t="s">
        <v>780</v>
      </c>
      <c r="K103" t="s">
        <v>2597</v>
      </c>
      <c r="L103" t="s">
        <v>1853</v>
      </c>
      <c r="M103"/>
      <c r="N103"/>
      <c r="O103"/>
      <c r="P103" t="s">
        <v>243</v>
      </c>
      <c r="Q103" t="s">
        <v>79</v>
      </c>
      <c r="R103" t="s">
        <v>2692</v>
      </c>
      <c r="S103" t="s">
        <v>780</v>
      </c>
      <c r="T103" t="s">
        <v>2747</v>
      </c>
    </row>
    <row r="104" spans="1:21">
      <c r="A104">
        <v>409</v>
      </c>
      <c r="B104" t="s">
        <v>250</v>
      </c>
      <c r="C104" t="s">
        <v>2246</v>
      </c>
      <c r="D104" t="s">
        <v>2286</v>
      </c>
      <c r="E104" t="s">
        <v>949</v>
      </c>
      <c r="F104" t="s">
        <v>948</v>
      </c>
      <c r="G104">
        <v>20</v>
      </c>
      <c r="H104" t="s">
        <v>249</v>
      </c>
      <c r="I104" t="s">
        <v>249</v>
      </c>
      <c r="J104" t="s">
        <v>2286</v>
      </c>
      <c r="K104" t="s">
        <v>2597</v>
      </c>
      <c r="L104" t="s">
        <v>2361</v>
      </c>
      <c r="M104" t="s">
        <v>351</v>
      </c>
      <c r="N104"/>
      <c r="O104"/>
      <c r="P104" t="s">
        <v>243</v>
      </c>
      <c r="Q104" t="s">
        <v>79</v>
      </c>
      <c r="R104" t="s">
        <v>2692</v>
      </c>
      <c r="S104" t="s">
        <v>2286</v>
      </c>
      <c r="T104" t="s">
        <v>2748</v>
      </c>
    </row>
    <row r="105" spans="1:21">
      <c r="A105">
        <v>410</v>
      </c>
      <c r="B105" t="s">
        <v>250</v>
      </c>
      <c r="C105" t="s">
        <v>2247</v>
      </c>
      <c r="D105" t="s">
        <v>2299</v>
      </c>
      <c r="E105" t="s">
        <v>989</v>
      </c>
      <c r="F105" t="s">
        <v>948</v>
      </c>
      <c r="G105">
        <v>14</v>
      </c>
      <c r="H105" t="s">
        <v>243</v>
      </c>
      <c r="I105" t="s">
        <v>249</v>
      </c>
      <c r="J105"/>
      <c r="K105"/>
      <c r="L105" t="s">
        <v>2362</v>
      </c>
      <c r="M105"/>
      <c r="N105"/>
      <c r="O105"/>
      <c r="P105" t="s">
        <v>249</v>
      </c>
      <c r="Q105" t="s">
        <v>79</v>
      </c>
      <c r="R105" t="s">
        <v>989</v>
      </c>
      <c r="S105" t="s">
        <v>2299</v>
      </c>
    </row>
    <row r="106" spans="1:21">
      <c r="A106">
        <v>411</v>
      </c>
      <c r="B106" t="s">
        <v>250</v>
      </c>
      <c r="C106" t="s">
        <v>2248</v>
      </c>
      <c r="D106" t="s">
        <v>2287</v>
      </c>
      <c r="E106" t="s">
        <v>949</v>
      </c>
      <c r="F106" t="s">
        <v>948</v>
      </c>
      <c r="G106">
        <v>16</v>
      </c>
      <c r="H106" t="s">
        <v>249</v>
      </c>
      <c r="I106" t="s">
        <v>249</v>
      </c>
      <c r="J106" t="s">
        <v>2287</v>
      </c>
      <c r="K106" t="s">
        <v>2597</v>
      </c>
      <c r="L106" t="s">
        <v>2363</v>
      </c>
      <c r="M106" t="s">
        <v>351</v>
      </c>
      <c r="N106"/>
      <c r="O106"/>
      <c r="P106" t="s">
        <v>243</v>
      </c>
      <c r="Q106" t="s">
        <v>79</v>
      </c>
      <c r="R106" t="s">
        <v>2692</v>
      </c>
      <c r="S106" t="s">
        <v>2287</v>
      </c>
      <c r="T106" t="s">
        <v>2749</v>
      </c>
    </row>
    <row r="107" spans="1:21">
      <c r="A107">
        <v>404</v>
      </c>
      <c r="B107" t="s">
        <v>250</v>
      </c>
      <c r="C107" t="s">
        <v>2241</v>
      </c>
      <c r="D107" t="s">
        <v>2297</v>
      </c>
      <c r="E107" t="s">
        <v>949</v>
      </c>
      <c r="F107" t="s">
        <v>948</v>
      </c>
      <c r="G107">
        <v>14</v>
      </c>
      <c r="H107" t="s">
        <v>249</v>
      </c>
      <c r="I107" t="s">
        <v>249</v>
      </c>
      <c r="J107" t="s">
        <v>2297</v>
      </c>
      <c r="K107" t="s">
        <v>2597</v>
      </c>
      <c r="L107" t="s">
        <v>2356</v>
      </c>
      <c r="M107" t="s">
        <v>351</v>
      </c>
      <c r="N107"/>
      <c r="O107"/>
      <c r="P107" t="s">
        <v>243</v>
      </c>
      <c r="Q107" t="s">
        <v>2661</v>
      </c>
      <c r="R107" t="s">
        <v>2692</v>
      </c>
      <c r="S107" t="s">
        <v>2297</v>
      </c>
      <c r="U107" t="s">
        <v>879</v>
      </c>
    </row>
    <row r="108" spans="1:21">
      <c r="A108">
        <v>423</v>
      </c>
      <c r="B108" t="s">
        <v>250</v>
      </c>
      <c r="C108" t="s">
        <v>2260</v>
      </c>
      <c r="D108" t="s">
        <v>2309</v>
      </c>
      <c r="E108" t="s">
        <v>949</v>
      </c>
      <c r="F108" t="s">
        <v>948</v>
      </c>
      <c r="G108">
        <v>40</v>
      </c>
      <c r="H108" t="s">
        <v>249</v>
      </c>
      <c r="I108" t="s">
        <v>249</v>
      </c>
      <c r="J108"/>
      <c r="K108"/>
      <c r="L108" t="s">
        <v>2375</v>
      </c>
      <c r="M108"/>
      <c r="N108"/>
      <c r="O108"/>
      <c r="P108" t="s">
        <v>249</v>
      </c>
      <c r="Q108" t="s">
        <v>79</v>
      </c>
      <c r="R108" t="s">
        <v>2662</v>
      </c>
      <c r="S108" t="s">
        <v>2309</v>
      </c>
    </row>
    <row r="109" spans="1:21">
      <c r="A109">
        <v>424</v>
      </c>
      <c r="B109" t="s">
        <v>250</v>
      </c>
      <c r="C109" t="s">
        <v>2261</v>
      </c>
      <c r="D109" t="s">
        <v>2310</v>
      </c>
      <c r="E109" t="s">
        <v>989</v>
      </c>
      <c r="F109" t="s">
        <v>948</v>
      </c>
      <c r="G109">
        <v>14</v>
      </c>
      <c r="H109" t="s">
        <v>243</v>
      </c>
      <c r="I109" t="s">
        <v>249</v>
      </c>
      <c r="J109"/>
      <c r="K109"/>
      <c r="L109" t="s">
        <v>2376</v>
      </c>
      <c r="M109"/>
      <c r="N109"/>
      <c r="O109"/>
      <c r="P109" t="s">
        <v>249</v>
      </c>
      <c r="Q109" t="s">
        <v>79</v>
      </c>
      <c r="R109" t="s">
        <v>989</v>
      </c>
      <c r="S109" t="s">
        <v>2310</v>
      </c>
    </row>
    <row r="110" spans="1:21">
      <c r="A110">
        <v>201</v>
      </c>
      <c r="B110" t="s">
        <v>250</v>
      </c>
      <c r="C110" t="s">
        <v>1256</v>
      </c>
      <c r="D110" t="s">
        <v>1301</v>
      </c>
      <c r="E110" t="s">
        <v>949</v>
      </c>
      <c r="F110" t="s">
        <v>948</v>
      </c>
      <c r="G110">
        <v>50</v>
      </c>
      <c r="H110" t="s">
        <v>249</v>
      </c>
      <c r="I110" t="s">
        <v>249</v>
      </c>
      <c r="J110"/>
      <c r="K110"/>
      <c r="L110" t="s">
        <v>1919</v>
      </c>
      <c r="M110"/>
      <c r="N110"/>
      <c r="O110"/>
      <c r="P110" t="s">
        <v>243</v>
      </c>
      <c r="Q110" t="s">
        <v>2736</v>
      </c>
      <c r="R110" t="s">
        <v>2829</v>
      </c>
      <c r="S110" t="s">
        <v>1301</v>
      </c>
      <c r="T110" t="s">
        <v>2832</v>
      </c>
      <c r="U110" t="s">
        <v>3039</v>
      </c>
    </row>
    <row r="111" spans="1:21">
      <c r="A111">
        <v>407</v>
      </c>
      <c r="B111" t="s">
        <v>250</v>
      </c>
      <c r="C111" t="s">
        <v>2244</v>
      </c>
      <c r="D111" t="s">
        <v>2285</v>
      </c>
      <c r="E111" t="s">
        <v>949</v>
      </c>
      <c r="F111" t="s">
        <v>948</v>
      </c>
      <c r="G111">
        <v>12</v>
      </c>
      <c r="H111" t="s">
        <v>249</v>
      </c>
      <c r="I111" t="s">
        <v>249</v>
      </c>
      <c r="J111" t="s">
        <v>2285</v>
      </c>
      <c r="K111" t="s">
        <v>2597</v>
      </c>
      <c r="L111" t="s">
        <v>2359</v>
      </c>
      <c r="M111" t="s">
        <v>351</v>
      </c>
      <c r="N111"/>
      <c r="O111"/>
      <c r="P111" t="s">
        <v>243</v>
      </c>
      <c r="Q111" t="s">
        <v>2736</v>
      </c>
      <c r="R111" t="s">
        <v>2692</v>
      </c>
      <c r="S111" t="s">
        <v>2285</v>
      </c>
      <c r="T111" t="s">
        <v>2750</v>
      </c>
      <c r="U111" t="s">
        <v>2976</v>
      </c>
    </row>
    <row r="112" spans="1:21">
      <c r="A112">
        <v>116</v>
      </c>
      <c r="B112" t="s">
        <v>250</v>
      </c>
      <c r="C112" t="s">
        <v>94</v>
      </c>
      <c r="D112" t="s">
        <v>516</v>
      </c>
      <c r="E112" t="s">
        <v>949</v>
      </c>
      <c r="F112" t="s">
        <v>948</v>
      </c>
      <c r="G112">
        <v>10</v>
      </c>
      <c r="H112" t="s">
        <v>249</v>
      </c>
      <c r="I112" t="s">
        <v>249</v>
      </c>
      <c r="J112"/>
      <c r="K112" t="s">
        <v>2598</v>
      </c>
      <c r="L112" t="s">
        <v>1850</v>
      </c>
      <c r="M112" t="s">
        <v>351</v>
      </c>
      <c r="N112"/>
      <c r="O112"/>
      <c r="P112" t="s">
        <v>243</v>
      </c>
      <c r="Q112" t="s">
        <v>79</v>
      </c>
      <c r="R112" t="s">
        <v>3034</v>
      </c>
      <c r="S112" t="s">
        <v>516</v>
      </c>
      <c r="T112" t="s">
        <v>3040</v>
      </c>
    </row>
    <row r="113" spans="1:21">
      <c r="A113">
        <v>127</v>
      </c>
      <c r="B113" t="s">
        <v>250</v>
      </c>
      <c r="C113" t="s">
        <v>95</v>
      </c>
      <c r="D113" t="s">
        <v>786</v>
      </c>
      <c r="E113" t="s">
        <v>949</v>
      </c>
      <c r="F113" t="s">
        <v>948</v>
      </c>
      <c r="G113">
        <v>10</v>
      </c>
      <c r="H113" t="s">
        <v>249</v>
      </c>
      <c r="I113" t="s">
        <v>249</v>
      </c>
      <c r="J113"/>
      <c r="K113" t="s">
        <v>2598</v>
      </c>
      <c r="L113" t="s">
        <v>1857</v>
      </c>
      <c r="M113"/>
      <c r="N113"/>
      <c r="O113"/>
      <c r="P113" t="s">
        <v>243</v>
      </c>
      <c r="Q113" t="s">
        <v>79</v>
      </c>
      <c r="R113" t="s">
        <v>3034</v>
      </c>
      <c r="S113" t="s">
        <v>516</v>
      </c>
      <c r="T113" t="s">
        <v>3040</v>
      </c>
    </row>
    <row r="114" spans="1:21">
      <c r="A114">
        <v>129</v>
      </c>
      <c r="B114" t="s">
        <v>250</v>
      </c>
      <c r="C114" t="s">
        <v>142</v>
      </c>
      <c r="D114" t="s">
        <v>788</v>
      </c>
      <c r="E114" t="s">
        <v>949</v>
      </c>
      <c r="F114" t="s">
        <v>948</v>
      </c>
      <c r="G114">
        <v>10</v>
      </c>
      <c r="H114" t="s">
        <v>249</v>
      </c>
      <c r="I114" t="s">
        <v>249</v>
      </c>
      <c r="J114"/>
      <c r="K114"/>
      <c r="L114" t="s">
        <v>1859</v>
      </c>
      <c r="M114"/>
      <c r="N114"/>
      <c r="O114"/>
      <c r="P114" t="s">
        <v>243</v>
      </c>
      <c r="Q114" t="s">
        <v>79</v>
      </c>
      <c r="R114" t="s">
        <v>2829</v>
      </c>
      <c r="S114" t="s">
        <v>788</v>
      </c>
      <c r="T114" t="s">
        <v>2833</v>
      </c>
    </row>
    <row r="115" spans="1:21">
      <c r="A115">
        <v>81</v>
      </c>
      <c r="B115" t="s">
        <v>250</v>
      </c>
      <c r="C115" t="s">
        <v>117</v>
      </c>
      <c r="D115" t="s">
        <v>352</v>
      </c>
      <c r="E115" t="s">
        <v>949</v>
      </c>
      <c r="F115" t="s">
        <v>948</v>
      </c>
      <c r="G115">
        <v>10</v>
      </c>
      <c r="H115" t="s">
        <v>249</v>
      </c>
      <c r="I115" t="s">
        <v>249</v>
      </c>
      <c r="J115" t="s">
        <v>2410</v>
      </c>
      <c r="K115" t="s">
        <v>2597</v>
      </c>
      <c r="L115" t="s">
        <v>1816</v>
      </c>
      <c r="M115"/>
      <c r="N115"/>
      <c r="O115"/>
      <c r="P115" t="s">
        <v>243</v>
      </c>
      <c r="Q115" t="s">
        <v>79</v>
      </c>
      <c r="R115" t="s">
        <v>2692</v>
      </c>
      <c r="S115" t="s">
        <v>2410</v>
      </c>
      <c r="T115" t="s">
        <v>2751</v>
      </c>
    </row>
    <row r="116" spans="1:21">
      <c r="A116">
        <v>394</v>
      </c>
      <c r="B116" t="s">
        <v>250</v>
      </c>
      <c r="C116" t="s">
        <v>2081</v>
      </c>
      <c r="D116" t="s">
        <v>1320</v>
      </c>
      <c r="E116" t="s">
        <v>949</v>
      </c>
      <c r="F116" t="s">
        <v>948</v>
      </c>
      <c r="G116">
        <v>14</v>
      </c>
      <c r="H116" t="s">
        <v>249</v>
      </c>
      <c r="I116" t="s">
        <v>249</v>
      </c>
      <c r="J116" t="s">
        <v>1320</v>
      </c>
      <c r="K116" t="s">
        <v>2597</v>
      </c>
      <c r="L116" t="s">
        <v>2347</v>
      </c>
      <c r="M116"/>
      <c r="N116"/>
      <c r="O116"/>
      <c r="P116" t="s">
        <v>243</v>
      </c>
      <c r="Q116" t="s">
        <v>2661</v>
      </c>
      <c r="R116" t="s">
        <v>2692</v>
      </c>
      <c r="S116" t="s">
        <v>1320</v>
      </c>
      <c r="U116" t="s">
        <v>2752</v>
      </c>
    </row>
    <row r="117" spans="1:21">
      <c r="A117">
        <v>395</v>
      </c>
      <c r="B117" t="s">
        <v>250</v>
      </c>
      <c r="C117" t="s">
        <v>2086</v>
      </c>
      <c r="D117" t="s">
        <v>2085</v>
      </c>
      <c r="E117" t="s">
        <v>949</v>
      </c>
      <c r="F117" t="s">
        <v>948</v>
      </c>
      <c r="G117">
        <v>14</v>
      </c>
      <c r="H117" t="s">
        <v>249</v>
      </c>
      <c r="I117" t="s">
        <v>249</v>
      </c>
      <c r="J117" t="s">
        <v>2085</v>
      </c>
      <c r="K117" t="s">
        <v>2597</v>
      </c>
      <c r="L117" t="s">
        <v>2348</v>
      </c>
      <c r="M117" t="s">
        <v>351</v>
      </c>
      <c r="N117"/>
      <c r="O117"/>
      <c r="P117" t="s">
        <v>243</v>
      </c>
      <c r="Q117" t="s">
        <v>2661</v>
      </c>
      <c r="R117" t="s">
        <v>2692</v>
      </c>
      <c r="S117" t="s">
        <v>2085</v>
      </c>
      <c r="U117" t="s">
        <v>2902</v>
      </c>
    </row>
    <row r="118" spans="1:21">
      <c r="A118">
        <v>416</v>
      </c>
      <c r="B118" t="s">
        <v>250</v>
      </c>
      <c r="C118" t="s">
        <v>2253</v>
      </c>
      <c r="D118" t="s">
        <v>2303</v>
      </c>
      <c r="E118" t="s">
        <v>949</v>
      </c>
      <c r="F118" t="s">
        <v>948</v>
      </c>
      <c r="G118">
        <v>50</v>
      </c>
      <c r="H118" t="s">
        <v>249</v>
      </c>
      <c r="I118" t="s">
        <v>249</v>
      </c>
      <c r="J118"/>
      <c r="K118"/>
      <c r="L118" t="s">
        <v>2368</v>
      </c>
      <c r="M118"/>
      <c r="N118"/>
      <c r="O118"/>
      <c r="P118" t="s">
        <v>249</v>
      </c>
      <c r="Q118" t="s">
        <v>2661</v>
      </c>
      <c r="R118" t="s">
        <v>2829</v>
      </c>
      <c r="S118" t="s">
        <v>2303</v>
      </c>
      <c r="U118" t="s">
        <v>2977</v>
      </c>
    </row>
    <row r="119" spans="1:21">
      <c r="A119">
        <v>415</v>
      </c>
      <c r="B119" t="s">
        <v>250</v>
      </c>
      <c r="C119" t="s">
        <v>2252</v>
      </c>
      <c r="D119" t="s">
        <v>2302</v>
      </c>
      <c r="E119" t="s">
        <v>949</v>
      </c>
      <c r="F119" t="s">
        <v>948</v>
      </c>
      <c r="G119">
        <v>16</v>
      </c>
      <c r="H119" t="s">
        <v>249</v>
      </c>
      <c r="I119" t="s">
        <v>249</v>
      </c>
      <c r="J119"/>
      <c r="K119"/>
      <c r="L119" t="s">
        <v>2367</v>
      </c>
      <c r="M119"/>
      <c r="N119"/>
      <c r="O119"/>
      <c r="P119" t="s">
        <v>249</v>
      </c>
      <c r="Q119" t="s">
        <v>2661</v>
      </c>
      <c r="R119" t="s">
        <v>2662</v>
      </c>
      <c r="S119" t="s">
        <v>2302</v>
      </c>
    </row>
    <row r="120" spans="1:21">
      <c r="A120">
        <v>413</v>
      </c>
      <c r="B120" t="s">
        <v>250</v>
      </c>
      <c r="C120" t="s">
        <v>2250</v>
      </c>
      <c r="D120" t="s">
        <v>2300</v>
      </c>
      <c r="E120" t="s">
        <v>949</v>
      </c>
      <c r="F120" t="s">
        <v>948</v>
      </c>
      <c r="G120">
        <v>24</v>
      </c>
      <c r="H120" t="s">
        <v>249</v>
      </c>
      <c r="I120" t="s">
        <v>249</v>
      </c>
      <c r="J120"/>
      <c r="K120" t="s">
        <v>2598</v>
      </c>
      <c r="L120" t="s">
        <v>2365</v>
      </c>
      <c r="M120"/>
      <c r="N120"/>
      <c r="O120"/>
      <c r="P120" t="s">
        <v>249</v>
      </c>
      <c r="Q120" t="s">
        <v>79</v>
      </c>
      <c r="R120" t="s">
        <v>3034</v>
      </c>
      <c r="S120" t="s">
        <v>2300</v>
      </c>
      <c r="T120" t="s">
        <v>3041</v>
      </c>
    </row>
    <row r="121" spans="1:21">
      <c r="A121">
        <v>188</v>
      </c>
      <c r="B121" t="s">
        <v>250</v>
      </c>
      <c r="C121" t="s">
        <v>1739</v>
      </c>
      <c r="D121" t="s">
        <v>1914</v>
      </c>
      <c r="E121" t="s">
        <v>989</v>
      </c>
      <c r="F121" t="s">
        <v>948</v>
      </c>
      <c r="G121">
        <v>12</v>
      </c>
      <c r="H121" t="s">
        <v>243</v>
      </c>
      <c r="I121" t="s">
        <v>249</v>
      </c>
      <c r="J121"/>
      <c r="K121"/>
      <c r="L121" t="s">
        <v>1915</v>
      </c>
      <c r="M121"/>
      <c r="N121"/>
      <c r="O121"/>
      <c r="P121" t="s">
        <v>249</v>
      </c>
      <c r="Q121" t="s">
        <v>79</v>
      </c>
      <c r="R121" t="s">
        <v>989</v>
      </c>
      <c r="S121" t="s">
        <v>1914</v>
      </c>
    </row>
    <row r="122" spans="1:21">
      <c r="A122">
        <v>401</v>
      </c>
      <c r="B122" t="s">
        <v>250</v>
      </c>
      <c r="C122" t="s">
        <v>2238</v>
      </c>
      <c r="D122" t="s">
        <v>2294</v>
      </c>
      <c r="E122" t="s">
        <v>949</v>
      </c>
      <c r="F122" t="s">
        <v>948</v>
      </c>
      <c r="G122">
        <v>30</v>
      </c>
      <c r="H122" t="s">
        <v>249</v>
      </c>
      <c r="I122" t="s">
        <v>249</v>
      </c>
      <c r="J122"/>
      <c r="K122"/>
      <c r="L122" t="s">
        <v>2353</v>
      </c>
      <c r="M122"/>
      <c r="N122"/>
      <c r="O122"/>
      <c r="P122" t="s">
        <v>249</v>
      </c>
      <c r="Q122" t="s">
        <v>79</v>
      </c>
      <c r="R122" t="s">
        <v>2662</v>
      </c>
      <c r="S122" t="s">
        <v>2294</v>
      </c>
    </row>
    <row r="123" spans="1:21">
      <c r="A123">
        <v>417</v>
      </c>
      <c r="B123" t="s">
        <v>250</v>
      </c>
      <c r="C123" t="s">
        <v>2254</v>
      </c>
      <c r="D123" t="s">
        <v>2289</v>
      </c>
      <c r="E123" t="s">
        <v>949</v>
      </c>
      <c r="F123" t="s">
        <v>948</v>
      </c>
      <c r="G123">
        <v>16</v>
      </c>
      <c r="H123" t="s">
        <v>249</v>
      </c>
      <c r="I123" t="s">
        <v>249</v>
      </c>
      <c r="J123" t="s">
        <v>2289</v>
      </c>
      <c r="K123" t="s">
        <v>2597</v>
      </c>
      <c r="L123" t="s">
        <v>2369</v>
      </c>
      <c r="M123" t="s">
        <v>351</v>
      </c>
      <c r="N123"/>
      <c r="O123"/>
      <c r="P123" t="s">
        <v>243</v>
      </c>
      <c r="Q123" t="s">
        <v>2736</v>
      </c>
      <c r="R123" t="s">
        <v>2692</v>
      </c>
      <c r="S123" t="s">
        <v>2289</v>
      </c>
      <c r="T123" t="s">
        <v>2753</v>
      </c>
      <c r="U123" t="s">
        <v>2978</v>
      </c>
    </row>
    <row r="124" spans="1:21">
      <c r="A124">
        <v>432</v>
      </c>
      <c r="B124" t="s">
        <v>250</v>
      </c>
      <c r="C124" t="s">
        <v>2269</v>
      </c>
      <c r="D124" t="s">
        <v>2317</v>
      </c>
      <c r="E124" t="s">
        <v>949</v>
      </c>
      <c r="F124" t="s">
        <v>948</v>
      </c>
      <c r="G124">
        <v>30</v>
      </c>
      <c r="H124" t="s">
        <v>249</v>
      </c>
      <c r="I124" t="s">
        <v>249</v>
      </c>
      <c r="J124"/>
      <c r="K124"/>
      <c r="L124" t="s">
        <v>2404</v>
      </c>
      <c r="M124"/>
      <c r="N124"/>
      <c r="O124"/>
      <c r="P124" t="s">
        <v>249</v>
      </c>
      <c r="Q124" t="s">
        <v>79</v>
      </c>
      <c r="R124" t="s">
        <v>2662</v>
      </c>
      <c r="S124" t="s">
        <v>2317</v>
      </c>
    </row>
    <row r="125" spans="1:21">
      <c r="A125">
        <v>130</v>
      </c>
      <c r="B125" t="s">
        <v>250</v>
      </c>
      <c r="C125" t="s">
        <v>140</v>
      </c>
      <c r="D125" t="s">
        <v>789</v>
      </c>
      <c r="E125" t="s">
        <v>949</v>
      </c>
      <c r="F125" t="s">
        <v>948</v>
      </c>
      <c r="G125">
        <v>10</v>
      </c>
      <c r="H125" t="s">
        <v>249</v>
      </c>
      <c r="I125" t="s">
        <v>249</v>
      </c>
      <c r="J125"/>
      <c r="K125"/>
      <c r="L125" t="s">
        <v>1860</v>
      </c>
      <c r="M125"/>
      <c r="N125"/>
      <c r="O125"/>
      <c r="P125" t="s">
        <v>243</v>
      </c>
      <c r="Q125" t="s">
        <v>79</v>
      </c>
      <c r="R125" t="s">
        <v>2829</v>
      </c>
      <c r="S125" t="s">
        <v>789</v>
      </c>
      <c r="T125" t="s">
        <v>2834</v>
      </c>
    </row>
    <row r="126" spans="1:21">
      <c r="A126">
        <v>133</v>
      </c>
      <c r="B126" t="s">
        <v>250</v>
      </c>
      <c r="C126" t="s">
        <v>144</v>
      </c>
      <c r="D126" t="s">
        <v>791</v>
      </c>
      <c r="E126" t="s">
        <v>949</v>
      </c>
      <c r="F126" t="s">
        <v>948</v>
      </c>
      <c r="G126">
        <v>10</v>
      </c>
      <c r="H126" t="s">
        <v>249</v>
      </c>
      <c r="I126" t="s">
        <v>249</v>
      </c>
      <c r="J126"/>
      <c r="K126"/>
      <c r="L126" t="s">
        <v>1863</v>
      </c>
      <c r="M126"/>
      <c r="N126"/>
      <c r="O126"/>
      <c r="P126" t="s">
        <v>243</v>
      </c>
      <c r="Q126" t="s">
        <v>79</v>
      </c>
      <c r="R126" t="s">
        <v>2829</v>
      </c>
      <c r="S126" t="s">
        <v>791</v>
      </c>
      <c r="T126" t="s">
        <v>2835</v>
      </c>
    </row>
    <row r="127" spans="1:21">
      <c r="A127">
        <v>113</v>
      </c>
      <c r="B127" t="s">
        <v>250</v>
      </c>
      <c r="C127" t="s">
        <v>126</v>
      </c>
      <c r="D127" t="s">
        <v>354</v>
      </c>
      <c r="E127" t="s">
        <v>949</v>
      </c>
      <c r="F127" t="s">
        <v>948</v>
      </c>
      <c r="G127">
        <v>10</v>
      </c>
      <c r="H127" t="s">
        <v>249</v>
      </c>
      <c r="I127" t="s">
        <v>249</v>
      </c>
      <c r="J127"/>
      <c r="K127" t="s">
        <v>2598</v>
      </c>
      <c r="L127" t="s">
        <v>3038</v>
      </c>
      <c r="M127"/>
      <c r="N127"/>
      <c r="O127"/>
      <c r="P127" t="s">
        <v>243</v>
      </c>
      <c r="Q127" t="s">
        <v>2736</v>
      </c>
      <c r="R127" t="s">
        <v>3034</v>
      </c>
      <c r="S127" t="s">
        <v>354</v>
      </c>
      <c r="T127" t="s">
        <v>3042</v>
      </c>
      <c r="U127" t="s">
        <v>3043</v>
      </c>
    </row>
    <row r="128" spans="1:21">
      <c r="A128">
        <v>114</v>
      </c>
      <c r="B128" t="s">
        <v>250</v>
      </c>
      <c r="C128" t="s">
        <v>171</v>
      </c>
      <c r="D128" t="s">
        <v>779</v>
      </c>
      <c r="E128" t="s">
        <v>949</v>
      </c>
      <c r="F128" t="s">
        <v>948</v>
      </c>
      <c r="G128">
        <v>10</v>
      </c>
      <c r="H128" t="s">
        <v>249</v>
      </c>
      <c r="I128" t="s">
        <v>249</v>
      </c>
      <c r="J128"/>
      <c r="K128"/>
      <c r="L128" t="s">
        <v>1848</v>
      </c>
      <c r="M128"/>
      <c r="N128"/>
      <c r="O128"/>
      <c r="P128" t="s">
        <v>243</v>
      </c>
      <c r="Q128" t="s">
        <v>2736</v>
      </c>
      <c r="R128" t="s">
        <v>2662</v>
      </c>
      <c r="S128" t="s">
        <v>779</v>
      </c>
      <c r="T128" t="s">
        <v>2836</v>
      </c>
    </row>
    <row r="129" spans="1:21">
      <c r="A129">
        <v>164</v>
      </c>
      <c r="B129" t="s">
        <v>250</v>
      </c>
      <c r="C129" t="s">
        <v>756</v>
      </c>
      <c r="D129" t="s">
        <v>806</v>
      </c>
      <c r="E129" t="s">
        <v>949</v>
      </c>
      <c r="F129" t="s">
        <v>948</v>
      </c>
      <c r="G129">
        <v>10</v>
      </c>
      <c r="H129" t="s">
        <v>249</v>
      </c>
      <c r="I129" t="s">
        <v>249</v>
      </c>
      <c r="J129"/>
      <c r="K129"/>
      <c r="L129" t="s">
        <v>1891</v>
      </c>
      <c r="M129"/>
      <c r="N129"/>
      <c r="O129"/>
      <c r="P129" t="s">
        <v>243</v>
      </c>
      <c r="Q129" t="s">
        <v>2661</v>
      </c>
      <c r="R129" t="s">
        <v>2829</v>
      </c>
      <c r="S129" t="s">
        <v>806</v>
      </c>
      <c r="U129" t="s">
        <v>2974</v>
      </c>
    </row>
    <row r="130" spans="1:21">
      <c r="A130">
        <v>170</v>
      </c>
      <c r="B130" t="s">
        <v>250</v>
      </c>
      <c r="C130" t="s">
        <v>905</v>
      </c>
      <c r="D130" t="s">
        <v>812</v>
      </c>
      <c r="E130" t="s">
        <v>949</v>
      </c>
      <c r="F130" t="s">
        <v>948</v>
      </c>
      <c r="G130">
        <v>10</v>
      </c>
      <c r="H130" t="s">
        <v>249</v>
      </c>
      <c r="I130" t="s">
        <v>249</v>
      </c>
      <c r="J130"/>
      <c r="K130"/>
      <c r="L130" t="s">
        <v>1896</v>
      </c>
      <c r="M130"/>
      <c r="N130"/>
      <c r="O130"/>
      <c r="P130" t="s">
        <v>243</v>
      </c>
      <c r="Q130" t="s">
        <v>2661</v>
      </c>
      <c r="R130" t="s">
        <v>2829</v>
      </c>
      <c r="S130" t="s">
        <v>812</v>
      </c>
      <c r="U130" t="s">
        <v>2929</v>
      </c>
    </row>
    <row r="131" spans="1:21">
      <c r="A131">
        <v>159</v>
      </c>
      <c r="B131" t="s">
        <v>250</v>
      </c>
      <c r="C131" t="s">
        <v>155</v>
      </c>
      <c r="D131" t="s">
        <v>804</v>
      </c>
      <c r="E131" t="s">
        <v>949</v>
      </c>
      <c r="F131" t="s">
        <v>948</v>
      </c>
      <c r="G131">
        <v>10</v>
      </c>
      <c r="H131" t="s">
        <v>249</v>
      </c>
      <c r="I131" t="s">
        <v>249</v>
      </c>
      <c r="J131"/>
      <c r="K131"/>
      <c r="L131" t="s">
        <v>1888</v>
      </c>
      <c r="M131"/>
      <c r="N131"/>
      <c r="O131"/>
      <c r="P131" t="s">
        <v>243</v>
      </c>
      <c r="Q131" t="s">
        <v>79</v>
      </c>
      <c r="R131" t="s">
        <v>2662</v>
      </c>
      <c r="S131" t="s">
        <v>804</v>
      </c>
      <c r="T131" t="s">
        <v>2837</v>
      </c>
    </row>
    <row r="132" spans="1:21">
      <c r="A132">
        <v>107</v>
      </c>
      <c r="B132" t="s">
        <v>250</v>
      </c>
      <c r="C132" t="s">
        <v>751</v>
      </c>
      <c r="D132" t="s">
        <v>1228</v>
      </c>
      <c r="E132" t="s">
        <v>988</v>
      </c>
      <c r="F132" t="s">
        <v>948</v>
      </c>
      <c r="G132">
        <v>10</v>
      </c>
      <c r="H132" t="s">
        <v>243</v>
      </c>
      <c r="I132" t="s">
        <v>249</v>
      </c>
      <c r="J132"/>
      <c r="K132"/>
      <c r="L132" t="s">
        <v>1842</v>
      </c>
      <c r="M132"/>
      <c r="N132"/>
      <c r="O132"/>
      <c r="P132" t="s">
        <v>249</v>
      </c>
      <c r="Q132" t="s">
        <v>79</v>
      </c>
      <c r="R132" t="s">
        <v>441</v>
      </c>
      <c r="S132" t="s">
        <v>1228</v>
      </c>
    </row>
    <row r="133" spans="1:21">
      <c r="A133">
        <v>134</v>
      </c>
      <c r="B133" t="s">
        <v>250</v>
      </c>
      <c r="C133" t="s">
        <v>143</v>
      </c>
      <c r="D133" t="s">
        <v>792</v>
      </c>
      <c r="E133" t="s">
        <v>949</v>
      </c>
      <c r="F133" t="s">
        <v>948</v>
      </c>
      <c r="G133">
        <v>10</v>
      </c>
      <c r="H133" t="s">
        <v>249</v>
      </c>
      <c r="I133" t="s">
        <v>249</v>
      </c>
      <c r="J133"/>
      <c r="K133"/>
      <c r="L133" t="s">
        <v>1864</v>
      </c>
      <c r="M133"/>
      <c r="N133"/>
      <c r="O133"/>
      <c r="P133" t="s">
        <v>243</v>
      </c>
      <c r="Q133" t="s">
        <v>2736</v>
      </c>
      <c r="R133" t="s">
        <v>2829</v>
      </c>
      <c r="S133" t="s">
        <v>792</v>
      </c>
      <c r="T133" t="s">
        <v>2838</v>
      </c>
      <c r="U133" t="s">
        <v>3044</v>
      </c>
    </row>
    <row r="134" spans="1:21">
      <c r="A134">
        <v>405</v>
      </c>
      <c r="B134" t="s">
        <v>250</v>
      </c>
      <c r="C134" t="s">
        <v>2242</v>
      </c>
      <c r="D134" t="s">
        <v>2298</v>
      </c>
      <c r="E134" t="s">
        <v>949</v>
      </c>
      <c r="F134" t="s">
        <v>948</v>
      </c>
      <c r="G134">
        <v>20</v>
      </c>
      <c r="H134" t="s">
        <v>249</v>
      </c>
      <c r="I134" t="s">
        <v>249</v>
      </c>
      <c r="J134" t="s">
        <v>1729</v>
      </c>
      <c r="K134" t="s">
        <v>2597</v>
      </c>
      <c r="L134" t="s">
        <v>2357</v>
      </c>
      <c r="M134" t="s">
        <v>351</v>
      </c>
      <c r="N134"/>
      <c r="O134"/>
      <c r="P134" t="s">
        <v>249</v>
      </c>
      <c r="Q134" t="s">
        <v>2736</v>
      </c>
      <c r="R134" t="s">
        <v>2692</v>
      </c>
      <c r="S134" t="s">
        <v>1729</v>
      </c>
      <c r="T134" t="s">
        <v>2754</v>
      </c>
      <c r="U134" t="s">
        <v>2930</v>
      </c>
    </row>
    <row r="135" spans="1:21">
      <c r="A135">
        <v>408</v>
      </c>
      <c r="B135" t="s">
        <v>250</v>
      </c>
      <c r="C135" t="s">
        <v>2245</v>
      </c>
      <c r="D135" t="s">
        <v>987</v>
      </c>
      <c r="E135" t="s">
        <v>949</v>
      </c>
      <c r="F135" t="s">
        <v>948</v>
      </c>
      <c r="G135">
        <v>10</v>
      </c>
      <c r="H135" t="s">
        <v>249</v>
      </c>
      <c r="I135" t="s">
        <v>249</v>
      </c>
      <c r="J135" t="s">
        <v>987</v>
      </c>
      <c r="K135" t="s">
        <v>2597</v>
      </c>
      <c r="L135" t="s">
        <v>2360</v>
      </c>
      <c r="M135" t="s">
        <v>351</v>
      </c>
      <c r="N135"/>
      <c r="O135"/>
      <c r="P135" t="s">
        <v>243</v>
      </c>
      <c r="Q135" t="s">
        <v>2736</v>
      </c>
      <c r="R135" t="s">
        <v>2692</v>
      </c>
      <c r="S135" t="s">
        <v>987</v>
      </c>
      <c r="T135" t="s">
        <v>2755</v>
      </c>
      <c r="U135" t="s">
        <v>2979</v>
      </c>
    </row>
    <row r="136" spans="1:21">
      <c r="A136">
        <v>155</v>
      </c>
      <c r="B136" t="s">
        <v>250</v>
      </c>
      <c r="C136" t="s">
        <v>103</v>
      </c>
      <c r="D136" t="s">
        <v>20</v>
      </c>
      <c r="E136" t="s">
        <v>949</v>
      </c>
      <c r="F136" t="s">
        <v>948</v>
      </c>
      <c r="G136">
        <v>10</v>
      </c>
      <c r="H136" t="s">
        <v>249</v>
      </c>
      <c r="I136" t="s">
        <v>249</v>
      </c>
      <c r="J136"/>
      <c r="K136"/>
      <c r="L136" t="s">
        <v>1884</v>
      </c>
      <c r="M136"/>
      <c r="N136"/>
      <c r="O136"/>
      <c r="P136" t="s">
        <v>243</v>
      </c>
      <c r="Q136" t="s">
        <v>79</v>
      </c>
      <c r="R136" t="s">
        <v>2662</v>
      </c>
      <c r="S136" t="s">
        <v>20</v>
      </c>
      <c r="T136" t="s">
        <v>2839</v>
      </c>
    </row>
    <row r="137" spans="1:21">
      <c r="A137">
        <v>110</v>
      </c>
      <c r="B137" t="s">
        <v>250</v>
      </c>
      <c r="C137" t="s">
        <v>754</v>
      </c>
      <c r="D137" t="s">
        <v>778</v>
      </c>
      <c r="E137" t="s">
        <v>949</v>
      </c>
      <c r="F137" t="s">
        <v>948</v>
      </c>
      <c r="G137">
        <v>10</v>
      </c>
      <c r="H137" t="s">
        <v>249</v>
      </c>
      <c r="I137" t="s">
        <v>249</v>
      </c>
      <c r="J137"/>
      <c r="K137"/>
      <c r="L137" t="s">
        <v>1845</v>
      </c>
      <c r="M137"/>
      <c r="N137"/>
      <c r="O137"/>
      <c r="P137" t="s">
        <v>249</v>
      </c>
      <c r="Q137" t="s">
        <v>79</v>
      </c>
      <c r="R137" t="s">
        <v>2662</v>
      </c>
      <c r="S137" t="s">
        <v>778</v>
      </c>
    </row>
    <row r="138" spans="1:21">
      <c r="A138">
        <v>179</v>
      </c>
      <c r="B138" t="s">
        <v>250</v>
      </c>
      <c r="C138" t="s">
        <v>1213</v>
      </c>
      <c r="D138" t="s">
        <v>1234</v>
      </c>
      <c r="E138" t="s">
        <v>949</v>
      </c>
      <c r="F138" t="s">
        <v>948</v>
      </c>
      <c r="G138">
        <v>10</v>
      </c>
      <c r="H138" t="s">
        <v>249</v>
      </c>
      <c r="I138" t="s">
        <v>249</v>
      </c>
      <c r="J138"/>
      <c r="K138"/>
      <c r="L138" t="s">
        <v>1905</v>
      </c>
      <c r="M138"/>
      <c r="N138"/>
      <c r="O138"/>
      <c r="P138" t="s">
        <v>243</v>
      </c>
      <c r="Q138" t="s">
        <v>79</v>
      </c>
      <c r="R138" t="s">
        <v>2829</v>
      </c>
      <c r="S138" t="s">
        <v>1234</v>
      </c>
      <c r="T138" t="s">
        <v>2840</v>
      </c>
    </row>
    <row r="139" spans="1:21">
      <c r="A139">
        <v>109</v>
      </c>
      <c r="B139" t="s">
        <v>250</v>
      </c>
      <c r="C139" t="s">
        <v>753</v>
      </c>
      <c r="D139" t="s">
        <v>777</v>
      </c>
      <c r="E139" t="s">
        <v>949</v>
      </c>
      <c r="F139" t="s">
        <v>948</v>
      </c>
      <c r="G139">
        <v>10</v>
      </c>
      <c r="H139" t="s">
        <v>249</v>
      </c>
      <c r="I139" t="s">
        <v>249</v>
      </c>
      <c r="J139"/>
      <c r="K139"/>
      <c r="L139" t="s">
        <v>1844</v>
      </c>
      <c r="M139"/>
      <c r="N139"/>
      <c r="O139"/>
      <c r="P139" t="s">
        <v>249</v>
      </c>
      <c r="Q139" t="s">
        <v>79</v>
      </c>
      <c r="R139" t="s">
        <v>2662</v>
      </c>
      <c r="S139" t="s">
        <v>777</v>
      </c>
    </row>
    <row r="140" spans="1:21">
      <c r="A140">
        <v>431</v>
      </c>
      <c r="B140" t="s">
        <v>250</v>
      </c>
      <c r="C140" t="s">
        <v>2268</v>
      </c>
      <c r="D140" t="s">
        <v>2316</v>
      </c>
      <c r="E140" t="s">
        <v>988</v>
      </c>
      <c r="F140" t="s">
        <v>948</v>
      </c>
      <c r="G140">
        <v>9</v>
      </c>
      <c r="H140" t="s">
        <v>243</v>
      </c>
      <c r="I140" t="s">
        <v>249</v>
      </c>
      <c r="J140"/>
      <c r="K140"/>
      <c r="L140" t="s">
        <v>2383</v>
      </c>
      <c r="M140"/>
      <c r="N140"/>
      <c r="O140"/>
      <c r="P140" t="s">
        <v>243</v>
      </c>
      <c r="Q140" t="s">
        <v>2736</v>
      </c>
      <c r="R140" t="s">
        <v>441</v>
      </c>
      <c r="S140" t="s">
        <v>2316</v>
      </c>
      <c r="T140" t="s">
        <v>2841</v>
      </c>
      <c r="U140" t="s">
        <v>3024</v>
      </c>
    </row>
    <row r="141" spans="1:21">
      <c r="A141">
        <v>428</v>
      </c>
      <c r="B141" t="s">
        <v>250</v>
      </c>
      <c r="C141" t="s">
        <v>2265</v>
      </c>
      <c r="D141" t="s">
        <v>2314</v>
      </c>
      <c r="E141" t="s">
        <v>949</v>
      </c>
      <c r="F141" t="s">
        <v>948</v>
      </c>
      <c r="G141">
        <v>50</v>
      </c>
      <c r="H141" t="s">
        <v>249</v>
      </c>
      <c r="I141" t="s">
        <v>249</v>
      </c>
      <c r="J141"/>
      <c r="K141"/>
      <c r="L141" t="s">
        <v>2380</v>
      </c>
      <c r="M141"/>
      <c r="N141"/>
      <c r="O141"/>
      <c r="P141" t="s">
        <v>243</v>
      </c>
      <c r="Q141" t="s">
        <v>2736</v>
      </c>
      <c r="R141" t="s">
        <v>2829</v>
      </c>
      <c r="S141" t="s">
        <v>2314</v>
      </c>
      <c r="T141" t="s">
        <v>2842</v>
      </c>
      <c r="U141" t="s">
        <v>2980</v>
      </c>
    </row>
    <row r="142" spans="1:21">
      <c r="A142">
        <v>117</v>
      </c>
      <c r="B142" t="s">
        <v>250</v>
      </c>
      <c r="C142" t="s">
        <v>93</v>
      </c>
      <c r="D142" t="s">
        <v>527</v>
      </c>
      <c r="E142" t="s">
        <v>949</v>
      </c>
      <c r="F142" t="s">
        <v>948</v>
      </c>
      <c r="G142">
        <v>10</v>
      </c>
      <c r="H142" t="s">
        <v>249</v>
      </c>
      <c r="I142" t="s">
        <v>249</v>
      </c>
      <c r="J142"/>
      <c r="K142" t="s">
        <v>2598</v>
      </c>
      <c r="L142" t="s">
        <v>1851</v>
      </c>
      <c r="M142" t="s">
        <v>351</v>
      </c>
      <c r="N142"/>
      <c r="O142"/>
      <c r="P142" t="s">
        <v>243</v>
      </c>
      <c r="Q142" t="s">
        <v>79</v>
      </c>
      <c r="R142" t="s">
        <v>3034</v>
      </c>
      <c r="S142" t="s">
        <v>527</v>
      </c>
      <c r="T142" t="s">
        <v>3045</v>
      </c>
    </row>
    <row r="143" spans="1:21">
      <c r="A143">
        <v>88</v>
      </c>
      <c r="B143" t="s">
        <v>250</v>
      </c>
      <c r="C143" t="s">
        <v>120</v>
      </c>
      <c r="D143" t="s">
        <v>356</v>
      </c>
      <c r="E143" t="s">
        <v>949</v>
      </c>
      <c r="F143" t="s">
        <v>948</v>
      </c>
      <c r="G143">
        <v>10</v>
      </c>
      <c r="H143" t="s">
        <v>249</v>
      </c>
      <c r="I143" t="s">
        <v>249</v>
      </c>
      <c r="J143" t="s">
        <v>356</v>
      </c>
      <c r="K143" t="s">
        <v>2597</v>
      </c>
      <c r="L143" t="s">
        <v>1823</v>
      </c>
      <c r="M143" t="s">
        <v>351</v>
      </c>
      <c r="N143"/>
      <c r="O143"/>
      <c r="P143" t="s">
        <v>243</v>
      </c>
      <c r="Q143" t="s">
        <v>2736</v>
      </c>
      <c r="R143" t="s">
        <v>2692</v>
      </c>
      <c r="S143" t="s">
        <v>356</v>
      </c>
      <c r="T143" t="s">
        <v>2756</v>
      </c>
      <c r="U143" t="s">
        <v>2903</v>
      </c>
    </row>
    <row r="144" spans="1:21">
      <c r="A144">
        <v>422</v>
      </c>
      <c r="B144" t="s">
        <v>250</v>
      </c>
      <c r="C144" t="s">
        <v>2259</v>
      </c>
      <c r="D144" t="s">
        <v>2308</v>
      </c>
      <c r="E144" t="s">
        <v>949</v>
      </c>
      <c r="F144" t="s">
        <v>948</v>
      </c>
      <c r="G144">
        <v>20</v>
      </c>
      <c r="H144" t="s">
        <v>249</v>
      </c>
      <c r="I144" t="s">
        <v>249</v>
      </c>
      <c r="J144"/>
      <c r="K144"/>
      <c r="L144" t="s">
        <v>2374</v>
      </c>
      <c r="M144"/>
      <c r="N144"/>
      <c r="O144"/>
      <c r="P144" t="s">
        <v>243</v>
      </c>
      <c r="Q144" t="s">
        <v>79</v>
      </c>
      <c r="R144" t="s">
        <v>2829</v>
      </c>
      <c r="S144" t="s">
        <v>2308</v>
      </c>
      <c r="T144" t="s">
        <v>2843</v>
      </c>
    </row>
    <row r="145" spans="1:21">
      <c r="A145">
        <v>73</v>
      </c>
      <c r="B145" t="s">
        <v>250</v>
      </c>
      <c r="C145" t="s">
        <v>136</v>
      </c>
      <c r="D145" t="s">
        <v>194</v>
      </c>
      <c r="E145" t="s">
        <v>949</v>
      </c>
      <c r="F145" t="s">
        <v>948</v>
      </c>
      <c r="G145">
        <v>20</v>
      </c>
      <c r="H145" t="s">
        <v>249</v>
      </c>
      <c r="I145" t="s">
        <v>249</v>
      </c>
      <c r="J145"/>
      <c r="K145"/>
      <c r="L145" t="s">
        <v>1809</v>
      </c>
      <c r="M145"/>
      <c r="N145"/>
      <c r="O145"/>
      <c r="P145" t="s">
        <v>243</v>
      </c>
      <c r="Q145" t="s">
        <v>2736</v>
      </c>
      <c r="R145" t="s">
        <v>2829</v>
      </c>
      <c r="S145" t="s">
        <v>194</v>
      </c>
      <c r="T145" t="s">
        <v>2846</v>
      </c>
      <c r="U145" t="s">
        <v>2907</v>
      </c>
    </row>
    <row r="146" spans="1:21">
      <c r="A146">
        <v>172</v>
      </c>
      <c r="B146" t="s">
        <v>250</v>
      </c>
      <c r="C146" t="s">
        <v>764</v>
      </c>
      <c r="D146" t="s">
        <v>814</v>
      </c>
      <c r="E146" t="s">
        <v>949</v>
      </c>
      <c r="F146" t="s">
        <v>948</v>
      </c>
      <c r="G146">
        <v>10</v>
      </c>
      <c r="H146" t="s">
        <v>249</v>
      </c>
      <c r="I146" t="s">
        <v>249</v>
      </c>
      <c r="J146"/>
      <c r="K146"/>
      <c r="L146" t="s">
        <v>1898</v>
      </c>
      <c r="M146"/>
      <c r="N146"/>
      <c r="O146"/>
      <c r="P146" t="s">
        <v>243</v>
      </c>
      <c r="Q146" t="s">
        <v>2661</v>
      </c>
      <c r="R146" t="s">
        <v>2662</v>
      </c>
      <c r="S146" t="s">
        <v>814</v>
      </c>
      <c r="U146" t="s">
        <v>2904</v>
      </c>
    </row>
    <row r="147" spans="1:21">
      <c r="A147">
        <v>120</v>
      </c>
      <c r="B147" t="s">
        <v>250</v>
      </c>
      <c r="C147" t="s">
        <v>2414</v>
      </c>
      <c r="D147" t="s">
        <v>2426</v>
      </c>
      <c r="E147" t="s">
        <v>987</v>
      </c>
      <c r="F147" t="s">
        <v>948</v>
      </c>
      <c r="G147">
        <v>10</v>
      </c>
      <c r="H147" t="s">
        <v>243</v>
      </c>
      <c r="I147" t="s">
        <v>249</v>
      </c>
      <c r="J147"/>
      <c r="K147"/>
      <c r="L147" t="s">
        <v>1854</v>
      </c>
      <c r="M147"/>
      <c r="N147"/>
      <c r="O147"/>
      <c r="P147" t="s">
        <v>243</v>
      </c>
      <c r="Q147" t="s">
        <v>79</v>
      </c>
      <c r="R147" t="s">
        <v>441</v>
      </c>
      <c r="S147" t="s">
        <v>2695</v>
      </c>
      <c r="T147" t="s">
        <v>2844</v>
      </c>
    </row>
    <row r="148" spans="1:21">
      <c r="A148">
        <v>82</v>
      </c>
      <c r="B148" t="s">
        <v>250</v>
      </c>
      <c r="C148" t="s">
        <v>750</v>
      </c>
      <c r="D148" t="s">
        <v>773</v>
      </c>
      <c r="E148" t="s">
        <v>949</v>
      </c>
      <c r="F148" t="s">
        <v>948</v>
      </c>
      <c r="G148">
        <v>10</v>
      </c>
      <c r="H148" t="s">
        <v>249</v>
      </c>
      <c r="I148" t="s">
        <v>249</v>
      </c>
      <c r="J148" t="s">
        <v>767</v>
      </c>
      <c r="K148" t="s">
        <v>2597</v>
      </c>
      <c r="L148" t="s">
        <v>1817</v>
      </c>
      <c r="M148" t="s">
        <v>351</v>
      </c>
      <c r="N148"/>
      <c r="O148"/>
      <c r="P148" t="s">
        <v>243</v>
      </c>
      <c r="Q148" t="s">
        <v>2736</v>
      </c>
      <c r="R148" t="s">
        <v>2692</v>
      </c>
      <c r="S148" t="s">
        <v>767</v>
      </c>
      <c r="T148" t="s">
        <v>2757</v>
      </c>
      <c r="U148" t="s">
        <v>2905</v>
      </c>
    </row>
    <row r="149" spans="1:21">
      <c r="A149">
        <v>421</v>
      </c>
      <c r="B149" t="s">
        <v>250</v>
      </c>
      <c r="C149" t="s">
        <v>2258</v>
      </c>
      <c r="D149" t="s">
        <v>2307</v>
      </c>
      <c r="E149" t="s">
        <v>949</v>
      </c>
      <c r="F149" t="s">
        <v>948</v>
      </c>
      <c r="G149">
        <v>24</v>
      </c>
      <c r="H149" t="s">
        <v>249</v>
      </c>
      <c r="I149" t="s">
        <v>249</v>
      </c>
      <c r="J149"/>
      <c r="K149" t="s">
        <v>2598</v>
      </c>
      <c r="L149" t="s">
        <v>2373</v>
      </c>
      <c r="M149"/>
      <c r="N149"/>
      <c r="O149"/>
      <c r="P149" t="s">
        <v>243</v>
      </c>
      <c r="Q149" t="s">
        <v>2736</v>
      </c>
      <c r="R149" t="s">
        <v>3034</v>
      </c>
      <c r="S149" t="s">
        <v>2307</v>
      </c>
      <c r="T149" t="s">
        <v>2845</v>
      </c>
      <c r="U149" t="s">
        <v>2906</v>
      </c>
    </row>
    <row r="150" spans="1:21">
      <c r="A150">
        <v>99</v>
      </c>
      <c r="B150" t="s">
        <v>250</v>
      </c>
      <c r="C150" t="s">
        <v>96</v>
      </c>
      <c r="D150" t="s">
        <v>185</v>
      </c>
      <c r="E150" t="s">
        <v>949</v>
      </c>
      <c r="F150" t="s">
        <v>948</v>
      </c>
      <c r="G150">
        <v>10</v>
      </c>
      <c r="H150" t="s">
        <v>249</v>
      </c>
      <c r="I150" t="s">
        <v>249</v>
      </c>
      <c r="J150" t="s">
        <v>185</v>
      </c>
      <c r="K150" t="s">
        <v>2597</v>
      </c>
      <c r="L150" t="s">
        <v>1833</v>
      </c>
      <c r="M150" t="s">
        <v>351</v>
      </c>
      <c r="N150"/>
      <c r="O150"/>
      <c r="P150" t="s">
        <v>243</v>
      </c>
      <c r="Q150" t="s">
        <v>79</v>
      </c>
      <c r="R150" t="s">
        <v>2692</v>
      </c>
      <c r="S150" t="s">
        <v>185</v>
      </c>
      <c r="T150" t="s">
        <v>2758</v>
      </c>
    </row>
    <row r="151" spans="1:21">
      <c r="A151">
        <v>131</v>
      </c>
      <c r="B151" t="s">
        <v>250</v>
      </c>
      <c r="C151" t="s">
        <v>476</v>
      </c>
      <c r="D151" t="s">
        <v>477</v>
      </c>
      <c r="E151" t="s">
        <v>949</v>
      </c>
      <c r="F151" t="s">
        <v>948</v>
      </c>
      <c r="G151">
        <v>10</v>
      </c>
      <c r="H151" t="s">
        <v>249</v>
      </c>
      <c r="I151" t="s">
        <v>249</v>
      </c>
      <c r="J151"/>
      <c r="K151"/>
      <c r="L151" t="s">
        <v>1861</v>
      </c>
      <c r="M151"/>
      <c r="N151"/>
      <c r="O151"/>
      <c r="P151" t="s">
        <v>243</v>
      </c>
      <c r="Q151" t="s">
        <v>2736</v>
      </c>
      <c r="R151" t="s">
        <v>2829</v>
      </c>
      <c r="S151" t="s">
        <v>477</v>
      </c>
      <c r="T151" t="s">
        <v>2847</v>
      </c>
      <c r="U151" t="s">
        <v>3060</v>
      </c>
    </row>
    <row r="152" spans="1:21">
      <c r="A152">
        <v>204</v>
      </c>
      <c r="B152" t="s">
        <v>250</v>
      </c>
      <c r="C152" t="s">
        <v>1259</v>
      </c>
      <c r="D152" t="s">
        <v>1304</v>
      </c>
      <c r="E152" t="s">
        <v>949</v>
      </c>
      <c r="F152" t="s">
        <v>948</v>
      </c>
      <c r="G152">
        <v>50</v>
      </c>
      <c r="H152" t="s">
        <v>249</v>
      </c>
      <c r="I152" t="s">
        <v>249</v>
      </c>
      <c r="J152"/>
      <c r="K152"/>
      <c r="L152" t="s">
        <v>1922</v>
      </c>
      <c r="M152"/>
      <c r="N152"/>
      <c r="O152"/>
      <c r="P152" t="s">
        <v>243</v>
      </c>
      <c r="Q152" t="s">
        <v>2736</v>
      </c>
      <c r="R152" t="s">
        <v>2829</v>
      </c>
      <c r="S152" t="s">
        <v>1304</v>
      </c>
      <c r="T152" t="s">
        <v>2849</v>
      </c>
    </row>
    <row r="153" spans="1:21">
      <c r="A153">
        <v>85</v>
      </c>
      <c r="B153" t="s">
        <v>250</v>
      </c>
      <c r="C153" t="s">
        <v>121</v>
      </c>
      <c r="D153" t="s">
        <v>528</v>
      </c>
      <c r="E153" t="s">
        <v>949</v>
      </c>
      <c r="F153" t="s">
        <v>948</v>
      </c>
      <c r="G153">
        <v>10</v>
      </c>
      <c r="H153" t="s">
        <v>249</v>
      </c>
      <c r="I153" t="s">
        <v>249</v>
      </c>
      <c r="J153"/>
      <c r="K153" t="s">
        <v>2598</v>
      </c>
      <c r="L153" t="s">
        <v>1820</v>
      </c>
      <c r="M153" t="s">
        <v>351</v>
      </c>
      <c r="N153"/>
      <c r="O153"/>
      <c r="P153" t="s">
        <v>243</v>
      </c>
      <c r="Q153" t="s">
        <v>2736</v>
      </c>
      <c r="R153" t="s">
        <v>3034</v>
      </c>
      <c r="S153" t="s">
        <v>528</v>
      </c>
      <c r="T153" t="s">
        <v>2848</v>
      </c>
      <c r="U153" t="s">
        <v>3046</v>
      </c>
    </row>
    <row r="154" spans="1:21">
      <c r="A154">
        <v>149</v>
      </c>
      <c r="B154" t="s">
        <v>250</v>
      </c>
      <c r="C154" t="s">
        <v>107</v>
      </c>
      <c r="D154" t="s">
        <v>3018</v>
      </c>
      <c r="E154" t="s">
        <v>949</v>
      </c>
      <c r="F154" t="s">
        <v>948</v>
      </c>
      <c r="G154">
        <v>10</v>
      </c>
      <c r="H154" t="s">
        <v>249</v>
      </c>
      <c r="I154" t="s">
        <v>249</v>
      </c>
      <c r="J154"/>
      <c r="K154"/>
      <c r="L154" t="s">
        <v>1879</v>
      </c>
      <c r="M154"/>
      <c r="N154"/>
      <c r="O154"/>
      <c r="P154" t="s">
        <v>243</v>
      </c>
      <c r="Q154" t="s">
        <v>2736</v>
      </c>
      <c r="R154" t="s">
        <v>2662</v>
      </c>
      <c r="S154" t="s">
        <v>3018</v>
      </c>
      <c r="T154" t="s">
        <v>3025</v>
      </c>
      <c r="U154" t="s">
        <v>3026</v>
      </c>
    </row>
    <row r="155" spans="1:21">
      <c r="A155">
        <v>145</v>
      </c>
      <c r="B155" t="s">
        <v>250</v>
      </c>
      <c r="C155" t="s">
        <v>108</v>
      </c>
      <c r="D155" t="s">
        <v>3017</v>
      </c>
      <c r="E155" t="s">
        <v>949</v>
      </c>
      <c r="F155" t="s">
        <v>948</v>
      </c>
      <c r="G155">
        <v>10</v>
      </c>
      <c r="H155" t="s">
        <v>249</v>
      </c>
      <c r="I155" t="s">
        <v>249</v>
      </c>
      <c r="J155"/>
      <c r="K155"/>
      <c r="L155" t="s">
        <v>1875</v>
      </c>
      <c r="M155"/>
      <c r="N155"/>
      <c r="O155"/>
      <c r="P155" t="s">
        <v>243</v>
      </c>
      <c r="Q155" t="s">
        <v>2736</v>
      </c>
      <c r="R155" t="s">
        <v>2662</v>
      </c>
      <c r="S155" t="s">
        <v>3017</v>
      </c>
      <c r="T155" t="s">
        <v>3027</v>
      </c>
      <c r="U155" t="s">
        <v>3028</v>
      </c>
    </row>
    <row r="156" spans="1:21">
      <c r="A156">
        <v>86</v>
      </c>
      <c r="B156" t="s">
        <v>250</v>
      </c>
      <c r="C156" t="s">
        <v>138</v>
      </c>
      <c r="D156" t="s">
        <v>774</v>
      </c>
      <c r="E156" t="s">
        <v>949</v>
      </c>
      <c r="F156" t="s">
        <v>948</v>
      </c>
      <c r="G156">
        <v>30</v>
      </c>
      <c r="H156" t="s">
        <v>249</v>
      </c>
      <c r="I156" t="s">
        <v>249</v>
      </c>
      <c r="J156"/>
      <c r="K156"/>
      <c r="L156" t="s">
        <v>1821</v>
      </c>
      <c r="M156"/>
      <c r="N156"/>
      <c r="O156"/>
      <c r="P156" t="s">
        <v>243</v>
      </c>
      <c r="Q156" t="s">
        <v>2736</v>
      </c>
      <c r="R156" t="s">
        <v>2829</v>
      </c>
      <c r="S156" t="s">
        <v>774</v>
      </c>
      <c r="T156" t="s">
        <v>2858</v>
      </c>
      <c r="U156" t="s">
        <v>2982</v>
      </c>
    </row>
    <row r="157" spans="1:21">
      <c r="A157">
        <v>108</v>
      </c>
      <c r="B157" t="s">
        <v>250</v>
      </c>
      <c r="C157" t="s">
        <v>752</v>
      </c>
      <c r="D157" t="s">
        <v>776</v>
      </c>
      <c r="E157" t="s">
        <v>988</v>
      </c>
      <c r="F157" t="s">
        <v>948</v>
      </c>
      <c r="G157">
        <v>10</v>
      </c>
      <c r="H157" t="s">
        <v>243</v>
      </c>
      <c r="I157" t="s">
        <v>249</v>
      </c>
      <c r="J157"/>
      <c r="K157"/>
      <c r="L157" t="s">
        <v>1843</v>
      </c>
      <c r="M157"/>
      <c r="N157"/>
      <c r="O157"/>
      <c r="P157" t="s">
        <v>249</v>
      </c>
    </row>
    <row r="158" spans="1:21">
      <c r="A158">
        <v>406</v>
      </c>
      <c r="B158" t="s">
        <v>250</v>
      </c>
      <c r="C158" t="s">
        <v>2243</v>
      </c>
      <c r="D158" t="s">
        <v>2284</v>
      </c>
      <c r="E158" t="s">
        <v>949</v>
      </c>
      <c r="F158" t="s">
        <v>948</v>
      </c>
      <c r="G158">
        <v>16</v>
      </c>
      <c r="H158" t="s">
        <v>249</v>
      </c>
      <c r="I158" t="s">
        <v>249</v>
      </c>
      <c r="J158" t="s">
        <v>2284</v>
      </c>
      <c r="K158" t="s">
        <v>2597</v>
      </c>
      <c r="L158" t="s">
        <v>2358</v>
      </c>
      <c r="M158" t="s">
        <v>351</v>
      </c>
      <c r="N158"/>
      <c r="O158"/>
      <c r="P158" t="s">
        <v>243</v>
      </c>
      <c r="Q158" t="s">
        <v>2736</v>
      </c>
      <c r="R158" t="s">
        <v>2692</v>
      </c>
      <c r="S158" t="s">
        <v>2284</v>
      </c>
      <c r="T158" t="s">
        <v>2759</v>
      </c>
      <c r="U158" t="s">
        <v>2908</v>
      </c>
    </row>
    <row r="159" spans="1:21">
      <c r="A159">
        <v>80</v>
      </c>
      <c r="B159" t="s">
        <v>250</v>
      </c>
      <c r="C159" t="s">
        <v>92</v>
      </c>
      <c r="D159" t="s">
        <v>184</v>
      </c>
      <c r="E159" t="s">
        <v>949</v>
      </c>
      <c r="F159" t="s">
        <v>948</v>
      </c>
      <c r="G159">
        <v>10</v>
      </c>
      <c r="H159" t="s">
        <v>249</v>
      </c>
      <c r="I159" t="s">
        <v>249</v>
      </c>
      <c r="J159" t="s">
        <v>184</v>
      </c>
      <c r="K159" t="s">
        <v>2597</v>
      </c>
      <c r="L159" t="s">
        <v>1815</v>
      </c>
      <c r="M159" t="s">
        <v>351</v>
      </c>
      <c r="N159"/>
      <c r="O159"/>
      <c r="P159" t="s">
        <v>243</v>
      </c>
      <c r="Q159" t="s">
        <v>79</v>
      </c>
      <c r="R159" t="s">
        <v>2692</v>
      </c>
      <c r="S159" t="s">
        <v>184</v>
      </c>
      <c r="T159" t="s">
        <v>2760</v>
      </c>
    </row>
    <row r="160" spans="1:21">
      <c r="A160">
        <v>76</v>
      </c>
      <c r="B160" t="s">
        <v>250</v>
      </c>
      <c r="C160" t="s">
        <v>118</v>
      </c>
      <c r="D160" t="s">
        <v>1221</v>
      </c>
      <c r="E160" t="s">
        <v>949</v>
      </c>
      <c r="F160" t="s">
        <v>948</v>
      </c>
      <c r="G160">
        <v>10</v>
      </c>
      <c r="H160" t="s">
        <v>249</v>
      </c>
      <c r="I160" t="s">
        <v>249</v>
      </c>
      <c r="J160" t="s">
        <v>1221</v>
      </c>
      <c r="K160" t="s">
        <v>2597</v>
      </c>
      <c r="L160" t="s">
        <v>1811</v>
      </c>
      <c r="M160" t="s">
        <v>351</v>
      </c>
      <c r="N160"/>
      <c r="O160"/>
      <c r="P160" t="s">
        <v>243</v>
      </c>
      <c r="Q160" t="s">
        <v>2736</v>
      </c>
      <c r="R160" t="s">
        <v>2692</v>
      </c>
      <c r="S160" t="s">
        <v>1221</v>
      </c>
      <c r="T160" t="s">
        <v>2761</v>
      </c>
      <c r="U160" t="s">
        <v>2815</v>
      </c>
    </row>
    <row r="161" spans="1:21">
      <c r="A161">
        <v>91</v>
      </c>
      <c r="B161" t="s">
        <v>250</v>
      </c>
      <c r="C161" t="s">
        <v>147</v>
      </c>
      <c r="D161" t="s">
        <v>449</v>
      </c>
      <c r="E161" t="s">
        <v>949</v>
      </c>
      <c r="F161" t="s">
        <v>948</v>
      </c>
      <c r="G161">
        <v>10</v>
      </c>
      <c r="H161" t="s">
        <v>249</v>
      </c>
      <c r="I161" t="s">
        <v>249</v>
      </c>
      <c r="J161" t="s">
        <v>449</v>
      </c>
      <c r="K161" t="s">
        <v>2597</v>
      </c>
      <c r="L161" t="s">
        <v>1826</v>
      </c>
      <c r="M161" t="s">
        <v>351</v>
      </c>
      <c r="N161"/>
      <c r="O161"/>
      <c r="P161" t="s">
        <v>243</v>
      </c>
      <c r="Q161" t="s">
        <v>79</v>
      </c>
      <c r="R161" t="s">
        <v>2692</v>
      </c>
      <c r="S161" t="s">
        <v>449</v>
      </c>
      <c r="T161" t="s">
        <v>2762</v>
      </c>
    </row>
    <row r="162" spans="1:21">
      <c r="A162">
        <v>95</v>
      </c>
      <c r="B162" t="s">
        <v>250</v>
      </c>
      <c r="C162" t="s">
        <v>148</v>
      </c>
      <c r="D162" t="s">
        <v>453</v>
      </c>
      <c r="E162" t="s">
        <v>949</v>
      </c>
      <c r="F162" t="s">
        <v>948</v>
      </c>
      <c r="G162">
        <v>10</v>
      </c>
      <c r="H162" t="s">
        <v>249</v>
      </c>
      <c r="I162" t="s">
        <v>249</v>
      </c>
      <c r="J162" t="s">
        <v>453</v>
      </c>
      <c r="K162" t="s">
        <v>2597</v>
      </c>
      <c r="L162" t="s">
        <v>1830</v>
      </c>
      <c r="M162" t="s">
        <v>351</v>
      </c>
      <c r="N162"/>
      <c r="O162"/>
      <c r="P162" t="s">
        <v>243</v>
      </c>
      <c r="Q162" t="s">
        <v>79</v>
      </c>
      <c r="R162" t="s">
        <v>2692</v>
      </c>
      <c r="S162" t="s">
        <v>453</v>
      </c>
      <c r="T162" t="s">
        <v>2763</v>
      </c>
    </row>
    <row r="163" spans="1:21">
      <c r="A163">
        <v>92</v>
      </c>
      <c r="B163" t="s">
        <v>250</v>
      </c>
      <c r="C163" t="s">
        <v>149</v>
      </c>
      <c r="D163" t="s">
        <v>450</v>
      </c>
      <c r="E163" t="s">
        <v>949</v>
      </c>
      <c r="F163" t="s">
        <v>948</v>
      </c>
      <c r="G163">
        <v>10</v>
      </c>
      <c r="H163" t="s">
        <v>249</v>
      </c>
      <c r="I163" t="s">
        <v>249</v>
      </c>
      <c r="J163" t="s">
        <v>450</v>
      </c>
      <c r="K163" t="s">
        <v>2597</v>
      </c>
      <c r="L163" t="s">
        <v>1827</v>
      </c>
      <c r="M163" t="s">
        <v>351</v>
      </c>
      <c r="N163"/>
      <c r="O163"/>
      <c r="P163" t="s">
        <v>243</v>
      </c>
      <c r="Q163" t="s">
        <v>79</v>
      </c>
      <c r="R163" t="s">
        <v>2692</v>
      </c>
      <c r="S163" t="s">
        <v>450</v>
      </c>
      <c r="T163" t="s">
        <v>2764</v>
      </c>
    </row>
    <row r="164" spans="1:21">
      <c r="A164">
        <v>89</v>
      </c>
      <c r="B164" t="s">
        <v>250</v>
      </c>
      <c r="C164" t="s">
        <v>150</v>
      </c>
      <c r="D164" t="s">
        <v>555</v>
      </c>
      <c r="E164" t="s">
        <v>949</v>
      </c>
      <c r="F164" t="s">
        <v>948</v>
      </c>
      <c r="G164">
        <v>10</v>
      </c>
      <c r="H164" t="s">
        <v>249</v>
      </c>
      <c r="I164" t="s">
        <v>249</v>
      </c>
      <c r="J164" t="s">
        <v>555</v>
      </c>
      <c r="K164" t="s">
        <v>2597</v>
      </c>
      <c r="L164" t="s">
        <v>1824</v>
      </c>
      <c r="M164" t="s">
        <v>351</v>
      </c>
      <c r="N164"/>
      <c r="O164"/>
      <c r="P164" t="s">
        <v>243</v>
      </c>
      <c r="Q164" t="s">
        <v>79</v>
      </c>
      <c r="R164" t="s">
        <v>2692</v>
      </c>
      <c r="S164" t="s">
        <v>555</v>
      </c>
      <c r="T164" t="s">
        <v>2765</v>
      </c>
    </row>
    <row r="165" spans="1:21">
      <c r="A165">
        <v>93</v>
      </c>
      <c r="B165" t="s">
        <v>250</v>
      </c>
      <c r="C165" t="s">
        <v>151</v>
      </c>
      <c r="D165" t="s">
        <v>451</v>
      </c>
      <c r="E165" t="s">
        <v>949</v>
      </c>
      <c r="F165" t="s">
        <v>948</v>
      </c>
      <c r="G165">
        <v>10</v>
      </c>
      <c r="H165" t="s">
        <v>249</v>
      </c>
      <c r="I165" t="s">
        <v>249</v>
      </c>
      <c r="J165" t="s">
        <v>451</v>
      </c>
      <c r="K165" t="s">
        <v>2597</v>
      </c>
      <c r="L165" t="s">
        <v>1828</v>
      </c>
      <c r="M165" t="s">
        <v>351</v>
      </c>
      <c r="N165"/>
      <c r="O165"/>
      <c r="P165" t="s">
        <v>243</v>
      </c>
      <c r="Q165" t="s">
        <v>79</v>
      </c>
      <c r="R165" t="s">
        <v>2692</v>
      </c>
      <c r="S165" t="s">
        <v>451</v>
      </c>
      <c r="T165" t="s">
        <v>2766</v>
      </c>
    </row>
    <row r="166" spans="1:21">
      <c r="A166">
        <v>94</v>
      </c>
      <c r="B166" t="s">
        <v>250</v>
      </c>
      <c r="C166" t="s">
        <v>152</v>
      </c>
      <c r="D166" t="s">
        <v>452</v>
      </c>
      <c r="E166" t="s">
        <v>949</v>
      </c>
      <c r="F166" t="s">
        <v>948</v>
      </c>
      <c r="G166">
        <v>10</v>
      </c>
      <c r="H166" t="s">
        <v>249</v>
      </c>
      <c r="I166" t="s">
        <v>249</v>
      </c>
      <c r="J166" t="s">
        <v>452</v>
      </c>
      <c r="K166" t="s">
        <v>2597</v>
      </c>
      <c r="L166" t="s">
        <v>1829</v>
      </c>
      <c r="M166" t="s">
        <v>351</v>
      </c>
      <c r="N166"/>
      <c r="O166"/>
      <c r="P166" t="s">
        <v>243</v>
      </c>
      <c r="Q166" t="s">
        <v>79</v>
      </c>
      <c r="R166" t="s">
        <v>2692</v>
      </c>
      <c r="S166" t="s">
        <v>452</v>
      </c>
      <c r="T166" t="s">
        <v>2767</v>
      </c>
    </row>
    <row r="167" spans="1:21">
      <c r="A167">
        <v>90</v>
      </c>
      <c r="B167" t="s">
        <v>250</v>
      </c>
      <c r="C167" t="s">
        <v>153</v>
      </c>
      <c r="D167" t="s">
        <v>448</v>
      </c>
      <c r="E167" t="s">
        <v>949</v>
      </c>
      <c r="F167" t="s">
        <v>948</v>
      </c>
      <c r="G167">
        <v>10</v>
      </c>
      <c r="H167" t="s">
        <v>249</v>
      </c>
      <c r="I167" t="s">
        <v>249</v>
      </c>
      <c r="J167" t="s">
        <v>448</v>
      </c>
      <c r="K167" t="s">
        <v>2597</v>
      </c>
      <c r="L167" t="s">
        <v>1825</v>
      </c>
      <c r="M167" t="s">
        <v>351</v>
      </c>
      <c r="N167"/>
      <c r="O167"/>
      <c r="P167" t="s">
        <v>243</v>
      </c>
      <c r="Q167" t="s">
        <v>79</v>
      </c>
      <c r="R167" t="s">
        <v>2692</v>
      </c>
      <c r="S167" t="s">
        <v>448</v>
      </c>
      <c r="T167" t="s">
        <v>2768</v>
      </c>
    </row>
    <row r="168" spans="1:21">
      <c r="A168">
        <v>69</v>
      </c>
      <c r="B168" t="s">
        <v>250</v>
      </c>
      <c r="C168" t="s">
        <v>749</v>
      </c>
      <c r="D168" t="s">
        <v>1804</v>
      </c>
      <c r="E168" t="s">
        <v>949</v>
      </c>
      <c r="F168" t="s">
        <v>948</v>
      </c>
      <c r="G168">
        <v>15</v>
      </c>
      <c r="H168" t="s">
        <v>249</v>
      </c>
      <c r="I168" t="s">
        <v>249</v>
      </c>
      <c r="J168"/>
      <c r="K168"/>
      <c r="L168" t="s">
        <v>1805</v>
      </c>
      <c r="M168"/>
      <c r="N168"/>
      <c r="O168"/>
      <c r="P168" t="s">
        <v>249</v>
      </c>
    </row>
    <row r="169" spans="1:21">
      <c r="A169">
        <v>64</v>
      </c>
      <c r="B169" t="s">
        <v>250</v>
      </c>
      <c r="C169" t="s">
        <v>87</v>
      </c>
      <c r="D169" t="s">
        <v>268</v>
      </c>
      <c r="E169" t="s">
        <v>949</v>
      </c>
      <c r="F169" t="s">
        <v>948</v>
      </c>
      <c r="G169">
        <v>8</v>
      </c>
      <c r="H169" t="s">
        <v>243</v>
      </c>
      <c r="I169" t="s">
        <v>243</v>
      </c>
      <c r="J169"/>
      <c r="K169"/>
      <c r="L169" t="s">
        <v>1801</v>
      </c>
      <c r="M169"/>
      <c r="N169"/>
      <c r="O169"/>
      <c r="P169" t="s">
        <v>249</v>
      </c>
    </row>
    <row r="170" spans="1:21">
      <c r="A170">
        <v>168</v>
      </c>
      <c r="B170" t="s">
        <v>250</v>
      </c>
      <c r="C170" t="s">
        <v>760</v>
      </c>
      <c r="D170" t="s">
        <v>772</v>
      </c>
      <c r="E170" t="s">
        <v>949</v>
      </c>
      <c r="F170" t="s">
        <v>948</v>
      </c>
      <c r="G170">
        <v>10</v>
      </c>
      <c r="H170" t="s">
        <v>249</v>
      </c>
      <c r="I170" t="s">
        <v>249</v>
      </c>
      <c r="J170" t="s">
        <v>772</v>
      </c>
      <c r="K170" t="s">
        <v>2597</v>
      </c>
      <c r="L170" t="s">
        <v>1894</v>
      </c>
      <c r="M170" t="s">
        <v>351</v>
      </c>
      <c r="N170"/>
      <c r="O170"/>
      <c r="P170" t="s">
        <v>243</v>
      </c>
      <c r="Q170" t="s">
        <v>2661</v>
      </c>
      <c r="R170" t="s">
        <v>2692</v>
      </c>
      <c r="S170" t="s">
        <v>772</v>
      </c>
      <c r="U170" t="s">
        <v>2909</v>
      </c>
    </row>
    <row r="171" spans="1:21">
      <c r="A171">
        <v>185</v>
      </c>
      <c r="B171" t="s">
        <v>250</v>
      </c>
      <c r="C171" t="s">
        <v>1219</v>
      </c>
      <c r="D171" t="s">
        <v>1240</v>
      </c>
      <c r="E171" t="s">
        <v>949</v>
      </c>
      <c r="F171" t="s">
        <v>948</v>
      </c>
      <c r="G171">
        <v>50</v>
      </c>
      <c r="H171" t="s">
        <v>249</v>
      </c>
      <c r="I171" t="s">
        <v>249</v>
      </c>
      <c r="J171"/>
      <c r="K171"/>
      <c r="L171" t="s">
        <v>1911</v>
      </c>
      <c r="M171"/>
      <c r="N171"/>
      <c r="O171"/>
      <c r="P171" t="s">
        <v>243</v>
      </c>
      <c r="Q171" t="s">
        <v>2736</v>
      </c>
      <c r="R171" t="s">
        <v>2829</v>
      </c>
      <c r="S171" t="s">
        <v>1240</v>
      </c>
      <c r="T171" t="s">
        <v>2850</v>
      </c>
      <c r="U171" t="s">
        <v>3047</v>
      </c>
    </row>
    <row r="172" spans="1:21">
      <c r="A172">
        <v>121</v>
      </c>
      <c r="B172" t="s">
        <v>250</v>
      </c>
      <c r="C172" t="s">
        <v>156</v>
      </c>
      <c r="D172" t="s">
        <v>781</v>
      </c>
      <c r="E172" t="s">
        <v>949</v>
      </c>
      <c r="F172" t="s">
        <v>948</v>
      </c>
      <c r="G172">
        <v>10</v>
      </c>
      <c r="H172" t="s">
        <v>249</v>
      </c>
      <c r="I172" t="s">
        <v>249</v>
      </c>
      <c r="J172" t="s">
        <v>1358</v>
      </c>
      <c r="K172" t="s">
        <v>2597</v>
      </c>
      <c r="L172" t="s">
        <v>1853</v>
      </c>
      <c r="M172"/>
      <c r="N172"/>
      <c r="O172"/>
      <c r="P172" t="s">
        <v>243</v>
      </c>
      <c r="Q172" t="s">
        <v>79</v>
      </c>
      <c r="R172" t="s">
        <v>2692</v>
      </c>
      <c r="S172" t="s">
        <v>1358</v>
      </c>
      <c r="T172" t="s">
        <v>2769</v>
      </c>
    </row>
    <row r="173" spans="1:21">
      <c r="A173">
        <v>101</v>
      </c>
      <c r="B173" t="s">
        <v>250</v>
      </c>
      <c r="C173" t="s">
        <v>98</v>
      </c>
      <c r="D173" t="s">
        <v>186</v>
      </c>
      <c r="E173" t="s">
        <v>949</v>
      </c>
      <c r="F173" t="s">
        <v>948</v>
      </c>
      <c r="G173">
        <v>10</v>
      </c>
      <c r="H173" t="s">
        <v>249</v>
      </c>
      <c r="I173" t="s">
        <v>249</v>
      </c>
      <c r="J173" t="s">
        <v>186</v>
      </c>
      <c r="K173" t="s">
        <v>2597</v>
      </c>
      <c r="L173" t="s">
        <v>1835</v>
      </c>
      <c r="M173" t="s">
        <v>351</v>
      </c>
      <c r="N173"/>
      <c r="O173"/>
      <c r="P173" t="s">
        <v>243</v>
      </c>
      <c r="Q173" t="s">
        <v>79</v>
      </c>
      <c r="R173" t="s">
        <v>2692</v>
      </c>
      <c r="S173" t="s">
        <v>186</v>
      </c>
      <c r="T173" t="s">
        <v>2770</v>
      </c>
    </row>
    <row r="174" spans="1:21">
      <c r="A174">
        <v>102</v>
      </c>
      <c r="B174" t="s">
        <v>250</v>
      </c>
      <c r="C174" t="s">
        <v>99</v>
      </c>
      <c r="D174" t="s">
        <v>187</v>
      </c>
      <c r="E174" t="s">
        <v>949</v>
      </c>
      <c r="F174" t="s">
        <v>948</v>
      </c>
      <c r="G174">
        <v>10</v>
      </c>
      <c r="H174" t="s">
        <v>249</v>
      </c>
      <c r="I174" t="s">
        <v>249</v>
      </c>
      <c r="J174" t="s">
        <v>187</v>
      </c>
      <c r="K174" t="s">
        <v>2597</v>
      </c>
      <c r="L174" t="s">
        <v>1836</v>
      </c>
      <c r="M174" t="s">
        <v>351</v>
      </c>
      <c r="N174"/>
      <c r="O174"/>
      <c r="P174" t="s">
        <v>243</v>
      </c>
      <c r="Q174" t="s">
        <v>79</v>
      </c>
      <c r="R174" t="s">
        <v>2692</v>
      </c>
      <c r="S174" t="s">
        <v>187</v>
      </c>
      <c r="T174" t="s">
        <v>2771</v>
      </c>
    </row>
    <row r="175" spans="1:21">
      <c r="A175">
        <v>103</v>
      </c>
      <c r="B175" t="s">
        <v>250</v>
      </c>
      <c r="C175" t="s">
        <v>100</v>
      </c>
      <c r="D175" t="s">
        <v>188</v>
      </c>
      <c r="E175" t="s">
        <v>949</v>
      </c>
      <c r="F175" t="s">
        <v>948</v>
      </c>
      <c r="G175">
        <v>10</v>
      </c>
      <c r="H175" t="s">
        <v>249</v>
      </c>
      <c r="I175" t="s">
        <v>249</v>
      </c>
      <c r="J175" t="s">
        <v>188</v>
      </c>
      <c r="K175" t="s">
        <v>2597</v>
      </c>
      <c r="L175" t="s">
        <v>1837</v>
      </c>
      <c r="M175" t="s">
        <v>351</v>
      </c>
      <c r="N175"/>
      <c r="O175"/>
      <c r="P175" t="s">
        <v>243</v>
      </c>
      <c r="Q175" t="s">
        <v>79</v>
      </c>
      <c r="R175" t="s">
        <v>2692</v>
      </c>
      <c r="S175" t="s">
        <v>188</v>
      </c>
      <c r="T175" t="s">
        <v>2772</v>
      </c>
    </row>
    <row r="176" spans="1:21">
      <c r="A176">
        <v>104</v>
      </c>
      <c r="B176" t="s">
        <v>250</v>
      </c>
      <c r="C176" t="s">
        <v>101</v>
      </c>
      <c r="D176" t="s">
        <v>189</v>
      </c>
      <c r="E176" t="s">
        <v>949</v>
      </c>
      <c r="F176" t="s">
        <v>948</v>
      </c>
      <c r="G176">
        <v>10</v>
      </c>
      <c r="H176" t="s">
        <v>249</v>
      </c>
      <c r="I176" t="s">
        <v>249</v>
      </c>
      <c r="J176" t="s">
        <v>189</v>
      </c>
      <c r="K176" t="s">
        <v>2597</v>
      </c>
      <c r="L176" t="s">
        <v>1838</v>
      </c>
      <c r="M176" t="s">
        <v>351</v>
      </c>
      <c r="N176"/>
      <c r="O176"/>
      <c r="P176" t="s">
        <v>243</v>
      </c>
      <c r="Q176" t="s">
        <v>79</v>
      </c>
      <c r="R176" t="s">
        <v>2692</v>
      </c>
      <c r="S176" t="s">
        <v>189</v>
      </c>
      <c r="T176" t="s">
        <v>2773</v>
      </c>
    </row>
    <row r="177" spans="1:21">
      <c r="A177">
        <v>174</v>
      </c>
      <c r="B177" t="s">
        <v>250</v>
      </c>
      <c r="C177" t="s">
        <v>1207</v>
      </c>
      <c r="D177" t="s">
        <v>1222</v>
      </c>
      <c r="E177" t="s">
        <v>949</v>
      </c>
      <c r="F177" t="s">
        <v>948</v>
      </c>
      <c r="G177">
        <v>10</v>
      </c>
      <c r="H177" t="s">
        <v>249</v>
      </c>
      <c r="I177" t="s">
        <v>249</v>
      </c>
      <c r="J177" t="s">
        <v>1222</v>
      </c>
      <c r="K177" t="s">
        <v>2597</v>
      </c>
      <c r="L177" t="s">
        <v>1900</v>
      </c>
      <c r="M177"/>
      <c r="N177"/>
      <c r="O177"/>
      <c r="P177" t="s">
        <v>243</v>
      </c>
      <c r="Q177" t="s">
        <v>2661</v>
      </c>
      <c r="R177" t="s">
        <v>2692</v>
      </c>
      <c r="S177" t="s">
        <v>1222</v>
      </c>
      <c r="U177" t="s">
        <v>2910</v>
      </c>
    </row>
    <row r="178" spans="1:21">
      <c r="A178">
        <v>176</v>
      </c>
      <c r="B178" t="s">
        <v>250</v>
      </c>
      <c r="C178" t="s">
        <v>1210</v>
      </c>
      <c r="D178" t="s">
        <v>1231</v>
      </c>
      <c r="E178" t="s">
        <v>949</v>
      </c>
      <c r="F178" t="s">
        <v>948</v>
      </c>
      <c r="G178">
        <v>50</v>
      </c>
      <c r="H178" t="s">
        <v>249</v>
      </c>
      <c r="I178" t="s">
        <v>249</v>
      </c>
      <c r="J178"/>
      <c r="K178"/>
      <c r="L178" t="s">
        <v>1902</v>
      </c>
      <c r="M178"/>
      <c r="N178"/>
      <c r="O178"/>
      <c r="P178" t="s">
        <v>243</v>
      </c>
      <c r="Q178" t="s">
        <v>2736</v>
      </c>
      <c r="R178" t="s">
        <v>2829</v>
      </c>
      <c r="S178" t="s">
        <v>1231</v>
      </c>
      <c r="T178" t="s">
        <v>2851</v>
      </c>
      <c r="U178" t="s">
        <v>3048</v>
      </c>
    </row>
    <row r="179" spans="1:21">
      <c r="A179">
        <v>183</v>
      </c>
      <c r="B179" t="s">
        <v>250</v>
      </c>
      <c r="C179" t="s">
        <v>1217</v>
      </c>
      <c r="D179" t="s">
        <v>1238</v>
      </c>
      <c r="E179" t="s">
        <v>949</v>
      </c>
      <c r="F179" t="s">
        <v>948</v>
      </c>
      <c r="G179">
        <v>50</v>
      </c>
      <c r="H179" t="s">
        <v>249</v>
      </c>
      <c r="I179" t="s">
        <v>249</v>
      </c>
      <c r="J179"/>
      <c r="K179"/>
      <c r="L179" t="s">
        <v>1909</v>
      </c>
      <c r="M179"/>
      <c r="N179"/>
      <c r="O179"/>
      <c r="P179" t="s">
        <v>243</v>
      </c>
      <c r="Q179" t="s">
        <v>79</v>
      </c>
      <c r="R179" t="s">
        <v>2829</v>
      </c>
      <c r="S179" t="s">
        <v>1238</v>
      </c>
      <c r="T179" t="s">
        <v>2852</v>
      </c>
    </row>
    <row r="180" spans="1:21">
      <c r="A180">
        <v>180</v>
      </c>
      <c r="B180" t="s">
        <v>250</v>
      </c>
      <c r="C180" t="s">
        <v>1214</v>
      </c>
      <c r="D180" t="s">
        <v>1235</v>
      </c>
      <c r="E180" t="s">
        <v>949</v>
      </c>
      <c r="F180" t="s">
        <v>948</v>
      </c>
      <c r="G180">
        <v>50</v>
      </c>
      <c r="H180" t="s">
        <v>249</v>
      </c>
      <c r="I180" t="s">
        <v>249</v>
      </c>
      <c r="J180"/>
      <c r="K180"/>
      <c r="L180" t="s">
        <v>1906</v>
      </c>
      <c r="M180"/>
      <c r="N180"/>
      <c r="O180"/>
      <c r="P180" t="s">
        <v>243</v>
      </c>
      <c r="Q180" t="s">
        <v>2736</v>
      </c>
      <c r="R180" t="s">
        <v>2829</v>
      </c>
      <c r="S180" t="s">
        <v>1235</v>
      </c>
      <c r="T180" t="s">
        <v>2853</v>
      </c>
    </row>
    <row r="181" spans="1:21">
      <c r="A181">
        <v>153.1</v>
      </c>
      <c r="B181" t="s">
        <v>250</v>
      </c>
      <c r="C181" t="s">
        <v>2650</v>
      </c>
      <c r="D181" t="s">
        <v>2654</v>
      </c>
      <c r="E181" t="s">
        <v>989</v>
      </c>
      <c r="F181" t="s">
        <v>948</v>
      </c>
      <c r="G181">
        <v>12</v>
      </c>
      <c r="H181" t="s">
        <v>243</v>
      </c>
      <c r="I181" t="s">
        <v>249</v>
      </c>
      <c r="J181"/>
      <c r="K181"/>
      <c r="L181" t="s">
        <v>1882</v>
      </c>
      <c r="M181"/>
      <c r="N181"/>
      <c r="O181"/>
      <c r="P181" t="s">
        <v>249</v>
      </c>
    </row>
    <row r="182" spans="1:21">
      <c r="A182">
        <v>419</v>
      </c>
      <c r="B182" t="s">
        <v>250</v>
      </c>
      <c r="C182" t="s">
        <v>2256</v>
      </c>
      <c r="D182" t="s">
        <v>2305</v>
      </c>
      <c r="E182" t="s">
        <v>949</v>
      </c>
      <c r="F182" t="s">
        <v>948</v>
      </c>
      <c r="G182">
        <v>50</v>
      </c>
      <c r="H182" t="s">
        <v>249</v>
      </c>
      <c r="I182" t="s">
        <v>249</v>
      </c>
      <c r="J182"/>
      <c r="K182"/>
      <c r="L182" t="s">
        <v>2371</v>
      </c>
      <c r="M182"/>
      <c r="N182"/>
      <c r="O182"/>
      <c r="P182" t="s">
        <v>243</v>
      </c>
      <c r="Q182" t="s">
        <v>2736</v>
      </c>
      <c r="R182" t="s">
        <v>2829</v>
      </c>
      <c r="S182" t="s">
        <v>2305</v>
      </c>
      <c r="T182" t="s">
        <v>2854</v>
      </c>
      <c r="U182" t="s">
        <v>2981</v>
      </c>
    </row>
    <row r="183" spans="1:21">
      <c r="A183">
        <v>140</v>
      </c>
      <c r="B183" t="s">
        <v>250</v>
      </c>
      <c r="C183" t="s">
        <v>129</v>
      </c>
      <c r="D183" t="s">
        <v>8</v>
      </c>
      <c r="E183" t="s">
        <v>949</v>
      </c>
      <c r="F183" t="s">
        <v>948</v>
      </c>
      <c r="G183">
        <v>10</v>
      </c>
      <c r="H183" t="s">
        <v>249</v>
      </c>
      <c r="I183" t="s">
        <v>249</v>
      </c>
      <c r="J183"/>
      <c r="K183"/>
      <c r="L183" t="s">
        <v>1870</v>
      </c>
      <c r="M183"/>
      <c r="N183"/>
      <c r="O183"/>
      <c r="P183" t="s">
        <v>249</v>
      </c>
      <c r="Q183" t="s">
        <v>2661</v>
      </c>
      <c r="R183" t="s">
        <v>2662</v>
      </c>
      <c r="S183" t="s">
        <v>8</v>
      </c>
      <c r="U183" t="s">
        <v>2931</v>
      </c>
    </row>
    <row r="184" spans="1:21">
      <c r="A184">
        <v>181</v>
      </c>
      <c r="B184" t="s">
        <v>250</v>
      </c>
      <c r="C184" t="s">
        <v>1215</v>
      </c>
      <c r="D184" t="s">
        <v>1236</v>
      </c>
      <c r="E184" t="s">
        <v>949</v>
      </c>
      <c r="F184" t="s">
        <v>948</v>
      </c>
      <c r="G184">
        <v>50</v>
      </c>
      <c r="H184" t="s">
        <v>249</v>
      </c>
      <c r="I184" t="s">
        <v>249</v>
      </c>
      <c r="J184"/>
      <c r="K184"/>
      <c r="L184" t="s">
        <v>1907</v>
      </c>
      <c r="M184"/>
      <c r="N184"/>
      <c r="O184"/>
      <c r="P184" t="s">
        <v>243</v>
      </c>
      <c r="Q184" t="s">
        <v>79</v>
      </c>
      <c r="R184" t="s">
        <v>2829</v>
      </c>
      <c r="S184" t="s">
        <v>1236</v>
      </c>
      <c r="T184" t="s">
        <v>2855</v>
      </c>
    </row>
    <row r="185" spans="1:21">
      <c r="A185">
        <v>165</v>
      </c>
      <c r="B185" t="s">
        <v>250</v>
      </c>
      <c r="C185" t="s">
        <v>757</v>
      </c>
      <c r="D185" t="s">
        <v>807</v>
      </c>
      <c r="E185" t="s">
        <v>949</v>
      </c>
      <c r="F185" t="s">
        <v>948</v>
      </c>
      <c r="G185">
        <v>10</v>
      </c>
      <c r="H185" t="s">
        <v>249</v>
      </c>
      <c r="I185" t="s">
        <v>249</v>
      </c>
      <c r="J185"/>
      <c r="K185"/>
      <c r="L185" t="s">
        <v>1892</v>
      </c>
      <c r="M185"/>
      <c r="N185"/>
      <c r="O185"/>
      <c r="P185" t="s">
        <v>243</v>
      </c>
      <c r="Q185" t="s">
        <v>2661</v>
      </c>
      <c r="R185" t="s">
        <v>2829</v>
      </c>
      <c r="S185" t="s">
        <v>807</v>
      </c>
      <c r="U185" t="s">
        <v>2911</v>
      </c>
    </row>
    <row r="186" spans="1:21">
      <c r="A186">
        <v>166</v>
      </c>
      <c r="B186" t="s">
        <v>250</v>
      </c>
      <c r="C186" t="s">
        <v>758</v>
      </c>
      <c r="D186" t="s">
        <v>808</v>
      </c>
      <c r="E186" t="s">
        <v>949</v>
      </c>
      <c r="F186" t="s">
        <v>948</v>
      </c>
      <c r="G186">
        <v>10</v>
      </c>
      <c r="H186" t="s">
        <v>249</v>
      </c>
      <c r="I186" t="s">
        <v>249</v>
      </c>
      <c r="J186" t="s">
        <v>808</v>
      </c>
      <c r="K186" t="s">
        <v>2597</v>
      </c>
      <c r="L186" t="s">
        <v>857</v>
      </c>
      <c r="M186" t="s">
        <v>351</v>
      </c>
      <c r="N186"/>
      <c r="O186"/>
      <c r="P186" t="s">
        <v>243</v>
      </c>
      <c r="Q186" t="s">
        <v>2661</v>
      </c>
      <c r="R186" t="s">
        <v>2692</v>
      </c>
      <c r="S186" t="s">
        <v>808</v>
      </c>
      <c r="U186" t="s">
        <v>2912</v>
      </c>
    </row>
    <row r="187" spans="1:21">
      <c r="A187">
        <v>66</v>
      </c>
      <c r="B187" t="s">
        <v>250</v>
      </c>
      <c r="C187" t="s">
        <v>88</v>
      </c>
      <c r="D187" t="s">
        <v>2</v>
      </c>
      <c r="E187" t="s">
        <v>949</v>
      </c>
      <c r="F187" t="s">
        <v>948</v>
      </c>
      <c r="G187">
        <v>40</v>
      </c>
      <c r="H187" t="s">
        <v>249</v>
      </c>
      <c r="I187" t="s">
        <v>249</v>
      </c>
      <c r="J187"/>
      <c r="K187"/>
      <c r="L187" t="s">
        <v>1743</v>
      </c>
      <c r="M187"/>
      <c r="N187"/>
      <c r="O187"/>
      <c r="P187" t="s">
        <v>249</v>
      </c>
    </row>
    <row r="188" spans="1:21">
      <c r="A188">
        <v>157</v>
      </c>
      <c r="B188" t="s">
        <v>250</v>
      </c>
      <c r="C188" t="s">
        <v>105</v>
      </c>
      <c r="D188" t="s">
        <v>454</v>
      </c>
      <c r="E188" t="s">
        <v>949</v>
      </c>
      <c r="F188" t="s">
        <v>948</v>
      </c>
      <c r="G188">
        <v>10</v>
      </c>
      <c r="H188" t="s">
        <v>249</v>
      </c>
      <c r="I188" t="s">
        <v>249</v>
      </c>
      <c r="J188"/>
      <c r="K188"/>
      <c r="L188" t="s">
        <v>1886</v>
      </c>
      <c r="M188"/>
      <c r="N188"/>
      <c r="O188"/>
      <c r="P188" t="s">
        <v>243</v>
      </c>
      <c r="Q188" t="s">
        <v>79</v>
      </c>
      <c r="R188" t="s">
        <v>2662</v>
      </c>
      <c r="S188" t="s">
        <v>454</v>
      </c>
      <c r="T188" t="s">
        <v>2856</v>
      </c>
    </row>
    <row r="189" spans="1:21">
      <c r="A189">
        <v>123</v>
      </c>
      <c r="B189" t="s">
        <v>250</v>
      </c>
      <c r="C189" t="s">
        <v>157</v>
      </c>
      <c r="D189" t="s">
        <v>783</v>
      </c>
      <c r="E189" t="s">
        <v>949</v>
      </c>
      <c r="F189" t="s">
        <v>948</v>
      </c>
      <c r="G189">
        <v>10</v>
      </c>
      <c r="H189" t="s">
        <v>249</v>
      </c>
      <c r="I189" t="s">
        <v>249</v>
      </c>
      <c r="J189" t="s">
        <v>783</v>
      </c>
      <c r="K189" t="s">
        <v>2597</v>
      </c>
      <c r="L189" t="s">
        <v>1853</v>
      </c>
      <c r="M189"/>
      <c r="N189"/>
      <c r="O189"/>
      <c r="P189" t="s">
        <v>243</v>
      </c>
      <c r="Q189" t="s">
        <v>79</v>
      </c>
      <c r="R189" t="s">
        <v>2692</v>
      </c>
      <c r="S189" t="s">
        <v>783</v>
      </c>
      <c r="T189" t="s">
        <v>2774</v>
      </c>
    </row>
    <row r="190" spans="1:21">
      <c r="A190">
        <v>186</v>
      </c>
      <c r="B190" t="s">
        <v>250</v>
      </c>
      <c r="C190" t="s">
        <v>1220</v>
      </c>
      <c r="D190" t="s">
        <v>1241</v>
      </c>
      <c r="E190" t="s">
        <v>949</v>
      </c>
      <c r="F190" t="s">
        <v>948</v>
      </c>
      <c r="G190">
        <v>50</v>
      </c>
      <c r="H190" t="s">
        <v>249</v>
      </c>
      <c r="I190" t="s">
        <v>249</v>
      </c>
      <c r="J190"/>
      <c r="K190"/>
      <c r="L190" t="s">
        <v>1912</v>
      </c>
      <c r="M190"/>
      <c r="N190"/>
      <c r="O190"/>
      <c r="P190" t="s">
        <v>243</v>
      </c>
      <c r="Q190" t="s">
        <v>2736</v>
      </c>
      <c r="R190" t="s">
        <v>2829</v>
      </c>
      <c r="S190" t="s">
        <v>1241</v>
      </c>
      <c r="T190" t="s">
        <v>2857</v>
      </c>
      <c r="U190" t="s">
        <v>3049</v>
      </c>
    </row>
    <row r="191" spans="1:21">
      <c r="A191">
        <v>71</v>
      </c>
      <c r="B191" t="s">
        <v>250</v>
      </c>
      <c r="C191" t="s">
        <v>173</v>
      </c>
      <c r="D191" t="s">
        <v>479</v>
      </c>
      <c r="E191" t="s">
        <v>949</v>
      </c>
      <c r="F191" t="s">
        <v>948</v>
      </c>
      <c r="G191">
        <v>10</v>
      </c>
      <c r="H191" t="s">
        <v>249</v>
      </c>
      <c r="I191" t="s">
        <v>249</v>
      </c>
      <c r="J191"/>
      <c r="K191"/>
      <c r="L191" t="s">
        <v>1807</v>
      </c>
      <c r="M191"/>
      <c r="N191"/>
      <c r="O191"/>
      <c r="P191" t="s">
        <v>243</v>
      </c>
      <c r="Q191" t="s">
        <v>79</v>
      </c>
      <c r="R191" t="s">
        <v>2829</v>
      </c>
      <c r="S191" t="s">
        <v>2693</v>
      </c>
      <c r="T191" t="s">
        <v>2859</v>
      </c>
    </row>
    <row r="192" spans="1:21">
      <c r="A192">
        <v>158</v>
      </c>
      <c r="B192" t="s">
        <v>250</v>
      </c>
      <c r="C192" t="s">
        <v>167</v>
      </c>
      <c r="D192" t="s">
        <v>803</v>
      </c>
      <c r="E192" t="s">
        <v>949</v>
      </c>
      <c r="F192" t="s">
        <v>948</v>
      </c>
      <c r="G192">
        <v>10</v>
      </c>
      <c r="H192" t="s">
        <v>249</v>
      </c>
      <c r="I192" t="s">
        <v>249</v>
      </c>
      <c r="J192"/>
      <c r="K192"/>
      <c r="L192" t="s">
        <v>1887</v>
      </c>
      <c r="M192"/>
      <c r="N192"/>
      <c r="O192"/>
      <c r="P192" t="s">
        <v>243</v>
      </c>
      <c r="Q192" t="s">
        <v>79</v>
      </c>
      <c r="R192" t="s">
        <v>2829</v>
      </c>
      <c r="S192" t="s">
        <v>803</v>
      </c>
      <c r="T192" t="s">
        <v>2860</v>
      </c>
    </row>
    <row r="193" spans="1:21">
      <c r="A193">
        <v>184</v>
      </c>
      <c r="B193" t="s">
        <v>250</v>
      </c>
      <c r="C193" t="s">
        <v>1218</v>
      </c>
      <c r="D193" t="s">
        <v>1239</v>
      </c>
      <c r="E193" t="s">
        <v>949</v>
      </c>
      <c r="F193" t="s">
        <v>948</v>
      </c>
      <c r="G193">
        <v>50</v>
      </c>
      <c r="H193" t="s">
        <v>249</v>
      </c>
      <c r="I193" t="s">
        <v>249</v>
      </c>
      <c r="J193"/>
      <c r="K193"/>
      <c r="L193" t="s">
        <v>1910</v>
      </c>
      <c r="M193"/>
      <c r="N193"/>
      <c r="O193"/>
      <c r="P193" t="s">
        <v>243</v>
      </c>
      <c r="Q193" t="s">
        <v>79</v>
      </c>
      <c r="R193" t="s">
        <v>2829</v>
      </c>
      <c r="S193" t="s">
        <v>1239</v>
      </c>
      <c r="T193" t="s">
        <v>2861</v>
      </c>
    </row>
    <row r="194" spans="1:21">
      <c r="A194">
        <v>175</v>
      </c>
      <c r="B194" t="s">
        <v>250</v>
      </c>
      <c r="C194" t="s">
        <v>1209</v>
      </c>
      <c r="D194" t="s">
        <v>1230</v>
      </c>
      <c r="E194" t="s">
        <v>949</v>
      </c>
      <c r="F194" t="s">
        <v>948</v>
      </c>
      <c r="G194">
        <v>50</v>
      </c>
      <c r="H194" t="s">
        <v>249</v>
      </c>
      <c r="I194" t="s">
        <v>249</v>
      </c>
      <c r="J194"/>
      <c r="K194"/>
      <c r="L194" t="s">
        <v>1901</v>
      </c>
      <c r="M194"/>
      <c r="N194"/>
      <c r="O194"/>
      <c r="P194" t="s">
        <v>243</v>
      </c>
      <c r="Q194" t="s">
        <v>2736</v>
      </c>
      <c r="R194" t="s">
        <v>2829</v>
      </c>
      <c r="S194" t="s">
        <v>1230</v>
      </c>
      <c r="T194" t="s">
        <v>2863</v>
      </c>
      <c r="U194" t="s">
        <v>3050</v>
      </c>
    </row>
    <row r="195" spans="1:21">
      <c r="A195">
        <v>124</v>
      </c>
      <c r="B195" t="s">
        <v>250</v>
      </c>
      <c r="C195" t="s">
        <v>158</v>
      </c>
      <c r="D195" t="s">
        <v>784</v>
      </c>
      <c r="E195" t="s">
        <v>987</v>
      </c>
      <c r="F195" t="s">
        <v>948</v>
      </c>
      <c r="G195">
        <v>10</v>
      </c>
      <c r="H195" t="s">
        <v>243</v>
      </c>
      <c r="I195" t="s">
        <v>249</v>
      </c>
      <c r="J195"/>
      <c r="K195"/>
      <c r="L195" t="s">
        <v>1856</v>
      </c>
      <c r="M195"/>
      <c r="N195"/>
      <c r="O195"/>
      <c r="P195" t="s">
        <v>243</v>
      </c>
      <c r="Q195" t="s">
        <v>79</v>
      </c>
      <c r="R195" t="s">
        <v>441</v>
      </c>
      <c r="S195" t="s">
        <v>784</v>
      </c>
      <c r="T195" t="s">
        <v>2862</v>
      </c>
    </row>
    <row r="196" spans="1:21">
      <c r="A196">
        <v>182</v>
      </c>
      <c r="B196" t="s">
        <v>250</v>
      </c>
      <c r="C196" t="s">
        <v>1216</v>
      </c>
      <c r="D196" t="s">
        <v>1237</v>
      </c>
      <c r="E196" t="s">
        <v>949</v>
      </c>
      <c r="F196" t="s">
        <v>948</v>
      </c>
      <c r="G196">
        <v>50</v>
      </c>
      <c r="H196" t="s">
        <v>249</v>
      </c>
      <c r="I196" t="s">
        <v>249</v>
      </c>
      <c r="J196"/>
      <c r="K196"/>
      <c r="L196" t="s">
        <v>1908</v>
      </c>
      <c r="M196"/>
      <c r="N196"/>
      <c r="O196"/>
      <c r="P196" t="s">
        <v>243</v>
      </c>
      <c r="Q196" t="s">
        <v>79</v>
      </c>
      <c r="R196" t="s">
        <v>2829</v>
      </c>
      <c r="S196" t="s">
        <v>1237</v>
      </c>
      <c r="T196" t="s">
        <v>2867</v>
      </c>
    </row>
    <row r="197" spans="1:21">
      <c r="A197">
        <v>118</v>
      </c>
      <c r="B197" t="s">
        <v>250</v>
      </c>
      <c r="C197" t="s">
        <v>159</v>
      </c>
      <c r="D197" t="s">
        <v>770</v>
      </c>
      <c r="E197" t="s">
        <v>949</v>
      </c>
      <c r="F197" t="s">
        <v>948</v>
      </c>
      <c r="G197">
        <v>10</v>
      </c>
      <c r="H197" t="s">
        <v>249</v>
      </c>
      <c r="I197" t="s">
        <v>249</v>
      </c>
      <c r="J197"/>
      <c r="K197" t="s">
        <v>2598</v>
      </c>
      <c r="L197" t="s">
        <v>1852</v>
      </c>
      <c r="M197"/>
      <c r="N197"/>
      <c r="O197"/>
      <c r="P197" t="s">
        <v>249</v>
      </c>
      <c r="Q197" t="s">
        <v>79</v>
      </c>
      <c r="R197" t="s">
        <v>3034</v>
      </c>
      <c r="S197" t="s">
        <v>770</v>
      </c>
      <c r="T197" t="s">
        <v>3051</v>
      </c>
    </row>
    <row r="198" spans="1:21">
      <c r="A198">
        <v>196</v>
      </c>
      <c r="B198" t="s">
        <v>250</v>
      </c>
      <c r="C198" t="s">
        <v>179</v>
      </c>
      <c r="D198" t="s">
        <v>179</v>
      </c>
      <c r="E198" t="s">
        <v>949</v>
      </c>
      <c r="F198" t="s">
        <v>948</v>
      </c>
      <c r="G198">
        <v>10</v>
      </c>
      <c r="H198" t="s">
        <v>249</v>
      </c>
      <c r="I198" t="s">
        <v>249</v>
      </c>
      <c r="J198"/>
      <c r="K198"/>
      <c r="L198" t="s">
        <v>1792</v>
      </c>
      <c r="M198"/>
      <c r="N198"/>
      <c r="O198"/>
      <c r="P198" t="s">
        <v>249</v>
      </c>
    </row>
    <row r="199" spans="1:21">
      <c r="A199">
        <v>197</v>
      </c>
      <c r="B199" t="s">
        <v>250</v>
      </c>
      <c r="C199" t="s">
        <v>180</v>
      </c>
      <c r="D199" t="s">
        <v>180</v>
      </c>
      <c r="E199" t="s">
        <v>949</v>
      </c>
      <c r="F199" t="s">
        <v>948</v>
      </c>
      <c r="G199">
        <v>10</v>
      </c>
      <c r="H199" t="s">
        <v>249</v>
      </c>
      <c r="I199" t="s">
        <v>249</v>
      </c>
      <c r="J199"/>
      <c r="K199"/>
      <c r="L199" t="s">
        <v>1792</v>
      </c>
      <c r="M199"/>
      <c r="N199"/>
      <c r="O199"/>
      <c r="P199" t="s">
        <v>249</v>
      </c>
    </row>
    <row r="200" spans="1:21">
      <c r="A200">
        <v>198</v>
      </c>
      <c r="B200" t="s">
        <v>250</v>
      </c>
      <c r="C200" t="s">
        <v>181</v>
      </c>
      <c r="D200" t="s">
        <v>181</v>
      </c>
      <c r="E200" t="s">
        <v>949</v>
      </c>
      <c r="F200" t="s">
        <v>948</v>
      </c>
      <c r="G200">
        <v>10</v>
      </c>
      <c r="H200" t="s">
        <v>249</v>
      </c>
      <c r="I200" t="s">
        <v>249</v>
      </c>
      <c r="J200"/>
      <c r="K200"/>
      <c r="L200" t="s">
        <v>1792</v>
      </c>
      <c r="M200"/>
      <c r="N200"/>
      <c r="O200"/>
      <c r="P200" t="s">
        <v>249</v>
      </c>
    </row>
    <row r="201" spans="1:21">
      <c r="A201">
        <v>126</v>
      </c>
      <c r="B201" t="s">
        <v>250</v>
      </c>
      <c r="C201" t="s">
        <v>132</v>
      </c>
      <c r="D201" t="s">
        <v>2575</v>
      </c>
      <c r="E201" t="s">
        <v>949</v>
      </c>
      <c r="F201" t="s">
        <v>948</v>
      </c>
      <c r="G201">
        <v>10</v>
      </c>
      <c r="H201" t="s">
        <v>249</v>
      </c>
      <c r="I201" t="s">
        <v>249</v>
      </c>
      <c r="J201"/>
      <c r="K201"/>
      <c r="L201" t="s">
        <v>1792</v>
      </c>
      <c r="M201"/>
      <c r="N201"/>
      <c r="O201"/>
      <c r="P201" t="s">
        <v>243</v>
      </c>
      <c r="Q201" t="s">
        <v>79</v>
      </c>
      <c r="R201" t="s">
        <v>2662</v>
      </c>
      <c r="S201" t="s">
        <v>799</v>
      </c>
      <c r="T201" t="s">
        <v>2864</v>
      </c>
    </row>
    <row r="202" spans="1:21">
      <c r="A202">
        <v>150</v>
      </c>
      <c r="B202" t="s">
        <v>250</v>
      </c>
      <c r="C202" t="s">
        <v>133</v>
      </c>
      <c r="D202" t="s">
        <v>799</v>
      </c>
      <c r="E202" t="s">
        <v>949</v>
      </c>
      <c r="F202" t="s">
        <v>948</v>
      </c>
      <c r="G202">
        <v>10</v>
      </c>
      <c r="H202" t="s">
        <v>249</v>
      </c>
      <c r="I202" t="s">
        <v>249</v>
      </c>
      <c r="J202"/>
      <c r="K202"/>
      <c r="L202" t="s">
        <v>1792</v>
      </c>
      <c r="M202"/>
      <c r="N202"/>
      <c r="O202"/>
      <c r="P202" t="s">
        <v>243</v>
      </c>
      <c r="Q202" t="s">
        <v>79</v>
      </c>
      <c r="R202" t="s">
        <v>2662</v>
      </c>
      <c r="S202" t="s">
        <v>2697</v>
      </c>
      <c r="T202" t="s">
        <v>2865</v>
      </c>
    </row>
    <row r="203" spans="1:21">
      <c r="A203">
        <v>190</v>
      </c>
      <c r="B203" t="s">
        <v>250</v>
      </c>
      <c r="C203" t="s">
        <v>134</v>
      </c>
      <c r="D203" t="s">
        <v>134</v>
      </c>
      <c r="E203" t="s">
        <v>949</v>
      </c>
      <c r="F203" t="s">
        <v>948</v>
      </c>
      <c r="G203">
        <v>10</v>
      </c>
      <c r="H203" t="s">
        <v>249</v>
      </c>
      <c r="I203" t="s">
        <v>249</v>
      </c>
      <c r="J203"/>
      <c r="K203"/>
      <c r="L203" t="s">
        <v>1792</v>
      </c>
      <c r="M203"/>
      <c r="N203"/>
      <c r="O203"/>
      <c r="P203" t="s">
        <v>249</v>
      </c>
    </row>
    <row r="204" spans="1:21">
      <c r="A204">
        <v>191</v>
      </c>
      <c r="B204" t="s">
        <v>250</v>
      </c>
      <c r="C204" t="s">
        <v>174</v>
      </c>
      <c r="D204" t="s">
        <v>174</v>
      </c>
      <c r="E204" t="s">
        <v>949</v>
      </c>
      <c r="F204" t="s">
        <v>948</v>
      </c>
      <c r="G204">
        <v>10</v>
      </c>
      <c r="H204" t="s">
        <v>249</v>
      </c>
      <c r="I204" t="s">
        <v>249</v>
      </c>
      <c r="J204"/>
      <c r="K204"/>
      <c r="L204" t="s">
        <v>1792</v>
      </c>
      <c r="M204"/>
      <c r="N204"/>
      <c r="O204"/>
      <c r="P204" t="s">
        <v>249</v>
      </c>
    </row>
    <row r="205" spans="1:21">
      <c r="A205">
        <v>192</v>
      </c>
      <c r="B205" t="s">
        <v>250</v>
      </c>
      <c r="C205" t="s">
        <v>175</v>
      </c>
      <c r="D205" t="s">
        <v>175</v>
      </c>
      <c r="E205" t="s">
        <v>949</v>
      </c>
      <c r="F205" t="s">
        <v>948</v>
      </c>
      <c r="G205">
        <v>10</v>
      </c>
      <c r="H205" t="s">
        <v>249</v>
      </c>
      <c r="I205" t="s">
        <v>249</v>
      </c>
      <c r="J205"/>
      <c r="K205"/>
      <c r="L205" t="s">
        <v>1792</v>
      </c>
      <c r="M205"/>
      <c r="N205"/>
      <c r="O205"/>
      <c r="P205" t="s">
        <v>249</v>
      </c>
    </row>
    <row r="206" spans="1:21">
      <c r="A206">
        <v>193</v>
      </c>
      <c r="B206" t="s">
        <v>250</v>
      </c>
      <c r="C206" t="s">
        <v>176</v>
      </c>
      <c r="D206" t="s">
        <v>176</v>
      </c>
      <c r="E206" t="s">
        <v>949</v>
      </c>
      <c r="F206" t="s">
        <v>948</v>
      </c>
      <c r="G206">
        <v>10</v>
      </c>
      <c r="H206" t="s">
        <v>249</v>
      </c>
      <c r="I206" t="s">
        <v>249</v>
      </c>
      <c r="J206"/>
      <c r="K206"/>
      <c r="L206" t="s">
        <v>1792</v>
      </c>
      <c r="M206"/>
      <c r="N206"/>
      <c r="O206"/>
      <c r="P206" t="s">
        <v>249</v>
      </c>
    </row>
    <row r="207" spans="1:21">
      <c r="A207">
        <v>194</v>
      </c>
      <c r="B207" t="s">
        <v>250</v>
      </c>
      <c r="C207" t="s">
        <v>177</v>
      </c>
      <c r="D207" t="s">
        <v>177</v>
      </c>
      <c r="E207" t="s">
        <v>949</v>
      </c>
      <c r="F207" t="s">
        <v>948</v>
      </c>
      <c r="G207">
        <v>10</v>
      </c>
      <c r="H207" t="s">
        <v>249</v>
      </c>
      <c r="I207" t="s">
        <v>249</v>
      </c>
      <c r="J207"/>
      <c r="K207"/>
      <c r="L207" t="s">
        <v>1792</v>
      </c>
      <c r="M207"/>
      <c r="N207"/>
      <c r="O207"/>
      <c r="P207" t="s">
        <v>249</v>
      </c>
    </row>
    <row r="208" spans="1:21">
      <c r="A208">
        <v>195</v>
      </c>
      <c r="B208" t="s">
        <v>250</v>
      </c>
      <c r="C208" t="s">
        <v>178</v>
      </c>
      <c r="D208" t="s">
        <v>178</v>
      </c>
      <c r="E208" t="s">
        <v>949</v>
      </c>
      <c r="F208" t="s">
        <v>948</v>
      </c>
      <c r="G208">
        <v>10</v>
      </c>
      <c r="H208" t="s">
        <v>249</v>
      </c>
      <c r="I208" t="s">
        <v>249</v>
      </c>
      <c r="J208"/>
      <c r="K208"/>
      <c r="L208" t="s">
        <v>1792</v>
      </c>
      <c r="M208"/>
      <c r="N208"/>
      <c r="O208"/>
      <c r="P208" t="s">
        <v>249</v>
      </c>
    </row>
    <row r="209" spans="1:21">
      <c r="A209">
        <v>65</v>
      </c>
      <c r="B209" t="s">
        <v>250</v>
      </c>
      <c r="C209" t="s">
        <v>746</v>
      </c>
      <c r="D209" t="s">
        <v>260</v>
      </c>
      <c r="E209" t="s">
        <v>949</v>
      </c>
      <c r="F209" t="s">
        <v>948</v>
      </c>
      <c r="G209">
        <v>8</v>
      </c>
      <c r="H209" t="s">
        <v>249</v>
      </c>
      <c r="I209" t="s">
        <v>249</v>
      </c>
      <c r="J209"/>
      <c r="K209"/>
      <c r="L209" t="s">
        <v>1802</v>
      </c>
      <c r="M209"/>
      <c r="N209"/>
      <c r="O209"/>
      <c r="P209" t="s">
        <v>249</v>
      </c>
    </row>
    <row r="210" spans="1:21">
      <c r="A210">
        <v>125</v>
      </c>
      <c r="B210" t="s">
        <v>250</v>
      </c>
      <c r="C210" t="s">
        <v>160</v>
      </c>
      <c r="D210" t="s">
        <v>785</v>
      </c>
      <c r="E210" t="s">
        <v>949</v>
      </c>
      <c r="F210" t="s">
        <v>948</v>
      </c>
      <c r="G210">
        <v>10</v>
      </c>
      <c r="H210" t="s">
        <v>249</v>
      </c>
      <c r="I210" t="s">
        <v>249</v>
      </c>
      <c r="J210" t="s">
        <v>785</v>
      </c>
      <c r="K210" t="s">
        <v>2597</v>
      </c>
      <c r="L210" t="s">
        <v>1853</v>
      </c>
      <c r="M210"/>
      <c r="N210"/>
      <c r="O210"/>
      <c r="P210" t="s">
        <v>243</v>
      </c>
      <c r="Q210" t="s">
        <v>79</v>
      </c>
      <c r="R210" t="s">
        <v>2692</v>
      </c>
      <c r="S210" t="s">
        <v>785</v>
      </c>
      <c r="T210" t="s">
        <v>2775</v>
      </c>
    </row>
    <row r="211" spans="1:21">
      <c r="A211">
        <v>79</v>
      </c>
      <c r="B211" t="s">
        <v>250</v>
      </c>
      <c r="C211" t="s">
        <v>116</v>
      </c>
      <c r="D211" t="s">
        <v>1814</v>
      </c>
      <c r="E211" t="s">
        <v>949</v>
      </c>
      <c r="F211" t="s">
        <v>948</v>
      </c>
      <c r="G211">
        <v>10</v>
      </c>
      <c r="H211" t="s">
        <v>249</v>
      </c>
      <c r="I211" t="s">
        <v>249</v>
      </c>
      <c r="J211" t="s">
        <v>82</v>
      </c>
      <c r="K211" t="s">
        <v>2597</v>
      </c>
      <c r="L211" t="s">
        <v>1387</v>
      </c>
      <c r="M211" t="s">
        <v>351</v>
      </c>
      <c r="N211"/>
      <c r="O211"/>
      <c r="P211" t="s">
        <v>243</v>
      </c>
      <c r="Q211" t="s">
        <v>79</v>
      </c>
      <c r="R211" t="s">
        <v>2692</v>
      </c>
      <c r="S211" t="s">
        <v>82</v>
      </c>
      <c r="T211" t="s">
        <v>2776</v>
      </c>
    </row>
    <row r="212" spans="1:21">
      <c r="A212">
        <v>84</v>
      </c>
      <c r="B212" t="s">
        <v>250</v>
      </c>
      <c r="C212" t="s">
        <v>122</v>
      </c>
      <c r="D212" t="s">
        <v>191</v>
      </c>
      <c r="E212" t="s">
        <v>949</v>
      </c>
      <c r="F212" t="s">
        <v>948</v>
      </c>
      <c r="G212">
        <v>10</v>
      </c>
      <c r="H212" t="s">
        <v>249</v>
      </c>
      <c r="I212" t="s">
        <v>249</v>
      </c>
      <c r="J212"/>
      <c r="K212" t="s">
        <v>2598</v>
      </c>
      <c r="L212" t="s">
        <v>1819</v>
      </c>
      <c r="M212" t="s">
        <v>351</v>
      </c>
      <c r="N212"/>
      <c r="O212"/>
      <c r="P212" t="s">
        <v>243</v>
      </c>
      <c r="Q212" t="s">
        <v>2736</v>
      </c>
      <c r="R212" t="s">
        <v>3034</v>
      </c>
      <c r="S212" t="s">
        <v>1388</v>
      </c>
      <c r="T212" t="s">
        <v>2866</v>
      </c>
      <c r="U212" t="s">
        <v>3052</v>
      </c>
    </row>
    <row r="213" spans="1:21">
      <c r="A213">
        <v>160</v>
      </c>
      <c r="B213" t="s">
        <v>250</v>
      </c>
      <c r="C213" t="s">
        <v>90</v>
      </c>
      <c r="D213" t="s">
        <v>86</v>
      </c>
      <c r="E213" t="s">
        <v>949</v>
      </c>
      <c r="F213" t="s">
        <v>948</v>
      </c>
      <c r="G213">
        <v>10</v>
      </c>
      <c r="H213" t="s">
        <v>249</v>
      </c>
      <c r="I213" t="s">
        <v>249</v>
      </c>
      <c r="J213"/>
      <c r="K213" t="s">
        <v>2597</v>
      </c>
      <c r="L213" t="s">
        <v>1815</v>
      </c>
      <c r="M213" t="s">
        <v>351</v>
      </c>
      <c r="N213"/>
      <c r="O213"/>
      <c r="P213" t="s">
        <v>249</v>
      </c>
    </row>
    <row r="214" spans="1:21">
      <c r="A214">
        <v>199</v>
      </c>
      <c r="B214" t="s">
        <v>250</v>
      </c>
      <c r="C214" t="s">
        <v>1254</v>
      </c>
      <c r="D214" t="s">
        <v>1299</v>
      </c>
      <c r="E214" t="s">
        <v>949</v>
      </c>
      <c r="F214" t="s">
        <v>948</v>
      </c>
      <c r="G214">
        <v>50</v>
      </c>
      <c r="H214" t="s">
        <v>249</v>
      </c>
      <c r="I214" t="s">
        <v>249</v>
      </c>
      <c r="J214"/>
      <c r="K214"/>
      <c r="L214" t="s">
        <v>1917</v>
      </c>
      <c r="M214"/>
      <c r="N214"/>
      <c r="O214"/>
      <c r="P214" t="s">
        <v>243</v>
      </c>
      <c r="Q214" t="s">
        <v>79</v>
      </c>
      <c r="R214" t="s">
        <v>2829</v>
      </c>
      <c r="S214" t="s">
        <v>1299</v>
      </c>
      <c r="T214" t="s">
        <v>2868</v>
      </c>
    </row>
    <row r="215" spans="1:21">
      <c r="A215">
        <v>132</v>
      </c>
      <c r="B215" t="s">
        <v>250</v>
      </c>
      <c r="C215" t="s">
        <v>141</v>
      </c>
      <c r="D215" t="s">
        <v>790</v>
      </c>
      <c r="E215" t="s">
        <v>949</v>
      </c>
      <c r="F215" t="s">
        <v>948</v>
      </c>
      <c r="G215">
        <v>10</v>
      </c>
      <c r="H215" t="s">
        <v>249</v>
      </c>
      <c r="I215" t="s">
        <v>249</v>
      </c>
      <c r="J215"/>
      <c r="K215"/>
      <c r="L215" t="s">
        <v>1862</v>
      </c>
      <c r="M215"/>
      <c r="N215"/>
      <c r="O215"/>
      <c r="P215" t="s">
        <v>243</v>
      </c>
      <c r="Q215" t="s">
        <v>2736</v>
      </c>
      <c r="R215" t="s">
        <v>2829</v>
      </c>
      <c r="S215" t="s">
        <v>790</v>
      </c>
      <c r="T215" t="s">
        <v>2870</v>
      </c>
      <c r="U215" t="s">
        <v>3053</v>
      </c>
    </row>
    <row r="216" spans="1:21">
      <c r="A216">
        <v>87</v>
      </c>
      <c r="B216" t="s">
        <v>250</v>
      </c>
      <c r="C216" t="s">
        <v>170</v>
      </c>
      <c r="D216" t="s">
        <v>193</v>
      </c>
      <c r="E216" t="s">
        <v>949</v>
      </c>
      <c r="F216" t="s">
        <v>948</v>
      </c>
      <c r="G216">
        <v>10</v>
      </c>
      <c r="H216" t="s">
        <v>249</v>
      </c>
      <c r="I216" t="s">
        <v>249</v>
      </c>
      <c r="J216"/>
      <c r="K216" t="s">
        <v>2598</v>
      </c>
      <c r="L216" t="s">
        <v>1822</v>
      </c>
      <c r="M216"/>
      <c r="N216"/>
      <c r="O216"/>
      <c r="P216" t="s">
        <v>243</v>
      </c>
      <c r="Q216" t="s">
        <v>79</v>
      </c>
      <c r="R216" t="s">
        <v>3034</v>
      </c>
      <c r="S216" t="s">
        <v>193</v>
      </c>
      <c r="T216" t="s">
        <v>2869</v>
      </c>
    </row>
    <row r="217" spans="1:21">
      <c r="A217">
        <v>111</v>
      </c>
      <c r="B217" t="s">
        <v>250</v>
      </c>
      <c r="C217" t="s">
        <v>166</v>
      </c>
      <c r="D217" t="s">
        <v>769</v>
      </c>
      <c r="E217" t="s">
        <v>949</v>
      </c>
      <c r="F217" t="s">
        <v>948</v>
      </c>
      <c r="G217">
        <v>10</v>
      </c>
      <c r="H217" t="s">
        <v>249</v>
      </c>
      <c r="I217" t="s">
        <v>249</v>
      </c>
      <c r="J217" t="s">
        <v>605</v>
      </c>
      <c r="K217" t="s">
        <v>2597</v>
      </c>
      <c r="L217" t="s">
        <v>1846</v>
      </c>
      <c r="M217" t="s">
        <v>351</v>
      </c>
      <c r="N217"/>
      <c r="O217"/>
      <c r="P217" t="s">
        <v>243</v>
      </c>
      <c r="Q217" t="s">
        <v>79</v>
      </c>
      <c r="R217" t="s">
        <v>2692</v>
      </c>
      <c r="S217" t="s">
        <v>606</v>
      </c>
      <c r="T217" t="s">
        <v>2777</v>
      </c>
    </row>
    <row r="218" spans="1:21">
      <c r="A218">
        <v>143</v>
      </c>
      <c r="B218" t="s">
        <v>250</v>
      </c>
      <c r="C218" t="s">
        <v>131</v>
      </c>
      <c r="D218" t="s">
        <v>612</v>
      </c>
      <c r="E218" t="s">
        <v>949</v>
      </c>
      <c r="F218" t="s">
        <v>948</v>
      </c>
      <c r="G218">
        <v>10</v>
      </c>
      <c r="H218" t="s">
        <v>249</v>
      </c>
      <c r="I218" t="s">
        <v>249</v>
      </c>
      <c r="J218"/>
      <c r="K218"/>
      <c r="L218" t="s">
        <v>1873</v>
      </c>
      <c r="M218"/>
      <c r="N218"/>
      <c r="O218"/>
      <c r="P218" t="s">
        <v>243</v>
      </c>
      <c r="Q218" t="s">
        <v>2661</v>
      </c>
      <c r="R218" t="s">
        <v>2662</v>
      </c>
      <c r="S218" t="s">
        <v>612</v>
      </c>
      <c r="U218" t="s">
        <v>2913</v>
      </c>
    </row>
    <row r="219" spans="1:21">
      <c r="A219">
        <v>142</v>
      </c>
      <c r="B219" t="s">
        <v>250</v>
      </c>
      <c r="C219" t="s">
        <v>130</v>
      </c>
      <c r="D219" t="s">
        <v>615</v>
      </c>
      <c r="E219" t="s">
        <v>949</v>
      </c>
      <c r="F219" t="s">
        <v>948</v>
      </c>
      <c r="G219">
        <v>10</v>
      </c>
      <c r="H219" t="s">
        <v>249</v>
      </c>
      <c r="I219" t="s">
        <v>249</v>
      </c>
      <c r="J219"/>
      <c r="K219"/>
      <c r="L219" t="s">
        <v>1872</v>
      </c>
      <c r="M219"/>
      <c r="N219"/>
      <c r="O219"/>
      <c r="P219" t="s">
        <v>243</v>
      </c>
      <c r="Q219" t="s">
        <v>2661</v>
      </c>
      <c r="R219" t="s">
        <v>2662</v>
      </c>
      <c r="S219" t="s">
        <v>615</v>
      </c>
      <c r="U219" t="s">
        <v>2914</v>
      </c>
    </row>
    <row r="220" spans="1:21">
      <c r="A220">
        <v>74</v>
      </c>
      <c r="B220" t="s">
        <v>250</v>
      </c>
      <c r="C220" t="s">
        <v>111</v>
      </c>
      <c r="D220" t="s">
        <v>81</v>
      </c>
      <c r="E220" t="s">
        <v>949</v>
      </c>
      <c r="F220" t="s">
        <v>948</v>
      </c>
      <c r="G220">
        <v>10</v>
      </c>
      <c r="H220" t="s">
        <v>249</v>
      </c>
      <c r="I220" t="s">
        <v>249</v>
      </c>
      <c r="J220" t="s">
        <v>623</v>
      </c>
      <c r="K220" t="s">
        <v>2597</v>
      </c>
      <c r="L220" t="s">
        <v>1810</v>
      </c>
      <c r="M220" t="s">
        <v>351</v>
      </c>
      <c r="N220"/>
      <c r="O220"/>
      <c r="P220" t="s">
        <v>243</v>
      </c>
      <c r="Q220" t="s">
        <v>2736</v>
      </c>
      <c r="R220" t="s">
        <v>2692</v>
      </c>
      <c r="S220" t="s">
        <v>2928</v>
      </c>
      <c r="T220" t="s">
        <v>2778</v>
      </c>
      <c r="U220" t="s">
        <v>2932</v>
      </c>
    </row>
    <row r="221" spans="1:21">
      <c r="A221">
        <v>106</v>
      </c>
      <c r="B221" t="s">
        <v>250</v>
      </c>
      <c r="C221" t="s">
        <v>102</v>
      </c>
      <c r="D221" t="s">
        <v>1840</v>
      </c>
      <c r="E221" t="s">
        <v>988</v>
      </c>
      <c r="F221" t="s">
        <v>948</v>
      </c>
      <c r="G221">
        <v>10</v>
      </c>
      <c r="H221" t="s">
        <v>249</v>
      </c>
      <c r="I221" t="s">
        <v>249</v>
      </c>
      <c r="J221"/>
      <c r="K221"/>
      <c r="L221" t="s">
        <v>1841</v>
      </c>
      <c r="M221" t="s">
        <v>351</v>
      </c>
      <c r="N221"/>
      <c r="O221"/>
      <c r="P221" t="s">
        <v>243</v>
      </c>
      <c r="Q221" t="s">
        <v>79</v>
      </c>
      <c r="R221" t="s">
        <v>441</v>
      </c>
      <c r="S221" t="s">
        <v>876</v>
      </c>
      <c r="T221" t="s">
        <v>3032</v>
      </c>
    </row>
    <row r="222" spans="1:21">
      <c r="A222">
        <v>167</v>
      </c>
      <c r="B222" t="s">
        <v>250</v>
      </c>
      <c r="C222" t="s">
        <v>759</v>
      </c>
      <c r="D222" t="s">
        <v>809</v>
      </c>
      <c r="E222" t="s">
        <v>949</v>
      </c>
      <c r="F222" t="s">
        <v>948</v>
      </c>
      <c r="G222">
        <v>10</v>
      </c>
      <c r="H222" t="s">
        <v>249</v>
      </c>
      <c r="I222" t="s">
        <v>249</v>
      </c>
      <c r="J222" t="s">
        <v>771</v>
      </c>
      <c r="K222" t="s">
        <v>2597</v>
      </c>
      <c r="L222" t="s">
        <v>1893</v>
      </c>
      <c r="M222" t="s">
        <v>351</v>
      </c>
      <c r="N222"/>
      <c r="O222"/>
      <c r="P222" t="s">
        <v>243</v>
      </c>
      <c r="Q222" t="s">
        <v>2661</v>
      </c>
      <c r="R222" t="s">
        <v>2692</v>
      </c>
      <c r="S222" t="s">
        <v>771</v>
      </c>
      <c r="U222" t="s">
        <v>2933</v>
      </c>
    </row>
    <row r="223" spans="1:21">
      <c r="A223">
        <v>203</v>
      </c>
      <c r="B223" t="s">
        <v>250</v>
      </c>
      <c r="C223" t="s">
        <v>1258</v>
      </c>
      <c r="D223" t="s">
        <v>1303</v>
      </c>
      <c r="E223" t="s">
        <v>949</v>
      </c>
      <c r="F223" t="s">
        <v>948</v>
      </c>
      <c r="G223">
        <v>50</v>
      </c>
      <c r="H223" t="s">
        <v>249</v>
      </c>
      <c r="I223" t="s">
        <v>249</v>
      </c>
      <c r="J223"/>
      <c r="K223"/>
      <c r="L223" t="s">
        <v>1921</v>
      </c>
      <c r="M223"/>
      <c r="N223"/>
      <c r="O223"/>
      <c r="P223" t="s">
        <v>243</v>
      </c>
      <c r="Q223" t="s">
        <v>2736</v>
      </c>
      <c r="R223" t="s">
        <v>2829</v>
      </c>
      <c r="S223" t="s">
        <v>1303</v>
      </c>
      <c r="T223" t="s">
        <v>2872</v>
      </c>
      <c r="U223" t="s">
        <v>3054</v>
      </c>
    </row>
    <row r="224" spans="1:21">
      <c r="A224">
        <v>70</v>
      </c>
      <c r="B224" t="s">
        <v>250</v>
      </c>
      <c r="C224" t="s">
        <v>125</v>
      </c>
      <c r="D224" t="s">
        <v>192</v>
      </c>
      <c r="E224" t="s">
        <v>949</v>
      </c>
      <c r="F224" t="s">
        <v>948</v>
      </c>
      <c r="G224">
        <v>8</v>
      </c>
      <c r="H224" t="s">
        <v>249</v>
      </c>
      <c r="I224" t="s">
        <v>249</v>
      </c>
      <c r="J224" t="s">
        <v>192</v>
      </c>
      <c r="K224" t="s">
        <v>2597</v>
      </c>
      <c r="L224" t="s">
        <v>1806</v>
      </c>
      <c r="M224" t="s">
        <v>351</v>
      </c>
      <c r="N224"/>
      <c r="O224"/>
      <c r="P224" t="s">
        <v>243</v>
      </c>
      <c r="Q224" t="s">
        <v>79</v>
      </c>
      <c r="R224" t="s">
        <v>2692</v>
      </c>
      <c r="S224" t="s">
        <v>192</v>
      </c>
      <c r="T224" t="s">
        <v>2779</v>
      </c>
    </row>
    <row r="225" spans="1:21">
      <c r="A225">
        <v>425</v>
      </c>
      <c r="B225" t="s">
        <v>250</v>
      </c>
      <c r="C225" t="s">
        <v>2262</v>
      </c>
      <c r="D225" t="s">
        <v>2311</v>
      </c>
      <c r="E225" t="s">
        <v>949</v>
      </c>
      <c r="F225" t="s">
        <v>948</v>
      </c>
      <c r="G225">
        <v>24</v>
      </c>
      <c r="H225" t="s">
        <v>249</v>
      </c>
      <c r="I225" t="s">
        <v>249</v>
      </c>
      <c r="J225"/>
      <c r="K225" t="s">
        <v>2598</v>
      </c>
      <c r="L225" t="s">
        <v>2377</v>
      </c>
      <c r="M225"/>
      <c r="N225"/>
      <c r="O225"/>
      <c r="P225" t="s">
        <v>249</v>
      </c>
      <c r="Q225" t="s">
        <v>79</v>
      </c>
      <c r="R225" t="s">
        <v>3034</v>
      </c>
      <c r="S225" t="s">
        <v>2311</v>
      </c>
      <c r="T225" t="s">
        <v>3055</v>
      </c>
    </row>
    <row r="226" spans="1:21">
      <c r="A226">
        <v>162</v>
      </c>
      <c r="B226" t="s">
        <v>250</v>
      </c>
      <c r="C226" t="s">
        <v>135</v>
      </c>
      <c r="D226" t="s">
        <v>805</v>
      </c>
      <c r="E226" t="s">
        <v>949</v>
      </c>
      <c r="F226" t="s">
        <v>948</v>
      </c>
      <c r="G226">
        <v>10</v>
      </c>
      <c r="H226" t="s">
        <v>249</v>
      </c>
      <c r="I226" t="s">
        <v>249</v>
      </c>
      <c r="J226"/>
      <c r="K226" t="s">
        <v>2597</v>
      </c>
      <c r="L226" t="s">
        <v>1890</v>
      </c>
      <c r="M226" t="s">
        <v>351</v>
      </c>
      <c r="N226"/>
      <c r="O226"/>
      <c r="P226" t="s">
        <v>249</v>
      </c>
    </row>
    <row r="227" spans="1:21">
      <c r="A227">
        <v>161</v>
      </c>
      <c r="B227" t="s">
        <v>250</v>
      </c>
      <c r="C227" t="s">
        <v>91</v>
      </c>
      <c r="D227" t="s">
        <v>366</v>
      </c>
      <c r="E227" t="s">
        <v>949</v>
      </c>
      <c r="F227" t="s">
        <v>948</v>
      </c>
      <c r="G227">
        <v>10</v>
      </c>
      <c r="H227" t="s">
        <v>249</v>
      </c>
      <c r="I227" t="s">
        <v>249</v>
      </c>
      <c r="J227" t="s">
        <v>628</v>
      </c>
      <c r="K227" t="s">
        <v>2597</v>
      </c>
      <c r="L227" t="s">
        <v>1889</v>
      </c>
      <c r="M227" t="s">
        <v>351</v>
      </c>
      <c r="N227"/>
      <c r="O227"/>
      <c r="P227" t="s">
        <v>249</v>
      </c>
    </row>
    <row r="228" spans="1:21">
      <c r="A228">
        <v>83</v>
      </c>
      <c r="B228" t="s">
        <v>250</v>
      </c>
      <c r="C228" t="s">
        <v>106</v>
      </c>
      <c r="D228" t="s">
        <v>399</v>
      </c>
      <c r="E228" t="s">
        <v>949</v>
      </c>
      <c r="F228" t="s">
        <v>948</v>
      </c>
      <c r="G228">
        <v>10</v>
      </c>
      <c r="H228" t="s">
        <v>249</v>
      </c>
      <c r="I228" t="s">
        <v>249</v>
      </c>
      <c r="J228"/>
      <c r="K228"/>
      <c r="L228" t="s">
        <v>1818</v>
      </c>
      <c r="M228"/>
      <c r="N228"/>
      <c r="O228"/>
      <c r="P228" t="s">
        <v>243</v>
      </c>
      <c r="Q228" t="s">
        <v>79</v>
      </c>
      <c r="R228" t="s">
        <v>2662</v>
      </c>
      <c r="S228" t="s">
        <v>399</v>
      </c>
      <c r="T228" t="s">
        <v>2871</v>
      </c>
    </row>
    <row r="229" spans="1:21">
      <c r="A229">
        <v>96</v>
      </c>
      <c r="B229" t="s">
        <v>250</v>
      </c>
      <c r="C229" t="s">
        <v>89</v>
      </c>
      <c r="D229" t="s">
        <v>775</v>
      </c>
      <c r="E229" t="s">
        <v>949</v>
      </c>
      <c r="F229" t="s">
        <v>948</v>
      </c>
      <c r="G229">
        <v>10</v>
      </c>
      <c r="H229" t="s">
        <v>249</v>
      </c>
      <c r="I229" t="s">
        <v>249</v>
      </c>
      <c r="J229" t="s">
        <v>703</v>
      </c>
      <c r="K229" t="s">
        <v>2597</v>
      </c>
      <c r="L229" t="s">
        <v>1476</v>
      </c>
      <c r="M229" t="s">
        <v>363</v>
      </c>
      <c r="N229"/>
      <c r="O229"/>
      <c r="P229" t="s">
        <v>243</v>
      </c>
      <c r="Q229" t="s">
        <v>79</v>
      </c>
      <c r="R229" t="s">
        <v>2692</v>
      </c>
      <c r="S229" t="s">
        <v>703</v>
      </c>
      <c r="T229" t="s">
        <v>2780</v>
      </c>
    </row>
    <row r="230" spans="1:21">
      <c r="A230">
        <v>403</v>
      </c>
      <c r="B230" t="s">
        <v>250</v>
      </c>
      <c r="C230" t="s">
        <v>2240</v>
      </c>
      <c r="D230" t="s">
        <v>2808</v>
      </c>
      <c r="E230" t="s">
        <v>949</v>
      </c>
      <c r="F230" t="s">
        <v>948</v>
      </c>
      <c r="G230">
        <v>16</v>
      </c>
      <c r="H230" t="s">
        <v>249</v>
      </c>
      <c r="I230" t="s">
        <v>249</v>
      </c>
      <c r="J230"/>
      <c r="K230"/>
      <c r="L230" t="s">
        <v>2355</v>
      </c>
      <c r="M230"/>
      <c r="N230"/>
      <c r="O230"/>
      <c r="P230" t="s">
        <v>243</v>
      </c>
      <c r="Q230" t="s">
        <v>2661</v>
      </c>
      <c r="R230" t="s">
        <v>2662</v>
      </c>
      <c r="S230" t="s">
        <v>2808</v>
      </c>
      <c r="U230" t="s">
        <v>2915</v>
      </c>
    </row>
    <row r="231" spans="1:21">
      <c r="A231">
        <v>151</v>
      </c>
      <c r="B231" t="s">
        <v>250</v>
      </c>
      <c r="C231" t="s">
        <v>182</v>
      </c>
      <c r="D231" t="s">
        <v>182</v>
      </c>
      <c r="E231" t="s">
        <v>949</v>
      </c>
      <c r="F231" t="s">
        <v>948</v>
      </c>
      <c r="G231">
        <v>10</v>
      </c>
      <c r="H231" t="s">
        <v>249</v>
      </c>
      <c r="I231" t="s">
        <v>249</v>
      </c>
      <c r="J231"/>
      <c r="K231"/>
      <c r="L231" t="s">
        <v>1880</v>
      </c>
      <c r="M231"/>
      <c r="N231"/>
      <c r="O231"/>
      <c r="P231" t="s">
        <v>249</v>
      </c>
    </row>
    <row r="232" spans="1:21">
      <c r="A232">
        <v>427</v>
      </c>
      <c r="B232" t="s">
        <v>250</v>
      </c>
      <c r="C232" t="s">
        <v>2264</v>
      </c>
      <c r="D232" t="s">
        <v>2313</v>
      </c>
      <c r="E232" t="s">
        <v>949</v>
      </c>
      <c r="F232" t="s">
        <v>948</v>
      </c>
      <c r="G232">
        <v>20</v>
      </c>
      <c r="H232" t="s">
        <v>249</v>
      </c>
      <c r="I232" t="s">
        <v>249</v>
      </c>
      <c r="J232"/>
      <c r="K232"/>
      <c r="L232" t="s">
        <v>2379</v>
      </c>
      <c r="M232"/>
      <c r="N232"/>
      <c r="O232"/>
      <c r="P232" t="s">
        <v>249</v>
      </c>
      <c r="Q232" t="s">
        <v>2736</v>
      </c>
      <c r="R232" t="s">
        <v>2662</v>
      </c>
      <c r="S232" t="s">
        <v>2313</v>
      </c>
      <c r="U232" t="s">
        <v>2934</v>
      </c>
    </row>
    <row r="233" spans="1:21">
      <c r="A233">
        <v>141</v>
      </c>
      <c r="B233" t="s">
        <v>250</v>
      </c>
      <c r="C233" t="s">
        <v>755</v>
      </c>
      <c r="D233" t="s">
        <v>446</v>
      </c>
      <c r="E233" t="s">
        <v>949</v>
      </c>
      <c r="F233" t="s">
        <v>948</v>
      </c>
      <c r="G233">
        <v>10</v>
      </c>
      <c r="H233" t="s">
        <v>249</v>
      </c>
      <c r="I233" t="s">
        <v>249</v>
      </c>
      <c r="J233"/>
      <c r="K233"/>
      <c r="L233" t="s">
        <v>1871</v>
      </c>
      <c r="M233"/>
      <c r="N233"/>
      <c r="O233"/>
      <c r="P233" t="s">
        <v>243</v>
      </c>
      <c r="Q233" t="s">
        <v>2661</v>
      </c>
      <c r="R233" t="s">
        <v>2662</v>
      </c>
      <c r="S233" t="s">
        <v>446</v>
      </c>
      <c r="U233" t="s">
        <v>2935</v>
      </c>
    </row>
    <row r="234" spans="1:21">
      <c r="A234">
        <v>169</v>
      </c>
      <c r="B234" t="s">
        <v>250</v>
      </c>
      <c r="C234" t="s">
        <v>761</v>
      </c>
      <c r="D234" t="s">
        <v>811</v>
      </c>
      <c r="E234" t="s">
        <v>949</v>
      </c>
      <c r="F234" t="s">
        <v>948</v>
      </c>
      <c r="G234">
        <v>10</v>
      </c>
      <c r="H234" t="s">
        <v>249</v>
      </c>
      <c r="I234" t="s">
        <v>249</v>
      </c>
      <c r="J234"/>
      <c r="K234"/>
      <c r="L234" t="s">
        <v>1895</v>
      </c>
      <c r="M234"/>
      <c r="N234"/>
      <c r="O234"/>
      <c r="P234" t="s">
        <v>243</v>
      </c>
      <c r="Q234" t="s">
        <v>2661</v>
      </c>
      <c r="R234" t="s">
        <v>2829</v>
      </c>
      <c r="S234" t="s">
        <v>811</v>
      </c>
      <c r="U234" t="s">
        <v>2918</v>
      </c>
    </row>
    <row r="235" spans="1:21">
      <c r="A235">
        <v>144</v>
      </c>
      <c r="B235" t="s">
        <v>250</v>
      </c>
      <c r="C235" t="s">
        <v>119</v>
      </c>
      <c r="D235" t="s">
        <v>365</v>
      </c>
      <c r="E235" t="s">
        <v>949</v>
      </c>
      <c r="F235" t="s">
        <v>948</v>
      </c>
      <c r="G235">
        <v>10</v>
      </c>
      <c r="H235" t="s">
        <v>249</v>
      </c>
      <c r="I235" t="s">
        <v>249</v>
      </c>
      <c r="J235"/>
      <c r="K235" t="s">
        <v>2598</v>
      </c>
      <c r="L235" t="s">
        <v>1874</v>
      </c>
      <c r="M235" t="s">
        <v>351</v>
      </c>
      <c r="N235"/>
      <c r="O235"/>
      <c r="P235" t="s">
        <v>243</v>
      </c>
      <c r="Q235" t="s">
        <v>2661</v>
      </c>
      <c r="R235" t="s">
        <v>3034</v>
      </c>
      <c r="S235" t="s">
        <v>365</v>
      </c>
      <c r="U235" t="s">
        <v>2916</v>
      </c>
    </row>
    <row r="236" spans="1:21">
      <c r="A236">
        <v>115</v>
      </c>
      <c r="B236" t="s">
        <v>250</v>
      </c>
      <c r="C236" t="s">
        <v>172</v>
      </c>
      <c r="D236" t="s">
        <v>666</v>
      </c>
      <c r="E236" t="s">
        <v>949</v>
      </c>
      <c r="F236" t="s">
        <v>948</v>
      </c>
      <c r="G236">
        <v>10</v>
      </c>
      <c r="H236" t="s">
        <v>249</v>
      </c>
      <c r="I236" t="s">
        <v>249</v>
      </c>
      <c r="J236" t="s">
        <v>666</v>
      </c>
      <c r="K236" t="s">
        <v>2597</v>
      </c>
      <c r="L236" t="s">
        <v>1849</v>
      </c>
      <c r="M236" t="s">
        <v>351</v>
      </c>
      <c r="N236"/>
      <c r="O236"/>
      <c r="P236" t="s">
        <v>243</v>
      </c>
      <c r="Q236" t="s">
        <v>79</v>
      </c>
      <c r="R236" t="s">
        <v>2692</v>
      </c>
      <c r="S236" t="s">
        <v>666</v>
      </c>
      <c r="T236" t="s">
        <v>2781</v>
      </c>
    </row>
    <row r="237" spans="1:21">
      <c r="A237">
        <v>189</v>
      </c>
      <c r="B237" t="s">
        <v>250</v>
      </c>
      <c r="C237" t="s">
        <v>1249</v>
      </c>
      <c r="D237" t="s">
        <v>1250</v>
      </c>
      <c r="E237" t="s">
        <v>949</v>
      </c>
      <c r="F237" t="s">
        <v>948</v>
      </c>
      <c r="G237">
        <v>10</v>
      </c>
      <c r="H237" t="s">
        <v>249</v>
      </c>
      <c r="I237" t="s">
        <v>249</v>
      </c>
      <c r="J237" t="s">
        <v>1250</v>
      </c>
      <c r="K237" t="s">
        <v>2597</v>
      </c>
      <c r="L237" t="s">
        <v>1916</v>
      </c>
      <c r="M237"/>
      <c r="N237"/>
      <c r="O237"/>
      <c r="P237" t="s">
        <v>243</v>
      </c>
      <c r="Q237" t="s">
        <v>2661</v>
      </c>
      <c r="R237" t="s">
        <v>2692</v>
      </c>
      <c r="S237" t="s">
        <v>1250</v>
      </c>
      <c r="U237" t="s">
        <v>2917</v>
      </c>
    </row>
    <row r="238" spans="1:21">
      <c r="A238">
        <v>200</v>
      </c>
      <c r="B238" t="s">
        <v>250</v>
      </c>
      <c r="C238" t="s">
        <v>1255</v>
      </c>
      <c r="D238" t="s">
        <v>1300</v>
      </c>
      <c r="E238" t="s">
        <v>949</v>
      </c>
      <c r="F238" t="s">
        <v>948</v>
      </c>
      <c r="G238">
        <v>50</v>
      </c>
      <c r="H238" t="s">
        <v>249</v>
      </c>
      <c r="I238" t="s">
        <v>249</v>
      </c>
      <c r="J238"/>
      <c r="K238"/>
      <c r="L238" t="s">
        <v>1918</v>
      </c>
      <c r="M238"/>
      <c r="N238"/>
      <c r="O238"/>
      <c r="P238" t="s">
        <v>243</v>
      </c>
      <c r="Q238" t="s">
        <v>2736</v>
      </c>
      <c r="R238" t="s">
        <v>2829</v>
      </c>
      <c r="S238" t="s">
        <v>1300</v>
      </c>
      <c r="T238" t="s">
        <v>2873</v>
      </c>
      <c r="U238" t="s">
        <v>3056</v>
      </c>
    </row>
    <row r="239" spans="1:21">
      <c r="A239">
        <v>97</v>
      </c>
      <c r="B239" t="s">
        <v>250</v>
      </c>
      <c r="C239" t="s">
        <v>161</v>
      </c>
      <c r="D239" t="s">
        <v>720</v>
      </c>
      <c r="E239" t="s">
        <v>949</v>
      </c>
      <c r="F239" t="s">
        <v>948</v>
      </c>
      <c r="G239">
        <v>10</v>
      </c>
      <c r="H239" t="s">
        <v>249</v>
      </c>
      <c r="I239" t="s">
        <v>249</v>
      </c>
      <c r="J239" t="s">
        <v>672</v>
      </c>
      <c r="K239" t="s">
        <v>2597</v>
      </c>
      <c r="L239" t="s">
        <v>1831</v>
      </c>
      <c r="M239" t="s">
        <v>351</v>
      </c>
      <c r="N239"/>
      <c r="O239"/>
      <c r="P239" t="s">
        <v>249</v>
      </c>
      <c r="Q239" t="s">
        <v>79</v>
      </c>
      <c r="R239" t="s">
        <v>2692</v>
      </c>
      <c r="S239" t="s">
        <v>2694</v>
      </c>
    </row>
    <row r="240" spans="1:21">
      <c r="A240">
        <v>98</v>
      </c>
      <c r="B240" t="s">
        <v>250</v>
      </c>
      <c r="C240" t="s">
        <v>97</v>
      </c>
      <c r="D240" t="s">
        <v>768</v>
      </c>
      <c r="E240" t="s">
        <v>949</v>
      </c>
      <c r="F240" t="s">
        <v>948</v>
      </c>
      <c r="G240">
        <v>10</v>
      </c>
      <c r="H240" t="s">
        <v>249</v>
      </c>
      <c r="I240" t="s">
        <v>249</v>
      </c>
      <c r="J240" t="s">
        <v>1223</v>
      </c>
      <c r="K240" t="s">
        <v>2597</v>
      </c>
      <c r="L240" t="s">
        <v>1832</v>
      </c>
      <c r="M240" t="s">
        <v>351</v>
      </c>
      <c r="N240"/>
      <c r="O240"/>
      <c r="P240" t="s">
        <v>243</v>
      </c>
      <c r="Q240" t="s">
        <v>79</v>
      </c>
      <c r="R240" t="s">
        <v>2692</v>
      </c>
      <c r="S240" t="s">
        <v>768</v>
      </c>
      <c r="T240" t="s">
        <v>2783</v>
      </c>
    </row>
    <row r="241" spans="1:21">
      <c r="A241">
        <v>202</v>
      </c>
      <c r="B241" t="s">
        <v>250</v>
      </c>
      <c r="C241" t="s">
        <v>1257</v>
      </c>
      <c r="D241" t="s">
        <v>1302</v>
      </c>
      <c r="E241" t="s">
        <v>949</v>
      </c>
      <c r="F241" t="s">
        <v>948</v>
      </c>
      <c r="G241">
        <v>50</v>
      </c>
      <c r="H241" t="s">
        <v>249</v>
      </c>
      <c r="I241" t="s">
        <v>249</v>
      </c>
      <c r="J241"/>
      <c r="K241"/>
      <c r="L241" t="s">
        <v>1920</v>
      </c>
      <c r="M241"/>
      <c r="N241"/>
      <c r="O241"/>
      <c r="P241" t="s">
        <v>243</v>
      </c>
      <c r="Q241" t="s">
        <v>2736</v>
      </c>
      <c r="R241" t="s">
        <v>2829</v>
      </c>
      <c r="S241" t="s">
        <v>1302</v>
      </c>
      <c r="T241" t="s">
        <v>2874</v>
      </c>
      <c r="U241" t="s">
        <v>3057</v>
      </c>
    </row>
    <row r="242" spans="1:21">
      <c r="A242">
        <v>136</v>
      </c>
      <c r="B242" t="s">
        <v>250</v>
      </c>
      <c r="C242" t="s">
        <v>146</v>
      </c>
      <c r="D242" t="s">
        <v>793</v>
      </c>
      <c r="E242" t="s">
        <v>949</v>
      </c>
      <c r="F242" t="s">
        <v>948</v>
      </c>
      <c r="G242">
        <v>10</v>
      </c>
      <c r="H242" t="s">
        <v>249</v>
      </c>
      <c r="I242" t="s">
        <v>249</v>
      </c>
      <c r="J242"/>
      <c r="K242"/>
      <c r="L242" t="s">
        <v>1866</v>
      </c>
      <c r="M242"/>
      <c r="N242"/>
      <c r="O242"/>
      <c r="P242" t="s">
        <v>243</v>
      </c>
      <c r="Q242" t="s">
        <v>79</v>
      </c>
      <c r="R242" t="s">
        <v>2829</v>
      </c>
      <c r="S242" t="s">
        <v>793</v>
      </c>
      <c r="T242" t="s">
        <v>2877</v>
      </c>
    </row>
    <row r="243" spans="1:21">
      <c r="A243">
        <v>173</v>
      </c>
      <c r="B243" t="s">
        <v>250</v>
      </c>
      <c r="C243" t="s">
        <v>765</v>
      </c>
      <c r="D243" t="s">
        <v>815</v>
      </c>
      <c r="E243" t="s">
        <v>988</v>
      </c>
      <c r="F243" t="s">
        <v>948</v>
      </c>
      <c r="G243">
        <v>10</v>
      </c>
      <c r="H243" t="s">
        <v>243</v>
      </c>
      <c r="I243" t="s">
        <v>249</v>
      </c>
      <c r="J243"/>
      <c r="K243"/>
      <c r="L243" t="s">
        <v>1899</v>
      </c>
      <c r="M243"/>
      <c r="N243"/>
      <c r="O243"/>
      <c r="P243" t="s">
        <v>243</v>
      </c>
      <c r="Q243" t="s">
        <v>2661</v>
      </c>
      <c r="R243" t="s">
        <v>441</v>
      </c>
      <c r="S243" t="s">
        <v>2739</v>
      </c>
      <c r="U243" t="s">
        <v>2919</v>
      </c>
    </row>
    <row r="244" spans="1:21">
      <c r="A244">
        <v>426</v>
      </c>
      <c r="B244" t="s">
        <v>250</v>
      </c>
      <c r="C244" t="s">
        <v>2263</v>
      </c>
      <c r="D244" t="s">
        <v>2312</v>
      </c>
      <c r="E244" t="s">
        <v>949</v>
      </c>
      <c r="F244" t="s">
        <v>948</v>
      </c>
      <c r="G244">
        <v>24</v>
      </c>
      <c r="H244" t="s">
        <v>249</v>
      </c>
      <c r="I244" t="s">
        <v>249</v>
      </c>
      <c r="J244"/>
      <c r="K244" t="s">
        <v>2598</v>
      </c>
      <c r="L244" t="s">
        <v>2378</v>
      </c>
      <c r="M244"/>
      <c r="N244"/>
      <c r="O244"/>
      <c r="P244" t="s">
        <v>249</v>
      </c>
      <c r="Q244" t="s">
        <v>79</v>
      </c>
      <c r="R244" t="s">
        <v>3034</v>
      </c>
      <c r="S244" t="s">
        <v>2312</v>
      </c>
      <c r="T244" t="s">
        <v>3058</v>
      </c>
    </row>
    <row r="245" spans="1:21">
      <c r="A245">
        <v>135</v>
      </c>
      <c r="B245" t="s">
        <v>250</v>
      </c>
      <c r="C245" t="s">
        <v>1208</v>
      </c>
      <c r="D245" t="s">
        <v>2416</v>
      </c>
      <c r="E245" t="s">
        <v>949</v>
      </c>
      <c r="F245" t="s">
        <v>948</v>
      </c>
      <c r="G245">
        <v>10</v>
      </c>
      <c r="H245" t="s">
        <v>249</v>
      </c>
      <c r="I245" t="s">
        <v>249</v>
      </c>
      <c r="J245" t="s">
        <v>1224</v>
      </c>
      <c r="K245" t="s">
        <v>2597</v>
      </c>
      <c r="L245" t="s">
        <v>1865</v>
      </c>
      <c r="M245"/>
      <c r="N245"/>
      <c r="O245"/>
      <c r="P245" t="s">
        <v>249</v>
      </c>
      <c r="Q245" t="s">
        <v>79</v>
      </c>
      <c r="R245" t="s">
        <v>2692</v>
      </c>
      <c r="S245" t="s">
        <v>2696</v>
      </c>
    </row>
    <row r="246" spans="1:21">
      <c r="A246">
        <v>163</v>
      </c>
      <c r="B246" t="s">
        <v>250</v>
      </c>
      <c r="C246" t="s">
        <v>114</v>
      </c>
      <c r="D246" t="s">
        <v>190</v>
      </c>
      <c r="E246" t="s">
        <v>949</v>
      </c>
      <c r="F246" t="s">
        <v>948</v>
      </c>
      <c r="G246">
        <v>10</v>
      </c>
      <c r="H246" t="s">
        <v>249</v>
      </c>
      <c r="I246" t="s">
        <v>249</v>
      </c>
      <c r="J246" t="s">
        <v>190</v>
      </c>
      <c r="K246" t="s">
        <v>2597</v>
      </c>
      <c r="L246" t="s">
        <v>1437</v>
      </c>
      <c r="M246" t="s">
        <v>351</v>
      </c>
      <c r="N246"/>
      <c r="O246"/>
      <c r="P246" t="s">
        <v>249</v>
      </c>
      <c r="Q246" t="s">
        <v>2661</v>
      </c>
      <c r="R246" t="s">
        <v>2692</v>
      </c>
      <c r="S246" t="s">
        <v>190</v>
      </c>
      <c r="U246" t="s">
        <v>2936</v>
      </c>
    </row>
    <row r="247" spans="1:21">
      <c r="A247">
        <v>154</v>
      </c>
      <c r="B247" t="s">
        <v>250</v>
      </c>
      <c r="C247" t="s">
        <v>123</v>
      </c>
      <c r="D247" t="s">
        <v>802</v>
      </c>
      <c r="E247" t="s">
        <v>949</v>
      </c>
      <c r="F247" t="s">
        <v>948</v>
      </c>
      <c r="G247">
        <v>10</v>
      </c>
      <c r="H247" t="s">
        <v>249</v>
      </c>
      <c r="I247" t="s">
        <v>249</v>
      </c>
      <c r="J247" t="s">
        <v>674</v>
      </c>
      <c r="K247" t="s">
        <v>2597</v>
      </c>
      <c r="L247" t="s">
        <v>1883</v>
      </c>
      <c r="M247" t="s">
        <v>351</v>
      </c>
      <c r="N247"/>
      <c r="O247"/>
      <c r="P247" t="s">
        <v>243</v>
      </c>
      <c r="Q247" t="s">
        <v>2661</v>
      </c>
      <c r="R247" t="s">
        <v>3035</v>
      </c>
      <c r="S247" t="s">
        <v>674</v>
      </c>
      <c r="U247" t="s">
        <v>2785</v>
      </c>
    </row>
    <row r="248" spans="1:21">
      <c r="A248">
        <v>100</v>
      </c>
      <c r="B248" t="s">
        <v>250</v>
      </c>
      <c r="C248" t="s">
        <v>162</v>
      </c>
      <c r="D248" t="s">
        <v>18</v>
      </c>
      <c r="E248" t="s">
        <v>949</v>
      </c>
      <c r="F248" t="s">
        <v>948</v>
      </c>
      <c r="G248">
        <v>10</v>
      </c>
      <c r="H248" t="s">
        <v>249</v>
      </c>
      <c r="I248" t="s">
        <v>249</v>
      </c>
      <c r="J248" t="s">
        <v>18</v>
      </c>
      <c r="K248" t="s">
        <v>2597</v>
      </c>
      <c r="L248" t="s">
        <v>1834</v>
      </c>
      <c r="M248" t="s">
        <v>351</v>
      </c>
      <c r="N248"/>
      <c r="O248"/>
      <c r="P248" t="s">
        <v>243</v>
      </c>
      <c r="Q248" t="s">
        <v>2736</v>
      </c>
      <c r="R248" t="s">
        <v>2692</v>
      </c>
      <c r="S248" t="s">
        <v>18</v>
      </c>
      <c r="T248" t="s">
        <v>2786</v>
      </c>
      <c r="U248" t="s">
        <v>2920</v>
      </c>
    </row>
    <row r="249" spans="1:21">
      <c r="A249">
        <v>152</v>
      </c>
      <c r="B249" t="s">
        <v>250</v>
      </c>
      <c r="C249" t="s">
        <v>109</v>
      </c>
      <c r="D249" t="s">
        <v>800</v>
      </c>
      <c r="E249" t="s">
        <v>988</v>
      </c>
      <c r="F249" t="s">
        <v>948</v>
      </c>
      <c r="G249">
        <v>10</v>
      </c>
      <c r="H249" t="s">
        <v>243</v>
      </c>
      <c r="I249" t="s">
        <v>249</v>
      </c>
      <c r="J249"/>
      <c r="K249"/>
      <c r="L249" t="s">
        <v>1881</v>
      </c>
      <c r="M249"/>
      <c r="N249"/>
      <c r="O249"/>
      <c r="P249" t="s">
        <v>243</v>
      </c>
      <c r="Q249" t="s">
        <v>79</v>
      </c>
      <c r="R249" t="s">
        <v>441</v>
      </c>
      <c r="S249" t="s">
        <v>800</v>
      </c>
      <c r="T249" t="s">
        <v>2875</v>
      </c>
    </row>
    <row r="250" spans="1:21">
      <c r="A250">
        <v>112</v>
      </c>
      <c r="B250" t="s">
        <v>250</v>
      </c>
      <c r="C250" t="s">
        <v>169</v>
      </c>
      <c r="D250" t="s">
        <v>678</v>
      </c>
      <c r="E250" t="s">
        <v>949</v>
      </c>
      <c r="F250" t="s">
        <v>948</v>
      </c>
      <c r="G250">
        <v>10</v>
      </c>
      <c r="H250" t="s">
        <v>249</v>
      </c>
      <c r="I250" t="s">
        <v>249</v>
      </c>
      <c r="J250" t="s">
        <v>678</v>
      </c>
      <c r="K250" t="s">
        <v>2597</v>
      </c>
      <c r="L250" t="s">
        <v>1847</v>
      </c>
      <c r="M250" t="s">
        <v>351</v>
      </c>
      <c r="N250"/>
      <c r="O250"/>
      <c r="P250" t="s">
        <v>243</v>
      </c>
      <c r="Q250" t="s">
        <v>79</v>
      </c>
      <c r="R250" t="s">
        <v>2692</v>
      </c>
      <c r="S250" t="s">
        <v>678</v>
      </c>
      <c r="T250" t="s">
        <v>2787</v>
      </c>
    </row>
    <row r="251" spans="1:21">
      <c r="A251">
        <v>148</v>
      </c>
      <c r="B251" t="s">
        <v>250</v>
      </c>
      <c r="C251" t="s">
        <v>145</v>
      </c>
      <c r="D251" t="s">
        <v>798</v>
      </c>
      <c r="E251" t="s">
        <v>949</v>
      </c>
      <c r="F251" t="s">
        <v>948</v>
      </c>
      <c r="G251">
        <v>10</v>
      </c>
      <c r="H251" t="s">
        <v>249</v>
      </c>
      <c r="I251" t="s">
        <v>249</v>
      </c>
      <c r="J251"/>
      <c r="K251"/>
      <c r="L251" t="s">
        <v>1878</v>
      </c>
      <c r="M251"/>
      <c r="N251"/>
      <c r="O251"/>
      <c r="P251" t="s">
        <v>249</v>
      </c>
    </row>
    <row r="252" spans="1:21">
      <c r="A252">
        <v>78</v>
      </c>
      <c r="B252" t="s">
        <v>250</v>
      </c>
      <c r="C252" t="s">
        <v>115</v>
      </c>
      <c r="D252" t="s">
        <v>1225</v>
      </c>
      <c r="E252" t="s">
        <v>949</v>
      </c>
      <c r="F252" t="s">
        <v>948</v>
      </c>
      <c r="G252">
        <v>10</v>
      </c>
      <c r="H252" t="s">
        <v>249</v>
      </c>
      <c r="I252" t="s">
        <v>249</v>
      </c>
      <c r="J252" t="s">
        <v>80</v>
      </c>
      <c r="K252" t="s">
        <v>2597</v>
      </c>
      <c r="L252" t="s">
        <v>1813</v>
      </c>
      <c r="M252" t="s">
        <v>351</v>
      </c>
      <c r="N252"/>
      <c r="O252"/>
      <c r="P252" t="s">
        <v>243</v>
      </c>
      <c r="Q252" t="s">
        <v>79</v>
      </c>
      <c r="R252" t="s">
        <v>2692</v>
      </c>
      <c r="S252" t="s">
        <v>80</v>
      </c>
      <c r="T252" t="s">
        <v>2788</v>
      </c>
    </row>
    <row r="253" spans="1:21">
      <c r="A253">
        <v>147</v>
      </c>
      <c r="B253" t="s">
        <v>250</v>
      </c>
      <c r="C253" t="s">
        <v>163</v>
      </c>
      <c r="D253" t="s">
        <v>797</v>
      </c>
      <c r="E253" t="s">
        <v>949</v>
      </c>
      <c r="F253" t="s">
        <v>948</v>
      </c>
      <c r="G253">
        <v>10</v>
      </c>
      <c r="H253" t="s">
        <v>249</v>
      </c>
      <c r="I253" t="s">
        <v>249</v>
      </c>
      <c r="J253"/>
      <c r="K253" t="s">
        <v>2598</v>
      </c>
      <c r="L253" t="s">
        <v>1877</v>
      </c>
      <c r="M253"/>
      <c r="N253"/>
      <c r="O253"/>
      <c r="P253" t="s">
        <v>243</v>
      </c>
      <c r="Q253" t="s">
        <v>79</v>
      </c>
      <c r="R253" t="s">
        <v>3034</v>
      </c>
      <c r="S253" t="s">
        <v>797</v>
      </c>
      <c r="T253" t="s">
        <v>2876</v>
      </c>
    </row>
    <row r="254" spans="1:21">
      <c r="A254">
        <v>397</v>
      </c>
      <c r="B254" t="s">
        <v>250</v>
      </c>
      <c r="C254" t="s">
        <v>2082</v>
      </c>
      <c r="D254" t="s">
        <v>2291</v>
      </c>
      <c r="E254" t="s">
        <v>949</v>
      </c>
      <c r="F254" t="s">
        <v>948</v>
      </c>
      <c r="G254">
        <v>14</v>
      </c>
      <c r="H254" t="s">
        <v>249</v>
      </c>
      <c r="I254" t="s">
        <v>249</v>
      </c>
      <c r="J254" t="s">
        <v>475</v>
      </c>
      <c r="K254" t="s">
        <v>2597</v>
      </c>
      <c r="L254" t="s">
        <v>2350</v>
      </c>
      <c r="M254" t="s">
        <v>351</v>
      </c>
      <c r="N254"/>
      <c r="O254"/>
      <c r="P254" t="s">
        <v>243</v>
      </c>
      <c r="Q254" t="s">
        <v>2661</v>
      </c>
      <c r="R254" t="s">
        <v>2692</v>
      </c>
      <c r="S254" t="s">
        <v>2291</v>
      </c>
      <c r="U254" t="s">
        <v>2789</v>
      </c>
    </row>
    <row r="255" spans="1:21">
      <c r="A255">
        <v>420</v>
      </c>
      <c r="B255" t="s">
        <v>250</v>
      </c>
      <c r="C255" t="s">
        <v>2257</v>
      </c>
      <c r="D255" t="s">
        <v>2306</v>
      </c>
      <c r="E255" t="s">
        <v>949</v>
      </c>
      <c r="F255" t="s">
        <v>948</v>
      </c>
      <c r="G255">
        <v>50</v>
      </c>
      <c r="H255" t="s">
        <v>249</v>
      </c>
      <c r="I255" t="s">
        <v>249</v>
      </c>
      <c r="J255"/>
      <c r="K255"/>
      <c r="L255" t="s">
        <v>2372</v>
      </c>
      <c r="M255"/>
      <c r="N255"/>
      <c r="O255"/>
      <c r="P255" t="s">
        <v>243</v>
      </c>
      <c r="Q255" t="s">
        <v>2736</v>
      </c>
      <c r="R255" t="s">
        <v>2829</v>
      </c>
      <c r="S255" t="s">
        <v>2306</v>
      </c>
      <c r="T255" t="s">
        <v>2878</v>
      </c>
      <c r="U255" t="s">
        <v>2922</v>
      </c>
    </row>
    <row r="256" spans="1:21">
      <c r="A256">
        <v>77</v>
      </c>
      <c r="B256" t="s">
        <v>250</v>
      </c>
      <c r="C256" t="s">
        <v>113</v>
      </c>
      <c r="D256" t="s">
        <v>2411</v>
      </c>
      <c r="E256" t="s">
        <v>949</v>
      </c>
      <c r="F256" t="s">
        <v>948</v>
      </c>
      <c r="G256">
        <v>10</v>
      </c>
      <c r="H256" t="s">
        <v>249</v>
      </c>
      <c r="I256" t="s">
        <v>249</v>
      </c>
      <c r="J256" t="s">
        <v>2411</v>
      </c>
      <c r="K256" t="s">
        <v>2597</v>
      </c>
      <c r="L256" t="s">
        <v>1812</v>
      </c>
      <c r="M256" t="s">
        <v>351</v>
      </c>
      <c r="N256"/>
      <c r="O256"/>
      <c r="P256" t="s">
        <v>243</v>
      </c>
      <c r="Q256" t="s">
        <v>2736</v>
      </c>
      <c r="R256" t="s">
        <v>2692</v>
      </c>
      <c r="S256" t="s">
        <v>2411</v>
      </c>
      <c r="T256" t="s">
        <v>2816</v>
      </c>
      <c r="U256" t="s">
        <v>2983</v>
      </c>
    </row>
    <row r="257" spans="1:21">
      <c r="A257">
        <v>398</v>
      </c>
      <c r="B257" t="s">
        <v>250</v>
      </c>
      <c r="C257" t="s">
        <v>2083</v>
      </c>
      <c r="D257" t="s">
        <v>2292</v>
      </c>
      <c r="E257" t="s">
        <v>949</v>
      </c>
      <c r="F257" t="s">
        <v>948</v>
      </c>
      <c r="G257">
        <v>12</v>
      </c>
      <c r="H257" t="s">
        <v>249</v>
      </c>
      <c r="I257" t="s">
        <v>249</v>
      </c>
      <c r="J257" t="s">
        <v>2292</v>
      </c>
      <c r="K257" t="s">
        <v>2597</v>
      </c>
      <c r="L257" t="s">
        <v>2351</v>
      </c>
      <c r="M257" t="s">
        <v>351</v>
      </c>
      <c r="N257"/>
      <c r="O257"/>
      <c r="P257" t="s">
        <v>243</v>
      </c>
      <c r="Q257" t="s">
        <v>2661</v>
      </c>
      <c r="R257" t="s">
        <v>2692</v>
      </c>
      <c r="S257" t="s">
        <v>2292</v>
      </c>
      <c r="U257" t="s">
        <v>2921</v>
      </c>
    </row>
    <row r="258" spans="1:21">
      <c r="A258">
        <v>75</v>
      </c>
      <c r="B258" t="s">
        <v>250</v>
      </c>
      <c r="C258" t="s">
        <v>112</v>
      </c>
      <c r="D258" t="s">
        <v>715</v>
      </c>
      <c r="E258" t="s">
        <v>949</v>
      </c>
      <c r="F258" t="s">
        <v>948</v>
      </c>
      <c r="G258">
        <v>10</v>
      </c>
      <c r="H258" t="s">
        <v>249</v>
      </c>
      <c r="I258" t="s">
        <v>249</v>
      </c>
      <c r="J258" t="s">
        <v>715</v>
      </c>
      <c r="K258" t="s">
        <v>2597</v>
      </c>
      <c r="L258" t="s">
        <v>1474</v>
      </c>
      <c r="M258" t="s">
        <v>351</v>
      </c>
      <c r="N258"/>
      <c r="O258"/>
      <c r="P258" t="s">
        <v>243</v>
      </c>
      <c r="Q258" t="s">
        <v>2736</v>
      </c>
      <c r="R258" t="s">
        <v>2692</v>
      </c>
      <c r="S258" t="s">
        <v>715</v>
      </c>
      <c r="T258" t="s">
        <v>2790</v>
      </c>
      <c r="U258" t="s">
        <v>2937</v>
      </c>
    </row>
    <row r="259" spans="1:21">
      <c r="A259">
        <v>399</v>
      </c>
      <c r="B259" t="s">
        <v>250</v>
      </c>
      <c r="C259" t="s">
        <v>2084</v>
      </c>
      <c r="D259" t="s">
        <v>2293</v>
      </c>
      <c r="E259" t="s">
        <v>949</v>
      </c>
      <c r="F259" t="s">
        <v>948</v>
      </c>
      <c r="G259">
        <v>12</v>
      </c>
      <c r="H259" t="s">
        <v>249</v>
      </c>
      <c r="I259" t="s">
        <v>249</v>
      </c>
      <c r="J259" t="s">
        <v>473</v>
      </c>
      <c r="K259" t="s">
        <v>2597</v>
      </c>
      <c r="L259" t="s">
        <v>2352</v>
      </c>
      <c r="M259" t="s">
        <v>351</v>
      </c>
      <c r="N259"/>
      <c r="O259"/>
      <c r="P259" t="s">
        <v>243</v>
      </c>
      <c r="Q259" t="s">
        <v>2661</v>
      </c>
      <c r="R259" t="s">
        <v>2692</v>
      </c>
      <c r="S259" t="s">
        <v>2293</v>
      </c>
      <c r="U259" t="s">
        <v>2791</v>
      </c>
    </row>
    <row r="260" spans="1:21">
      <c r="A260">
        <v>178</v>
      </c>
      <c r="B260" t="s">
        <v>250</v>
      </c>
      <c r="C260" t="s">
        <v>1212</v>
      </c>
      <c r="D260" t="s">
        <v>1233</v>
      </c>
      <c r="E260" t="s">
        <v>949</v>
      </c>
      <c r="F260" t="s">
        <v>948</v>
      </c>
      <c r="G260">
        <v>50</v>
      </c>
      <c r="H260" t="s">
        <v>249</v>
      </c>
      <c r="I260" t="s">
        <v>249</v>
      </c>
      <c r="J260"/>
      <c r="K260"/>
      <c r="L260" t="s">
        <v>1904</v>
      </c>
      <c r="M260"/>
      <c r="N260"/>
      <c r="O260"/>
      <c r="P260" t="s">
        <v>243</v>
      </c>
      <c r="Q260" t="s">
        <v>79</v>
      </c>
      <c r="R260" t="s">
        <v>2829</v>
      </c>
      <c r="S260" t="s">
        <v>1233</v>
      </c>
      <c r="T260" t="s">
        <v>2879</v>
      </c>
    </row>
    <row r="261" spans="1:21">
      <c r="A261">
        <v>396</v>
      </c>
      <c r="B261" t="s">
        <v>250</v>
      </c>
      <c r="C261" t="s">
        <v>2094</v>
      </c>
      <c r="D261" t="s">
        <v>2092</v>
      </c>
      <c r="E261" t="s">
        <v>949</v>
      </c>
      <c r="F261" t="s">
        <v>948</v>
      </c>
      <c r="G261">
        <v>12</v>
      </c>
      <c r="H261" t="s">
        <v>249</v>
      </c>
      <c r="I261" t="s">
        <v>249</v>
      </c>
      <c r="J261" t="s">
        <v>2092</v>
      </c>
      <c r="K261" t="s">
        <v>2597</v>
      </c>
      <c r="L261" t="s">
        <v>2349</v>
      </c>
      <c r="M261" t="s">
        <v>351</v>
      </c>
      <c r="N261"/>
      <c r="O261"/>
      <c r="P261" t="s">
        <v>243</v>
      </c>
      <c r="Q261" t="s">
        <v>2661</v>
      </c>
      <c r="R261" t="s">
        <v>2692</v>
      </c>
      <c r="S261" t="s">
        <v>2092</v>
      </c>
      <c r="U261" t="s">
        <v>2923</v>
      </c>
    </row>
    <row r="262" spans="1:21">
      <c r="A262">
        <v>68</v>
      </c>
      <c r="B262" t="s">
        <v>250</v>
      </c>
      <c r="C262" t="s">
        <v>748</v>
      </c>
      <c r="D262" t="s">
        <v>261</v>
      </c>
      <c r="E262" t="s">
        <v>949</v>
      </c>
      <c r="F262" t="s">
        <v>948</v>
      </c>
      <c r="G262">
        <v>7</v>
      </c>
      <c r="H262" t="s">
        <v>249</v>
      </c>
      <c r="I262" t="s">
        <v>249</v>
      </c>
      <c r="J262"/>
      <c r="K262"/>
      <c r="L262" t="s">
        <v>1803</v>
      </c>
      <c r="M262"/>
      <c r="N262"/>
      <c r="O262"/>
      <c r="P262" t="s">
        <v>249</v>
      </c>
    </row>
    <row r="263" spans="1:21">
      <c r="A263">
        <v>72</v>
      </c>
      <c r="B263" t="s">
        <v>250</v>
      </c>
      <c r="C263" t="s">
        <v>137</v>
      </c>
      <c r="D263" t="s">
        <v>396</v>
      </c>
      <c r="E263" t="s">
        <v>949</v>
      </c>
      <c r="F263" t="s">
        <v>948</v>
      </c>
      <c r="G263">
        <v>20</v>
      </c>
      <c r="H263" t="s">
        <v>249</v>
      </c>
      <c r="I263" t="s">
        <v>249</v>
      </c>
      <c r="J263"/>
      <c r="K263"/>
      <c r="L263" t="s">
        <v>1808</v>
      </c>
      <c r="M263"/>
      <c r="N263"/>
      <c r="O263"/>
      <c r="P263" t="s">
        <v>243</v>
      </c>
      <c r="Q263" t="s">
        <v>2736</v>
      </c>
      <c r="R263" t="s">
        <v>2829</v>
      </c>
      <c r="S263" t="s">
        <v>2745</v>
      </c>
      <c r="T263" t="s">
        <v>3036</v>
      </c>
      <c r="U263" t="s">
        <v>3037</v>
      </c>
    </row>
    <row r="264" spans="1:21">
      <c r="A264">
        <v>122</v>
      </c>
      <c r="B264" t="s">
        <v>250</v>
      </c>
      <c r="C264" t="s">
        <v>164</v>
      </c>
      <c r="D264" t="s">
        <v>782</v>
      </c>
      <c r="E264" t="s">
        <v>987</v>
      </c>
      <c r="F264" t="s">
        <v>948</v>
      </c>
      <c r="G264">
        <v>10</v>
      </c>
      <c r="H264" t="s">
        <v>243</v>
      </c>
      <c r="I264" t="s">
        <v>249</v>
      </c>
      <c r="J264"/>
      <c r="K264"/>
      <c r="L264" t="s">
        <v>1855</v>
      </c>
      <c r="M264"/>
      <c r="N264"/>
      <c r="O264"/>
      <c r="P264" t="s">
        <v>243</v>
      </c>
      <c r="Q264" t="s">
        <v>79</v>
      </c>
      <c r="R264" t="s">
        <v>441</v>
      </c>
      <c r="S264" t="s">
        <v>782</v>
      </c>
      <c r="T264" t="s">
        <v>2880</v>
      </c>
    </row>
    <row r="265" spans="1:21">
      <c r="A265">
        <v>146</v>
      </c>
      <c r="B265" t="s">
        <v>250</v>
      </c>
      <c r="C265" t="s">
        <v>168</v>
      </c>
      <c r="D265" t="s">
        <v>796</v>
      </c>
      <c r="E265" t="s">
        <v>949</v>
      </c>
      <c r="F265" t="s">
        <v>948</v>
      </c>
      <c r="G265">
        <v>10</v>
      </c>
      <c r="H265" t="s">
        <v>249</v>
      </c>
      <c r="I265" t="s">
        <v>249</v>
      </c>
      <c r="J265"/>
      <c r="K265"/>
      <c r="L265" t="s">
        <v>1876</v>
      </c>
      <c r="M265"/>
      <c r="N265"/>
      <c r="O265"/>
      <c r="P265" t="s">
        <v>243</v>
      </c>
      <c r="Q265" t="s">
        <v>2736</v>
      </c>
      <c r="R265" t="s">
        <v>2662</v>
      </c>
      <c r="S265" t="s">
        <v>796</v>
      </c>
      <c r="T265" t="s">
        <v>2881</v>
      </c>
      <c r="U265" t="s">
        <v>3029</v>
      </c>
    </row>
    <row r="266" spans="1:21">
      <c r="A266">
        <v>153</v>
      </c>
      <c r="B266" t="s">
        <v>250</v>
      </c>
      <c r="C266" t="s">
        <v>110</v>
      </c>
      <c r="D266" t="s">
        <v>2653</v>
      </c>
      <c r="E266" t="s">
        <v>989</v>
      </c>
      <c r="F266" t="s">
        <v>948</v>
      </c>
      <c r="G266">
        <v>12</v>
      </c>
      <c r="H266" t="s">
        <v>243</v>
      </c>
      <c r="I266" t="s">
        <v>249</v>
      </c>
      <c r="J266"/>
      <c r="K266"/>
      <c r="L266" t="s">
        <v>2655</v>
      </c>
      <c r="M266"/>
      <c r="N266"/>
      <c r="O266"/>
      <c r="P266" t="s">
        <v>249</v>
      </c>
    </row>
    <row r="267" spans="1:21">
      <c r="A267">
        <v>430</v>
      </c>
      <c r="B267" t="s">
        <v>250</v>
      </c>
      <c r="C267" t="s">
        <v>2267</v>
      </c>
      <c r="D267" t="s">
        <v>2290</v>
      </c>
      <c r="E267" t="s">
        <v>949</v>
      </c>
      <c r="F267" t="s">
        <v>948</v>
      </c>
      <c r="G267">
        <v>14</v>
      </c>
      <c r="H267" t="s">
        <v>249</v>
      </c>
      <c r="I267" t="s">
        <v>249</v>
      </c>
      <c r="J267" t="s">
        <v>2290</v>
      </c>
      <c r="K267" t="s">
        <v>2597</v>
      </c>
      <c r="L267" t="s">
        <v>2382</v>
      </c>
      <c r="M267" t="s">
        <v>351</v>
      </c>
      <c r="N267"/>
      <c r="O267"/>
      <c r="P267" t="s">
        <v>249</v>
      </c>
      <c r="Q267" t="s">
        <v>2736</v>
      </c>
      <c r="R267" t="s">
        <v>2692</v>
      </c>
      <c r="S267" t="s">
        <v>2290</v>
      </c>
      <c r="U267" t="s">
        <v>2938</v>
      </c>
    </row>
    <row r="268" spans="1:21">
      <c r="A268">
        <v>171</v>
      </c>
      <c r="B268" t="s">
        <v>250</v>
      </c>
      <c r="C268" t="s">
        <v>763</v>
      </c>
      <c r="D268" t="s">
        <v>813</v>
      </c>
      <c r="E268" t="s">
        <v>949</v>
      </c>
      <c r="F268" t="s">
        <v>948</v>
      </c>
      <c r="G268">
        <v>10</v>
      </c>
      <c r="H268" t="s">
        <v>249</v>
      </c>
      <c r="I268" t="s">
        <v>249</v>
      </c>
      <c r="J268"/>
      <c r="K268"/>
      <c r="L268" t="s">
        <v>1897</v>
      </c>
      <c r="M268"/>
      <c r="N268"/>
      <c r="O268"/>
      <c r="P268" t="s">
        <v>243</v>
      </c>
      <c r="Q268" t="s">
        <v>2661</v>
      </c>
      <c r="R268" t="s">
        <v>2829</v>
      </c>
      <c r="S268" t="s">
        <v>813</v>
      </c>
      <c r="U268" t="s">
        <v>2924</v>
      </c>
    </row>
    <row r="269" spans="1:21">
      <c r="A269">
        <v>67</v>
      </c>
      <c r="B269" t="s">
        <v>250</v>
      </c>
      <c r="C269" t="s">
        <v>747</v>
      </c>
      <c r="D269" t="s">
        <v>3</v>
      </c>
      <c r="E269" t="s">
        <v>949</v>
      </c>
      <c r="F269" t="s">
        <v>948</v>
      </c>
      <c r="G269">
        <v>11</v>
      </c>
      <c r="H269" t="s">
        <v>249</v>
      </c>
      <c r="I269" t="s">
        <v>249</v>
      </c>
      <c r="J269" t="s">
        <v>719</v>
      </c>
      <c r="K269" t="s">
        <v>2597</v>
      </c>
      <c r="L269" t="s">
        <v>1744</v>
      </c>
      <c r="M269" t="s">
        <v>359</v>
      </c>
      <c r="N269"/>
      <c r="O269"/>
      <c r="P269" t="s">
        <v>249</v>
      </c>
    </row>
    <row r="270" spans="1:21">
      <c r="A270">
        <v>177</v>
      </c>
      <c r="B270" t="s">
        <v>250</v>
      </c>
      <c r="C270" t="s">
        <v>1211</v>
      </c>
      <c r="D270" t="s">
        <v>1232</v>
      </c>
      <c r="E270" t="s">
        <v>949</v>
      </c>
      <c r="F270" t="s">
        <v>948</v>
      </c>
      <c r="G270">
        <v>50</v>
      </c>
      <c r="H270" t="s">
        <v>249</v>
      </c>
      <c r="I270" t="s">
        <v>249</v>
      </c>
      <c r="J270"/>
      <c r="K270"/>
      <c r="L270" t="s">
        <v>1903</v>
      </c>
      <c r="M270"/>
      <c r="N270"/>
      <c r="O270"/>
      <c r="P270" t="s">
        <v>243</v>
      </c>
      <c r="Q270" t="s">
        <v>79</v>
      </c>
      <c r="R270" t="s">
        <v>2829</v>
      </c>
      <c r="S270" t="s">
        <v>1232</v>
      </c>
      <c r="T270" t="s">
        <v>2882</v>
      </c>
    </row>
    <row r="271" spans="1:21">
      <c r="A271">
        <v>412</v>
      </c>
      <c r="B271" t="s">
        <v>250</v>
      </c>
      <c r="C271" t="s">
        <v>2249</v>
      </c>
      <c r="D271" t="s">
        <v>2288</v>
      </c>
      <c r="E271" t="s">
        <v>949</v>
      </c>
      <c r="F271" t="s">
        <v>948</v>
      </c>
      <c r="G271">
        <v>22</v>
      </c>
      <c r="H271" t="s">
        <v>249</v>
      </c>
      <c r="I271" t="s">
        <v>249</v>
      </c>
      <c r="J271" t="s">
        <v>2288</v>
      </c>
      <c r="K271" t="s">
        <v>2597</v>
      </c>
      <c r="L271" t="s">
        <v>2364</v>
      </c>
      <c r="M271" t="s">
        <v>351</v>
      </c>
      <c r="N271"/>
      <c r="O271"/>
      <c r="P271" t="s">
        <v>243</v>
      </c>
      <c r="Q271" t="s">
        <v>79</v>
      </c>
      <c r="R271" t="s">
        <v>2692</v>
      </c>
      <c r="S271" t="s">
        <v>2288</v>
      </c>
      <c r="T271" t="s">
        <v>2792</v>
      </c>
    </row>
    <row r="272" spans="1:21">
      <c r="A272">
        <v>402</v>
      </c>
      <c r="B272" t="s">
        <v>250</v>
      </c>
      <c r="C272" t="s">
        <v>2239</v>
      </c>
      <c r="D272" t="s">
        <v>2295</v>
      </c>
      <c r="E272" t="s">
        <v>949</v>
      </c>
      <c r="F272" t="s">
        <v>948</v>
      </c>
      <c r="G272">
        <v>30</v>
      </c>
      <c r="H272" t="s">
        <v>249</v>
      </c>
      <c r="I272" t="s">
        <v>249</v>
      </c>
      <c r="J272"/>
      <c r="K272"/>
      <c r="L272" t="s">
        <v>2354</v>
      </c>
      <c r="M272"/>
      <c r="N272"/>
      <c r="O272"/>
      <c r="P272" t="s">
        <v>243</v>
      </c>
      <c r="Q272" t="s">
        <v>2736</v>
      </c>
      <c r="R272" t="s">
        <v>2662</v>
      </c>
      <c r="S272" t="s">
        <v>2295</v>
      </c>
      <c r="T272" t="s">
        <v>3033</v>
      </c>
      <c r="U272" t="s">
        <v>2925</v>
      </c>
    </row>
    <row r="273" spans="1:21">
      <c r="A273">
        <v>187</v>
      </c>
      <c r="B273" t="s">
        <v>250</v>
      </c>
      <c r="C273" t="s">
        <v>1253</v>
      </c>
      <c r="D273" t="s">
        <v>1516</v>
      </c>
      <c r="E273" t="s">
        <v>949</v>
      </c>
      <c r="F273" t="s">
        <v>948</v>
      </c>
      <c r="G273">
        <v>10</v>
      </c>
      <c r="H273" t="s">
        <v>249</v>
      </c>
      <c r="I273" t="s">
        <v>249</v>
      </c>
      <c r="J273"/>
      <c r="K273"/>
      <c r="L273" t="s">
        <v>1913</v>
      </c>
      <c r="M273"/>
      <c r="N273"/>
      <c r="O273"/>
      <c r="P273" t="s">
        <v>249</v>
      </c>
      <c r="Q273" t="s">
        <v>2736</v>
      </c>
      <c r="R273" t="s">
        <v>2662</v>
      </c>
      <c r="S273" t="s">
        <v>1516</v>
      </c>
      <c r="U273" t="s">
        <v>3059</v>
      </c>
    </row>
    <row r="274" spans="1:21">
      <c r="A274">
        <v>138</v>
      </c>
      <c r="B274" t="s">
        <v>250</v>
      </c>
      <c r="C274" t="s">
        <v>127</v>
      </c>
      <c r="D274" t="s">
        <v>455</v>
      </c>
      <c r="E274" t="s">
        <v>949</v>
      </c>
      <c r="F274" t="s">
        <v>948</v>
      </c>
      <c r="G274">
        <v>10</v>
      </c>
      <c r="H274" t="s">
        <v>249</v>
      </c>
      <c r="I274" t="s">
        <v>249</v>
      </c>
      <c r="J274"/>
      <c r="K274"/>
      <c r="L274" t="s">
        <v>1868</v>
      </c>
      <c r="M274"/>
      <c r="N274"/>
      <c r="O274"/>
      <c r="P274" t="s">
        <v>243</v>
      </c>
      <c r="Q274" t="s">
        <v>2661</v>
      </c>
      <c r="R274" t="s">
        <v>2662</v>
      </c>
      <c r="S274" t="s">
        <v>2702</v>
      </c>
      <c r="U274" t="s">
        <v>2883</v>
      </c>
    </row>
    <row r="275" spans="1:21">
      <c r="A275">
        <v>400</v>
      </c>
      <c r="B275" t="s">
        <v>250</v>
      </c>
      <c r="C275" t="s">
        <v>2384</v>
      </c>
      <c r="D275" t="s">
        <v>2385</v>
      </c>
      <c r="E275" t="s">
        <v>949</v>
      </c>
      <c r="F275" t="s">
        <v>948</v>
      </c>
      <c r="G275">
        <v>50</v>
      </c>
      <c r="H275" t="s">
        <v>249</v>
      </c>
      <c r="I275" t="s">
        <v>249</v>
      </c>
      <c r="J275"/>
      <c r="K275"/>
      <c r="L275" t="s">
        <v>2403</v>
      </c>
      <c r="M275"/>
      <c r="N275"/>
      <c r="O275"/>
      <c r="P275" t="s">
        <v>243</v>
      </c>
      <c r="Q275" t="s">
        <v>2661</v>
      </c>
      <c r="R275" t="s">
        <v>2662</v>
      </c>
      <c r="S275" t="s">
        <v>2701</v>
      </c>
      <c r="U275" t="s">
        <v>2884</v>
      </c>
    </row>
    <row r="276" spans="1:21">
      <c r="A276">
        <v>139</v>
      </c>
      <c r="B276" t="s">
        <v>250</v>
      </c>
      <c r="C276" t="s">
        <v>128</v>
      </c>
      <c r="D276" t="s">
        <v>456</v>
      </c>
      <c r="E276" t="s">
        <v>988</v>
      </c>
      <c r="F276" t="s">
        <v>948</v>
      </c>
      <c r="G276">
        <v>10</v>
      </c>
      <c r="H276" t="s">
        <v>243</v>
      </c>
      <c r="I276" t="s">
        <v>249</v>
      </c>
      <c r="J276"/>
      <c r="K276"/>
      <c r="L276" t="s">
        <v>1869</v>
      </c>
      <c r="M276"/>
      <c r="N276"/>
      <c r="O276"/>
      <c r="P276" t="s">
        <v>249</v>
      </c>
      <c r="Q276" t="s">
        <v>2661</v>
      </c>
      <c r="R276" t="s">
        <v>441</v>
      </c>
      <c r="S276" t="s">
        <v>456</v>
      </c>
      <c r="U276" t="s">
        <v>2939</v>
      </c>
    </row>
    <row r="277" spans="1:21">
      <c r="A277">
        <v>137</v>
      </c>
      <c r="B277" t="s">
        <v>250</v>
      </c>
      <c r="C277" t="s">
        <v>165</v>
      </c>
      <c r="D277" t="s">
        <v>794</v>
      </c>
      <c r="E277" t="s">
        <v>949</v>
      </c>
      <c r="F277" t="s">
        <v>948</v>
      </c>
      <c r="G277">
        <v>10</v>
      </c>
      <c r="H277" t="s">
        <v>249</v>
      </c>
      <c r="I277" t="s">
        <v>249</v>
      </c>
      <c r="J277"/>
      <c r="K277"/>
      <c r="L277" t="s">
        <v>1867</v>
      </c>
      <c r="M277"/>
      <c r="N277"/>
      <c r="O277"/>
      <c r="P277" t="s">
        <v>243</v>
      </c>
      <c r="Q277" t="s">
        <v>79</v>
      </c>
      <c r="R277" t="s">
        <v>2662</v>
      </c>
      <c r="S277" t="s">
        <v>794</v>
      </c>
      <c r="T277" t="s">
        <v>2885</v>
      </c>
    </row>
    <row r="278" spans="1:21">
      <c r="A278">
        <v>434</v>
      </c>
      <c r="B278" t="s">
        <v>250</v>
      </c>
      <c r="C278" t="s">
        <v>1623</v>
      </c>
      <c r="D278" t="s">
        <v>2606</v>
      </c>
      <c r="E278" t="s">
        <v>949</v>
      </c>
      <c r="F278" t="s">
        <v>948</v>
      </c>
      <c r="G278">
        <v>9</v>
      </c>
      <c r="H278" t="s">
        <v>249</v>
      </c>
      <c r="I278" t="s">
        <v>249</v>
      </c>
      <c r="J278" t="s">
        <v>556</v>
      </c>
      <c r="K278" t="s">
        <v>2597</v>
      </c>
      <c r="L278" t="s">
        <v>2607</v>
      </c>
      <c r="M278"/>
      <c r="N278"/>
      <c r="O278"/>
      <c r="P278" t="s">
        <v>249</v>
      </c>
    </row>
    <row r="279" spans="1:21">
      <c r="A279">
        <v>105</v>
      </c>
      <c r="B279" t="s">
        <v>250</v>
      </c>
      <c r="C279" t="s">
        <v>124</v>
      </c>
      <c r="D279" t="s">
        <v>682</v>
      </c>
      <c r="E279" t="s">
        <v>949</v>
      </c>
      <c r="F279" t="s">
        <v>948</v>
      </c>
      <c r="G279">
        <v>10</v>
      </c>
      <c r="H279" t="s">
        <v>249</v>
      </c>
      <c r="I279" t="s">
        <v>249</v>
      </c>
      <c r="J279"/>
      <c r="K279"/>
      <c r="L279" t="s">
        <v>1839</v>
      </c>
      <c r="M279"/>
      <c r="N279"/>
      <c r="O279"/>
      <c r="P279" t="s">
        <v>249</v>
      </c>
      <c r="Q279" t="s">
        <v>79</v>
      </c>
      <c r="R279" t="s">
        <v>2692</v>
      </c>
      <c r="S279" t="s">
        <v>682</v>
      </c>
    </row>
    <row r="280" spans="1:21">
      <c r="A280">
        <v>4</v>
      </c>
      <c r="B280" t="s">
        <v>247</v>
      </c>
      <c r="C280" t="s">
        <v>29</v>
      </c>
      <c r="D280" t="s">
        <v>2</v>
      </c>
      <c r="E280" t="s">
        <v>949</v>
      </c>
      <c r="F280" t="s">
        <v>948</v>
      </c>
      <c r="G280">
        <v>50</v>
      </c>
      <c r="H280" t="s">
        <v>243</v>
      </c>
      <c r="I280" t="s">
        <v>243</v>
      </c>
      <c r="J280"/>
      <c r="K280"/>
      <c r="L280" t="s">
        <v>1743</v>
      </c>
      <c r="M280"/>
      <c r="N280"/>
      <c r="O280"/>
      <c r="P280" t="s">
        <v>243</v>
      </c>
      <c r="Q280" t="s">
        <v>2661</v>
      </c>
      <c r="R280" t="s">
        <v>2662</v>
      </c>
      <c r="S280" t="s">
        <v>2664</v>
      </c>
      <c r="U280" t="s">
        <v>2886</v>
      </c>
    </row>
    <row r="281" spans="1:21">
      <c r="A281">
        <v>13</v>
      </c>
      <c r="B281" t="s">
        <v>247</v>
      </c>
      <c r="C281" t="s">
        <v>44</v>
      </c>
      <c r="D281" t="s">
        <v>265</v>
      </c>
      <c r="E281" t="s">
        <v>949</v>
      </c>
      <c r="F281" t="s">
        <v>948</v>
      </c>
      <c r="G281">
        <v>12</v>
      </c>
      <c r="H281" t="s">
        <v>249</v>
      </c>
      <c r="I281" t="s">
        <v>249</v>
      </c>
      <c r="J281"/>
      <c r="K281" t="s">
        <v>2598</v>
      </c>
      <c r="L281" t="s">
        <v>1752</v>
      </c>
      <c r="M281"/>
      <c r="N281"/>
      <c r="O281"/>
      <c r="P281" t="s">
        <v>243</v>
      </c>
      <c r="Q281" t="s">
        <v>2736</v>
      </c>
      <c r="R281" t="s">
        <v>3034</v>
      </c>
      <c r="S281" t="s">
        <v>2670</v>
      </c>
      <c r="T281" t="s">
        <v>2994</v>
      </c>
      <c r="U281" t="s">
        <v>2926</v>
      </c>
    </row>
    <row r="282" spans="1:21">
      <c r="A282">
        <v>229</v>
      </c>
      <c r="B282" t="s">
        <v>250</v>
      </c>
      <c r="C282" t="s">
        <v>1513</v>
      </c>
      <c r="D282" t="s">
        <v>1947</v>
      </c>
      <c r="E282" t="s">
        <v>949</v>
      </c>
      <c r="F282" t="s">
        <v>948</v>
      </c>
      <c r="G282">
        <v>10</v>
      </c>
      <c r="H282" t="s">
        <v>249</v>
      </c>
      <c r="I282" t="s">
        <v>249</v>
      </c>
      <c r="J282"/>
      <c r="K282"/>
      <c r="L282" t="s">
        <v>1948</v>
      </c>
      <c r="M282"/>
      <c r="N282"/>
      <c r="O282"/>
      <c r="P282" t="s">
        <v>249</v>
      </c>
    </row>
    <row r="283" spans="1:21" s="58" customFormat="1" ht="18" customHeight="1">
      <c r="A283" s="58">
        <v>230</v>
      </c>
      <c r="B283" s="58" t="s">
        <v>250</v>
      </c>
      <c r="C283" s="58" t="s">
        <v>1514</v>
      </c>
      <c r="D283" s="58" t="s">
        <v>1949</v>
      </c>
      <c r="E283" s="58" t="s">
        <v>989</v>
      </c>
      <c r="F283" s="58" t="s">
        <v>948</v>
      </c>
      <c r="G283" s="58">
        <v>12</v>
      </c>
      <c r="H283" s="58" t="s">
        <v>243</v>
      </c>
      <c r="I283" s="58" t="s">
        <v>249</v>
      </c>
      <c r="L283" s="58" t="s">
        <v>1950</v>
      </c>
      <c r="P283" s="58" t="s">
        <v>249</v>
      </c>
    </row>
    <row r="284" spans="1:21" s="58" customFormat="1" ht="18" customHeight="1">
      <c r="A284" s="58">
        <v>227</v>
      </c>
      <c r="B284" s="58" t="s">
        <v>250</v>
      </c>
      <c r="C284" s="58" t="s">
        <v>1512</v>
      </c>
      <c r="D284" s="58" t="s">
        <v>1944</v>
      </c>
      <c r="E284" s="58" t="s">
        <v>949</v>
      </c>
      <c r="F284" s="58" t="s">
        <v>948</v>
      </c>
      <c r="G284" s="58">
        <v>10</v>
      </c>
      <c r="H284" s="58" t="s">
        <v>249</v>
      </c>
      <c r="I284" s="58" t="s">
        <v>249</v>
      </c>
      <c r="L284" s="58" t="s">
        <v>1945</v>
      </c>
      <c r="P284" s="58" t="s">
        <v>249</v>
      </c>
    </row>
    <row r="285" spans="1:21" s="58" customFormat="1" ht="18" customHeight="1">
      <c r="A285" s="58">
        <v>231</v>
      </c>
      <c r="B285" s="58" t="s">
        <v>250</v>
      </c>
      <c r="C285" s="58" t="s">
        <v>1515</v>
      </c>
      <c r="D285" s="58" t="s">
        <v>1951</v>
      </c>
      <c r="E285" s="58" t="s">
        <v>949</v>
      </c>
      <c r="F285" s="58" t="s">
        <v>948</v>
      </c>
      <c r="G285" s="58">
        <v>10</v>
      </c>
      <c r="H285" s="58" t="s">
        <v>249</v>
      </c>
      <c r="I285" s="58" t="s">
        <v>249</v>
      </c>
      <c r="L285" s="58" t="s">
        <v>1952</v>
      </c>
      <c r="P285" s="58" t="s">
        <v>249</v>
      </c>
    </row>
    <row r="286" spans="1:21">
      <c r="A286">
        <v>218</v>
      </c>
      <c r="B286" t="s">
        <v>250</v>
      </c>
      <c r="C286" t="s">
        <v>1503</v>
      </c>
      <c r="D286" t="s">
        <v>1927</v>
      </c>
      <c r="E286" t="s">
        <v>988</v>
      </c>
      <c r="F286" t="s">
        <v>948</v>
      </c>
      <c r="G286">
        <v>9</v>
      </c>
      <c r="H286" t="s">
        <v>243</v>
      </c>
      <c r="I286" t="s">
        <v>249</v>
      </c>
      <c r="J286"/>
      <c r="K286"/>
      <c r="L286" t="s">
        <v>1928</v>
      </c>
      <c r="M286"/>
      <c r="N286"/>
      <c r="O286"/>
      <c r="P286" t="s">
        <v>249</v>
      </c>
    </row>
    <row r="287" spans="1:21">
      <c r="A287">
        <v>213</v>
      </c>
      <c r="B287" t="s">
        <v>250</v>
      </c>
      <c r="C287" t="s">
        <v>1329</v>
      </c>
      <c r="D287" t="s">
        <v>1327</v>
      </c>
      <c r="E287" t="s">
        <v>949</v>
      </c>
      <c r="F287" t="s">
        <v>948</v>
      </c>
      <c r="G287">
        <v>10</v>
      </c>
      <c r="H287" t="s">
        <v>249</v>
      </c>
      <c r="I287" t="s">
        <v>249</v>
      </c>
      <c r="J287" t="s">
        <v>1327</v>
      </c>
      <c r="K287" t="s">
        <v>2597</v>
      </c>
      <c r="L287" t="s">
        <v>1923</v>
      </c>
      <c r="M287"/>
      <c r="N287"/>
      <c r="O287"/>
      <c r="P287" t="s">
        <v>249</v>
      </c>
    </row>
    <row r="288" spans="1:21">
      <c r="A288">
        <v>224</v>
      </c>
      <c r="B288" t="s">
        <v>250</v>
      </c>
      <c r="C288" t="s">
        <v>1509</v>
      </c>
      <c r="D288" t="s">
        <v>1938</v>
      </c>
      <c r="E288" t="s">
        <v>988</v>
      </c>
      <c r="F288" t="s">
        <v>948</v>
      </c>
      <c r="G288">
        <v>9</v>
      </c>
      <c r="H288" t="s">
        <v>243</v>
      </c>
      <c r="I288" t="s">
        <v>249</v>
      </c>
      <c r="J288"/>
      <c r="K288"/>
      <c r="L288" t="s">
        <v>1939</v>
      </c>
      <c r="M288"/>
      <c r="N288"/>
      <c r="O288"/>
      <c r="P288" t="s">
        <v>249</v>
      </c>
    </row>
    <row r="289" spans="1:16">
      <c r="A289">
        <v>210</v>
      </c>
      <c r="B289" t="s">
        <v>250</v>
      </c>
      <c r="C289" t="s">
        <v>1338</v>
      </c>
      <c r="D289" t="s">
        <v>1336</v>
      </c>
      <c r="E289" t="s">
        <v>949</v>
      </c>
      <c r="F289" t="s">
        <v>948</v>
      </c>
      <c r="G289">
        <v>10</v>
      </c>
      <c r="H289" t="s">
        <v>249</v>
      </c>
      <c r="I289" t="s">
        <v>249</v>
      </c>
      <c r="J289" t="s">
        <v>1336</v>
      </c>
      <c r="K289" t="s">
        <v>2597</v>
      </c>
      <c r="L289" t="s">
        <v>1923</v>
      </c>
      <c r="M289"/>
      <c r="N289"/>
      <c r="O289"/>
      <c r="P289" t="s">
        <v>249</v>
      </c>
    </row>
    <row r="290" spans="1:16">
      <c r="A290">
        <v>211</v>
      </c>
      <c r="B290" t="s">
        <v>250</v>
      </c>
      <c r="C290" t="s">
        <v>1353</v>
      </c>
      <c r="D290" t="s">
        <v>1351</v>
      </c>
      <c r="E290" t="s">
        <v>949</v>
      </c>
      <c r="F290" t="s">
        <v>948</v>
      </c>
      <c r="G290">
        <v>10</v>
      </c>
      <c r="H290" t="s">
        <v>249</v>
      </c>
      <c r="I290" t="s">
        <v>249</v>
      </c>
      <c r="J290" t="s">
        <v>1351</v>
      </c>
      <c r="K290" t="s">
        <v>2597</v>
      </c>
      <c r="L290" t="s">
        <v>1923</v>
      </c>
      <c r="M290"/>
      <c r="N290"/>
      <c r="O290"/>
      <c r="P290" t="s">
        <v>249</v>
      </c>
    </row>
    <row r="291" spans="1:16">
      <c r="A291">
        <v>223</v>
      </c>
      <c r="B291" t="s">
        <v>250</v>
      </c>
      <c r="C291" t="s">
        <v>1508</v>
      </c>
      <c r="D291" t="s">
        <v>1936</v>
      </c>
      <c r="E291" t="s">
        <v>988</v>
      </c>
      <c r="F291" t="s">
        <v>948</v>
      </c>
      <c r="G291">
        <v>9</v>
      </c>
      <c r="H291" t="s">
        <v>243</v>
      </c>
      <c r="I291" t="s">
        <v>249</v>
      </c>
      <c r="J291"/>
      <c r="K291"/>
      <c r="L291" t="s">
        <v>1937</v>
      </c>
      <c r="M291"/>
      <c r="N291"/>
      <c r="O291"/>
      <c r="P291" t="s">
        <v>249</v>
      </c>
    </row>
    <row r="292" spans="1:16">
      <c r="A292">
        <v>226</v>
      </c>
      <c r="B292" t="s">
        <v>250</v>
      </c>
      <c r="C292" t="s">
        <v>1511</v>
      </c>
      <c r="D292" t="s">
        <v>1942</v>
      </c>
      <c r="E292" t="s">
        <v>988</v>
      </c>
      <c r="F292" t="s">
        <v>948</v>
      </c>
      <c r="G292">
        <v>9</v>
      </c>
      <c r="H292" t="s">
        <v>243</v>
      </c>
      <c r="I292" t="s">
        <v>249</v>
      </c>
      <c r="J292"/>
      <c r="K292"/>
      <c r="L292" t="s">
        <v>1943</v>
      </c>
      <c r="M292"/>
      <c r="N292"/>
      <c r="O292"/>
      <c r="P292" t="s">
        <v>249</v>
      </c>
    </row>
    <row r="293" spans="1:16">
      <c r="A293">
        <v>215</v>
      </c>
      <c r="B293" t="s">
        <v>250</v>
      </c>
      <c r="C293" t="s">
        <v>1372</v>
      </c>
      <c r="D293" t="s">
        <v>1370</v>
      </c>
      <c r="E293" t="s">
        <v>949</v>
      </c>
      <c r="F293" t="s">
        <v>948</v>
      </c>
      <c r="G293">
        <v>10</v>
      </c>
      <c r="H293" t="s">
        <v>249</v>
      </c>
      <c r="I293" t="s">
        <v>249</v>
      </c>
      <c r="J293" t="s">
        <v>1370</v>
      </c>
      <c r="K293" t="s">
        <v>2597</v>
      </c>
      <c r="L293" t="s">
        <v>1923</v>
      </c>
      <c r="M293"/>
      <c r="N293"/>
      <c r="O293"/>
      <c r="P293" t="s">
        <v>249</v>
      </c>
    </row>
    <row r="294" spans="1:16">
      <c r="A294">
        <v>217</v>
      </c>
      <c r="B294" t="s">
        <v>250</v>
      </c>
      <c r="C294" t="s">
        <v>1502</v>
      </c>
      <c r="D294" t="s">
        <v>1925</v>
      </c>
      <c r="E294" t="s">
        <v>988</v>
      </c>
      <c r="F294" t="s">
        <v>948</v>
      </c>
      <c r="G294">
        <v>9</v>
      </c>
      <c r="H294" t="s">
        <v>243</v>
      </c>
      <c r="I294" t="s">
        <v>249</v>
      </c>
      <c r="J294"/>
      <c r="K294"/>
      <c r="L294" t="s">
        <v>1926</v>
      </c>
      <c r="M294"/>
      <c r="N294"/>
      <c r="O294"/>
      <c r="P294" t="s">
        <v>249</v>
      </c>
    </row>
    <row r="295" spans="1:16">
      <c r="A295">
        <v>220</v>
      </c>
      <c r="B295" t="s">
        <v>250</v>
      </c>
      <c r="C295" t="s">
        <v>1505</v>
      </c>
      <c r="D295" t="s">
        <v>1531</v>
      </c>
      <c r="E295" t="s">
        <v>988</v>
      </c>
      <c r="F295" t="s">
        <v>948</v>
      </c>
      <c r="G295">
        <v>9</v>
      </c>
      <c r="H295" t="s">
        <v>243</v>
      </c>
      <c r="I295" t="s">
        <v>249</v>
      </c>
      <c r="J295"/>
      <c r="K295"/>
      <c r="L295" t="s">
        <v>1931</v>
      </c>
      <c r="M295"/>
      <c r="N295"/>
      <c r="O295"/>
      <c r="P295" t="s">
        <v>249</v>
      </c>
    </row>
    <row r="296" spans="1:16">
      <c r="A296">
        <v>209</v>
      </c>
      <c r="B296" t="s">
        <v>250</v>
      </c>
      <c r="C296" t="s">
        <v>1401</v>
      </c>
      <c r="D296" t="s">
        <v>1399</v>
      </c>
      <c r="E296" t="s">
        <v>949</v>
      </c>
      <c r="F296" t="s">
        <v>948</v>
      </c>
      <c r="G296">
        <v>10</v>
      </c>
      <c r="H296" t="s">
        <v>249</v>
      </c>
      <c r="I296" t="s">
        <v>249</v>
      </c>
      <c r="J296" t="s">
        <v>1399</v>
      </c>
      <c r="K296" t="s">
        <v>2597</v>
      </c>
      <c r="L296" t="s">
        <v>1923</v>
      </c>
      <c r="M296"/>
      <c r="N296"/>
      <c r="O296"/>
      <c r="P296" t="s">
        <v>249</v>
      </c>
    </row>
    <row r="297" spans="1:16">
      <c r="A297">
        <v>216</v>
      </c>
      <c r="B297" t="s">
        <v>250</v>
      </c>
      <c r="C297" t="s">
        <v>1394</v>
      </c>
      <c r="D297" t="s">
        <v>1924</v>
      </c>
      <c r="E297" t="s">
        <v>949</v>
      </c>
      <c r="F297" t="s">
        <v>948</v>
      </c>
      <c r="G297">
        <v>10</v>
      </c>
      <c r="H297" t="s">
        <v>249</v>
      </c>
      <c r="I297" t="s">
        <v>249</v>
      </c>
      <c r="J297" t="s">
        <v>1392</v>
      </c>
      <c r="K297" t="s">
        <v>2597</v>
      </c>
      <c r="L297" t="s">
        <v>1923</v>
      </c>
      <c r="M297"/>
      <c r="N297"/>
      <c r="O297"/>
      <c r="P297" t="s">
        <v>249</v>
      </c>
    </row>
    <row r="298" spans="1:16">
      <c r="A298">
        <v>214</v>
      </c>
      <c r="B298" t="s">
        <v>250</v>
      </c>
      <c r="C298" t="s">
        <v>1412</v>
      </c>
      <c r="D298" t="s">
        <v>1410</v>
      </c>
      <c r="E298" t="s">
        <v>949</v>
      </c>
      <c r="F298" t="s">
        <v>948</v>
      </c>
      <c r="G298">
        <v>10</v>
      </c>
      <c r="H298" t="s">
        <v>249</v>
      </c>
      <c r="I298" t="s">
        <v>249</v>
      </c>
      <c r="J298" t="s">
        <v>1410</v>
      </c>
      <c r="K298" t="s">
        <v>2597</v>
      </c>
      <c r="L298" t="s">
        <v>1923</v>
      </c>
      <c r="M298"/>
      <c r="N298"/>
      <c r="O298"/>
      <c r="P298" t="s">
        <v>249</v>
      </c>
    </row>
    <row r="299" spans="1:16">
      <c r="A299">
        <v>225</v>
      </c>
      <c r="B299" t="s">
        <v>250</v>
      </c>
      <c r="C299" t="s">
        <v>1510</v>
      </c>
      <c r="D299" t="s">
        <v>1940</v>
      </c>
      <c r="E299" t="s">
        <v>988</v>
      </c>
      <c r="F299" t="s">
        <v>948</v>
      </c>
      <c r="G299">
        <v>9</v>
      </c>
      <c r="H299" t="s">
        <v>243</v>
      </c>
      <c r="I299" t="s">
        <v>249</v>
      </c>
      <c r="J299"/>
      <c r="K299"/>
      <c r="L299" t="s">
        <v>1941</v>
      </c>
      <c r="M299"/>
      <c r="N299"/>
      <c r="O299"/>
      <c r="P299" t="s">
        <v>249</v>
      </c>
    </row>
    <row r="300" spans="1:16">
      <c r="A300">
        <v>219</v>
      </c>
      <c r="B300" t="s">
        <v>250</v>
      </c>
      <c r="C300" t="s">
        <v>1504</v>
      </c>
      <c r="D300" t="s">
        <v>1929</v>
      </c>
      <c r="E300" t="s">
        <v>988</v>
      </c>
      <c r="F300" t="s">
        <v>948</v>
      </c>
      <c r="G300">
        <v>9</v>
      </c>
      <c r="H300" t="s">
        <v>243</v>
      </c>
      <c r="I300" t="s">
        <v>249</v>
      </c>
      <c r="J300"/>
      <c r="K300"/>
      <c r="L300" t="s">
        <v>1930</v>
      </c>
      <c r="M300"/>
      <c r="N300"/>
      <c r="O300"/>
      <c r="P300" t="s">
        <v>249</v>
      </c>
    </row>
    <row r="301" spans="1:16">
      <c r="A301">
        <v>221</v>
      </c>
      <c r="B301" t="s">
        <v>250</v>
      </c>
      <c r="C301" t="s">
        <v>1506</v>
      </c>
      <c r="D301" t="s">
        <v>1932</v>
      </c>
      <c r="E301" t="s">
        <v>988</v>
      </c>
      <c r="F301" t="s">
        <v>948</v>
      </c>
      <c r="G301">
        <v>9</v>
      </c>
      <c r="H301" t="s">
        <v>243</v>
      </c>
      <c r="I301" t="s">
        <v>249</v>
      </c>
      <c r="J301"/>
      <c r="K301"/>
      <c r="L301" t="s">
        <v>1933</v>
      </c>
      <c r="M301"/>
      <c r="N301"/>
      <c r="O301"/>
      <c r="P301" t="s">
        <v>249</v>
      </c>
    </row>
    <row r="302" spans="1:16">
      <c r="A302">
        <v>206</v>
      </c>
      <c r="B302" t="s">
        <v>250</v>
      </c>
      <c r="C302" t="s">
        <v>1448</v>
      </c>
      <c r="D302" t="s">
        <v>1446</v>
      </c>
      <c r="E302" t="s">
        <v>949</v>
      </c>
      <c r="F302" t="s">
        <v>948</v>
      </c>
      <c r="G302">
        <v>10</v>
      </c>
      <c r="H302" t="s">
        <v>249</v>
      </c>
      <c r="I302" t="s">
        <v>249</v>
      </c>
      <c r="J302" t="s">
        <v>1446</v>
      </c>
      <c r="K302" t="s">
        <v>2597</v>
      </c>
      <c r="L302" t="s">
        <v>1923</v>
      </c>
      <c r="M302"/>
      <c r="N302"/>
      <c r="O302"/>
      <c r="P302" t="s">
        <v>249</v>
      </c>
    </row>
    <row r="303" spans="1:16">
      <c r="A303">
        <v>228</v>
      </c>
      <c r="B303" t="s">
        <v>250</v>
      </c>
      <c r="C303" t="s">
        <v>1391</v>
      </c>
      <c r="D303" t="s">
        <v>1946</v>
      </c>
      <c r="E303" t="s">
        <v>949</v>
      </c>
      <c r="F303" t="s">
        <v>948</v>
      </c>
      <c r="G303">
        <v>10</v>
      </c>
      <c r="H303" t="s">
        <v>249</v>
      </c>
      <c r="I303" t="s">
        <v>249</v>
      </c>
      <c r="J303" t="s">
        <v>1586</v>
      </c>
      <c r="K303" t="s">
        <v>2597</v>
      </c>
      <c r="L303" t="s">
        <v>1923</v>
      </c>
      <c r="M303"/>
      <c r="N303"/>
      <c r="O303"/>
      <c r="P303" t="s">
        <v>249</v>
      </c>
    </row>
    <row r="304" spans="1:16">
      <c r="A304">
        <v>205</v>
      </c>
      <c r="B304" t="s">
        <v>250</v>
      </c>
      <c r="C304" t="s">
        <v>1456</v>
      </c>
      <c r="D304" t="s">
        <v>1454</v>
      </c>
      <c r="E304" t="s">
        <v>949</v>
      </c>
      <c r="F304" t="s">
        <v>948</v>
      </c>
      <c r="G304">
        <v>10</v>
      </c>
      <c r="H304" t="s">
        <v>249</v>
      </c>
      <c r="I304" t="s">
        <v>249</v>
      </c>
      <c r="J304" t="s">
        <v>1454</v>
      </c>
      <c r="K304" t="s">
        <v>2597</v>
      </c>
      <c r="L304" t="s">
        <v>1923</v>
      </c>
      <c r="M304"/>
      <c r="N304"/>
      <c r="O304"/>
      <c r="P304" t="s">
        <v>249</v>
      </c>
    </row>
    <row r="305" spans="1:21">
      <c r="A305">
        <v>208</v>
      </c>
      <c r="B305" t="s">
        <v>250</v>
      </c>
      <c r="C305" t="s">
        <v>1463</v>
      </c>
      <c r="D305" t="s">
        <v>1461</v>
      </c>
      <c r="E305" t="s">
        <v>949</v>
      </c>
      <c r="F305" t="s">
        <v>948</v>
      </c>
      <c r="G305">
        <v>10</v>
      </c>
      <c r="H305" t="s">
        <v>249</v>
      </c>
      <c r="I305" t="s">
        <v>249</v>
      </c>
      <c r="J305" t="s">
        <v>1461</v>
      </c>
      <c r="K305" t="s">
        <v>2597</v>
      </c>
      <c r="L305" t="s">
        <v>1923</v>
      </c>
      <c r="M305"/>
      <c r="N305"/>
      <c r="O305"/>
      <c r="P305" t="s">
        <v>249</v>
      </c>
    </row>
    <row r="306" spans="1:21">
      <c r="A306">
        <v>207</v>
      </c>
      <c r="B306" t="s">
        <v>250</v>
      </c>
      <c r="C306" t="s">
        <v>1469</v>
      </c>
      <c r="D306" t="s">
        <v>1467</v>
      </c>
      <c r="E306" t="s">
        <v>949</v>
      </c>
      <c r="F306" t="s">
        <v>948</v>
      </c>
      <c r="G306">
        <v>10</v>
      </c>
      <c r="H306" t="s">
        <v>249</v>
      </c>
      <c r="I306" t="s">
        <v>249</v>
      </c>
      <c r="J306" t="s">
        <v>1467</v>
      </c>
      <c r="K306" t="s">
        <v>2597</v>
      </c>
      <c r="L306" t="s">
        <v>1923</v>
      </c>
      <c r="M306"/>
      <c r="N306"/>
      <c r="O306"/>
      <c r="P306" t="s">
        <v>249</v>
      </c>
    </row>
    <row r="307" spans="1:21">
      <c r="A307">
        <v>222</v>
      </c>
      <c r="B307" t="s">
        <v>250</v>
      </c>
      <c r="C307" t="s">
        <v>1507</v>
      </c>
      <c r="D307" t="s">
        <v>1934</v>
      </c>
      <c r="E307" t="s">
        <v>988</v>
      </c>
      <c r="F307" t="s">
        <v>948</v>
      </c>
      <c r="G307">
        <v>9</v>
      </c>
      <c r="H307" t="s">
        <v>243</v>
      </c>
      <c r="I307" t="s">
        <v>249</v>
      </c>
      <c r="J307"/>
      <c r="K307"/>
      <c r="L307" t="s">
        <v>1935</v>
      </c>
      <c r="M307"/>
      <c r="N307"/>
      <c r="O307"/>
      <c r="P307" t="s">
        <v>249</v>
      </c>
    </row>
    <row r="308" spans="1:21">
      <c r="A308">
        <v>212</v>
      </c>
      <c r="B308" t="s">
        <v>250</v>
      </c>
      <c r="C308" t="s">
        <v>1485</v>
      </c>
      <c r="D308" t="s">
        <v>1483</v>
      </c>
      <c r="E308" t="s">
        <v>949</v>
      </c>
      <c r="F308" t="s">
        <v>948</v>
      </c>
      <c r="G308">
        <v>10</v>
      </c>
      <c r="H308" t="s">
        <v>249</v>
      </c>
      <c r="I308" t="s">
        <v>249</v>
      </c>
      <c r="J308" t="s">
        <v>1483</v>
      </c>
      <c r="K308" t="s">
        <v>2597</v>
      </c>
      <c r="L308" t="s">
        <v>1923</v>
      </c>
      <c r="M308"/>
      <c r="N308"/>
      <c r="O308"/>
      <c r="P308" t="s">
        <v>249</v>
      </c>
    </row>
    <row r="309" spans="1:21">
      <c r="A309">
        <v>32</v>
      </c>
      <c r="B309" t="s">
        <v>247</v>
      </c>
      <c r="C309" t="s">
        <v>59</v>
      </c>
      <c r="D309" t="s">
        <v>742</v>
      </c>
      <c r="E309" t="s">
        <v>949</v>
      </c>
      <c r="F309" t="s">
        <v>948</v>
      </c>
      <c r="G309">
        <v>5</v>
      </c>
      <c r="H309" t="s">
        <v>249</v>
      </c>
      <c r="I309" t="s">
        <v>249</v>
      </c>
      <c r="J309"/>
      <c r="K309"/>
      <c r="L309" t="s">
        <v>1771</v>
      </c>
      <c r="M309"/>
      <c r="N309"/>
      <c r="O309"/>
      <c r="P309" t="s">
        <v>243</v>
      </c>
      <c r="Q309" t="s">
        <v>2661</v>
      </c>
      <c r="R309" t="s">
        <v>441</v>
      </c>
      <c r="S309" t="s">
        <v>2708</v>
      </c>
      <c r="U309" t="s">
        <v>2887</v>
      </c>
    </row>
    <row r="310" spans="1:21">
      <c r="A310">
        <v>18</v>
      </c>
      <c r="B310" t="s">
        <v>247</v>
      </c>
      <c r="C310" t="s">
        <v>54</v>
      </c>
      <c r="D310" t="s">
        <v>735</v>
      </c>
      <c r="E310" t="s">
        <v>988</v>
      </c>
      <c r="F310" t="s">
        <v>948</v>
      </c>
      <c r="G310">
        <v>10</v>
      </c>
      <c r="H310" t="s">
        <v>243</v>
      </c>
      <c r="I310" t="s">
        <v>249</v>
      </c>
      <c r="J310"/>
      <c r="K310"/>
      <c r="L310" t="s">
        <v>1757</v>
      </c>
      <c r="M310"/>
      <c r="N310"/>
      <c r="O310"/>
      <c r="P310" t="s">
        <v>243</v>
      </c>
      <c r="Q310" t="s">
        <v>2736</v>
      </c>
      <c r="R310" t="s">
        <v>441</v>
      </c>
      <c r="S310" t="s">
        <v>2675</v>
      </c>
      <c r="T310" t="s">
        <v>2995</v>
      </c>
      <c r="U310" t="s">
        <v>2888</v>
      </c>
    </row>
    <row r="311" spans="1:21">
      <c r="A311">
        <v>31</v>
      </c>
      <c r="B311" t="s">
        <v>247</v>
      </c>
      <c r="C311" t="s">
        <v>58</v>
      </c>
      <c r="D311" t="s">
        <v>741</v>
      </c>
      <c r="E311" t="s">
        <v>949</v>
      </c>
      <c r="F311" t="s">
        <v>948</v>
      </c>
      <c r="G311">
        <v>5</v>
      </c>
      <c r="H311" t="s">
        <v>249</v>
      </c>
      <c r="I311" t="s">
        <v>249</v>
      </c>
      <c r="J311" t="s">
        <v>599</v>
      </c>
      <c r="K311" t="s">
        <v>2597</v>
      </c>
      <c r="L311" t="s">
        <v>1770</v>
      </c>
      <c r="M311" t="s">
        <v>351</v>
      </c>
      <c r="N311"/>
      <c r="O311"/>
      <c r="P311" t="s">
        <v>243</v>
      </c>
      <c r="Q311" t="s">
        <v>2661</v>
      </c>
      <c r="R311" t="s">
        <v>2692</v>
      </c>
      <c r="S311" t="s">
        <v>2707</v>
      </c>
      <c r="U311" t="s">
        <v>2927</v>
      </c>
    </row>
    <row r="312" spans="1:21">
      <c r="A312">
        <v>35</v>
      </c>
      <c r="B312" t="s">
        <v>247</v>
      </c>
      <c r="C312" t="s">
        <v>43</v>
      </c>
      <c r="D312" t="s">
        <v>82</v>
      </c>
      <c r="E312" t="s">
        <v>949</v>
      </c>
      <c r="F312" t="s">
        <v>948</v>
      </c>
      <c r="G312">
        <v>5</v>
      </c>
      <c r="H312" t="s">
        <v>249</v>
      </c>
      <c r="I312" t="s">
        <v>249</v>
      </c>
      <c r="J312"/>
      <c r="K312"/>
      <c r="L312" t="s">
        <v>1773</v>
      </c>
      <c r="M312"/>
      <c r="N312"/>
      <c r="O312"/>
      <c r="P312" t="s">
        <v>249</v>
      </c>
    </row>
    <row r="313" spans="1:21">
      <c r="A313">
        <v>3</v>
      </c>
      <c r="B313" t="s">
        <v>247</v>
      </c>
      <c r="C313" t="s">
        <v>25</v>
      </c>
      <c r="D313" t="s">
        <v>440</v>
      </c>
      <c r="E313" t="s">
        <v>949</v>
      </c>
      <c r="F313" t="s">
        <v>948</v>
      </c>
      <c r="G313">
        <v>8</v>
      </c>
      <c r="H313" t="s">
        <v>249</v>
      </c>
      <c r="I313" t="s">
        <v>249</v>
      </c>
      <c r="J313"/>
      <c r="K313"/>
      <c r="L313" t="s">
        <v>1742</v>
      </c>
      <c r="M313"/>
      <c r="N313"/>
      <c r="O313"/>
      <c r="P313" t="s">
        <v>243</v>
      </c>
      <c r="Q313" t="s">
        <v>2661</v>
      </c>
      <c r="R313" t="s">
        <v>2662</v>
      </c>
      <c r="S313" t="s">
        <v>2703</v>
      </c>
      <c r="U313" t="s">
        <v>2889</v>
      </c>
    </row>
    <row r="314" spans="1:21">
      <c r="A314">
        <v>62</v>
      </c>
      <c r="B314" t="s">
        <v>247</v>
      </c>
      <c r="C314" t="s">
        <v>42</v>
      </c>
      <c r="D314" t="s">
        <v>81</v>
      </c>
      <c r="E314" t="s">
        <v>949</v>
      </c>
      <c r="F314" t="s">
        <v>948</v>
      </c>
      <c r="G314">
        <v>6</v>
      </c>
      <c r="H314" t="s">
        <v>249</v>
      </c>
      <c r="I314" t="s">
        <v>249</v>
      </c>
      <c r="J314"/>
      <c r="K314"/>
      <c r="L314" t="s">
        <v>1798</v>
      </c>
      <c r="M314"/>
      <c r="N314"/>
      <c r="O314"/>
      <c r="P314" t="s">
        <v>249</v>
      </c>
    </row>
    <row r="315" spans="1:21">
      <c r="A315">
        <v>24</v>
      </c>
      <c r="B315" t="s">
        <v>247</v>
      </c>
      <c r="C315" t="s">
        <v>50</v>
      </c>
      <c r="D315" t="s">
        <v>264</v>
      </c>
      <c r="E315" t="s">
        <v>988</v>
      </c>
      <c r="F315" t="s">
        <v>948</v>
      </c>
      <c r="G315">
        <v>8</v>
      </c>
      <c r="H315" t="s">
        <v>243</v>
      </c>
      <c r="I315" t="s">
        <v>249</v>
      </c>
      <c r="J315"/>
      <c r="K315"/>
      <c r="L315" t="s">
        <v>1763</v>
      </c>
      <c r="M315"/>
      <c r="N315"/>
      <c r="O315"/>
      <c r="P315" t="s">
        <v>243</v>
      </c>
      <c r="Q315" t="s">
        <v>2736</v>
      </c>
      <c r="R315" t="s">
        <v>441</v>
      </c>
      <c r="S315" t="s">
        <v>2681</v>
      </c>
      <c r="T315" t="s">
        <v>2996</v>
      </c>
      <c r="U315" t="s">
        <v>2890</v>
      </c>
    </row>
    <row r="316" spans="1:21">
      <c r="A316">
        <v>278</v>
      </c>
      <c r="B316" t="s">
        <v>409</v>
      </c>
      <c r="C316" t="s">
        <v>964</v>
      </c>
      <c r="D316" t="s">
        <v>964</v>
      </c>
      <c r="E316" t="s">
        <v>949</v>
      </c>
      <c r="F316" t="s">
        <v>948</v>
      </c>
      <c r="G316">
        <v>10</v>
      </c>
      <c r="H316" t="s">
        <v>249</v>
      </c>
      <c r="I316" t="s">
        <v>249</v>
      </c>
      <c r="J316"/>
      <c r="K316"/>
      <c r="L316" t="s">
        <v>1998</v>
      </c>
      <c r="M316"/>
      <c r="N316"/>
      <c r="O316"/>
      <c r="P316"/>
    </row>
    <row r="317" spans="1:21">
      <c r="A317">
        <v>271</v>
      </c>
      <c r="B317" t="s">
        <v>409</v>
      </c>
      <c r="C317" t="s">
        <v>971</v>
      </c>
      <c r="D317" t="s">
        <v>971</v>
      </c>
      <c r="E317" t="s">
        <v>949</v>
      </c>
      <c r="F317" t="s">
        <v>948</v>
      </c>
      <c r="G317">
        <v>10</v>
      </c>
      <c r="H317" t="s">
        <v>249</v>
      </c>
      <c r="I317" t="s">
        <v>249</v>
      </c>
      <c r="J317"/>
      <c r="K317"/>
      <c r="L317" t="s">
        <v>1991</v>
      </c>
      <c r="M317"/>
      <c r="N317"/>
      <c r="O317"/>
      <c r="P317"/>
    </row>
    <row r="318" spans="1:21">
      <c r="A318">
        <v>268</v>
      </c>
      <c r="B318" t="s">
        <v>409</v>
      </c>
      <c r="C318" t="s">
        <v>974</v>
      </c>
      <c r="D318" t="s">
        <v>974</v>
      </c>
      <c r="E318" t="s">
        <v>949</v>
      </c>
      <c r="F318" t="s">
        <v>948</v>
      </c>
      <c r="G318">
        <v>10</v>
      </c>
      <c r="H318" t="s">
        <v>249</v>
      </c>
      <c r="I318" t="s">
        <v>249</v>
      </c>
      <c r="J318"/>
      <c r="K318"/>
      <c r="L318" t="s">
        <v>1988</v>
      </c>
      <c r="M318"/>
      <c r="N318"/>
      <c r="O318"/>
      <c r="P318"/>
    </row>
    <row r="319" spans="1:21">
      <c r="A319">
        <v>282</v>
      </c>
      <c r="B319" t="s">
        <v>409</v>
      </c>
      <c r="C319" t="s">
        <v>960</v>
      </c>
      <c r="D319" t="s">
        <v>960</v>
      </c>
      <c r="E319" t="s">
        <v>949</v>
      </c>
      <c r="F319" t="s">
        <v>948</v>
      </c>
      <c r="G319">
        <v>10</v>
      </c>
      <c r="H319" t="s">
        <v>249</v>
      </c>
      <c r="I319" t="s">
        <v>249</v>
      </c>
      <c r="J319"/>
      <c r="K319"/>
      <c r="L319" t="s">
        <v>2002</v>
      </c>
      <c r="M319"/>
      <c r="N319"/>
      <c r="O319"/>
      <c r="P319"/>
    </row>
    <row r="320" spans="1:21">
      <c r="A320">
        <v>263</v>
      </c>
      <c r="B320" t="s">
        <v>409</v>
      </c>
      <c r="C320" t="s">
        <v>979</v>
      </c>
      <c r="D320" t="s">
        <v>979</v>
      </c>
      <c r="E320" t="s">
        <v>949</v>
      </c>
      <c r="F320" t="s">
        <v>948</v>
      </c>
      <c r="G320">
        <v>10</v>
      </c>
      <c r="H320" t="s">
        <v>249</v>
      </c>
      <c r="I320" t="s">
        <v>249</v>
      </c>
      <c r="J320"/>
      <c r="K320"/>
      <c r="L320" t="s">
        <v>1983</v>
      </c>
      <c r="M320"/>
      <c r="N320"/>
      <c r="O320"/>
      <c r="P320"/>
    </row>
    <row r="321" spans="1:20">
      <c r="A321">
        <v>270</v>
      </c>
      <c r="B321" t="s">
        <v>409</v>
      </c>
      <c r="C321" t="s">
        <v>972</v>
      </c>
      <c r="D321" t="s">
        <v>972</v>
      </c>
      <c r="E321" t="s">
        <v>949</v>
      </c>
      <c r="F321" t="s">
        <v>948</v>
      </c>
      <c r="G321">
        <v>10</v>
      </c>
      <c r="H321" t="s">
        <v>249</v>
      </c>
      <c r="I321" t="s">
        <v>249</v>
      </c>
      <c r="J321"/>
      <c r="K321"/>
      <c r="L321" t="s">
        <v>1990</v>
      </c>
      <c r="M321"/>
      <c r="N321"/>
      <c r="O321"/>
      <c r="P321"/>
    </row>
    <row r="322" spans="1:20">
      <c r="A322">
        <v>252</v>
      </c>
      <c r="B322" t="s">
        <v>409</v>
      </c>
      <c r="C322" t="s">
        <v>518</v>
      </c>
      <c r="D322" t="s">
        <v>355</v>
      </c>
      <c r="E322" t="s">
        <v>949</v>
      </c>
      <c r="F322" t="s">
        <v>948</v>
      </c>
      <c r="G322">
        <v>10</v>
      </c>
      <c r="H322" t="s">
        <v>249</v>
      </c>
      <c r="I322" t="s">
        <v>249</v>
      </c>
      <c r="J322" t="s">
        <v>355</v>
      </c>
      <c r="K322" t="s">
        <v>2597</v>
      </c>
      <c r="L322" t="s">
        <v>1971</v>
      </c>
      <c r="M322" t="s">
        <v>351</v>
      </c>
      <c r="N322"/>
      <c r="O322"/>
      <c r="P322" t="s">
        <v>249</v>
      </c>
      <c r="Q322" t="s">
        <v>2698</v>
      </c>
      <c r="R322" t="s">
        <v>2692</v>
      </c>
      <c r="S322" t="s">
        <v>355</v>
      </c>
      <c r="T322" t="s">
        <v>2793</v>
      </c>
    </row>
    <row r="323" spans="1:20">
      <c r="A323">
        <v>269</v>
      </c>
      <c r="B323" t="s">
        <v>409</v>
      </c>
      <c r="C323" t="s">
        <v>973</v>
      </c>
      <c r="D323" t="s">
        <v>973</v>
      </c>
      <c r="E323" t="s">
        <v>949</v>
      </c>
      <c r="F323" t="s">
        <v>948</v>
      </c>
      <c r="G323">
        <v>10</v>
      </c>
      <c r="H323" t="s">
        <v>249</v>
      </c>
      <c r="I323" t="s">
        <v>249</v>
      </c>
      <c r="J323"/>
      <c r="K323"/>
      <c r="L323" t="s">
        <v>1989</v>
      </c>
      <c r="M323"/>
      <c r="N323"/>
      <c r="O323"/>
      <c r="P323"/>
    </row>
    <row r="324" spans="1:20">
      <c r="A324">
        <v>274</v>
      </c>
      <c r="B324" t="s">
        <v>409</v>
      </c>
      <c r="C324" t="s">
        <v>968</v>
      </c>
      <c r="D324" t="s">
        <v>968</v>
      </c>
      <c r="E324" t="s">
        <v>949</v>
      </c>
      <c r="F324" t="s">
        <v>948</v>
      </c>
      <c r="G324">
        <v>10</v>
      </c>
      <c r="H324" t="s">
        <v>249</v>
      </c>
      <c r="I324" t="s">
        <v>249</v>
      </c>
      <c r="J324"/>
      <c r="K324"/>
      <c r="L324" t="s">
        <v>1994</v>
      </c>
      <c r="M324"/>
      <c r="N324"/>
      <c r="O324"/>
      <c r="P324"/>
    </row>
    <row r="325" spans="1:20">
      <c r="A325">
        <v>275</v>
      </c>
      <c r="B325" t="s">
        <v>409</v>
      </c>
      <c r="C325" t="s">
        <v>967</v>
      </c>
      <c r="D325" t="s">
        <v>967</v>
      </c>
      <c r="E325" t="s">
        <v>989</v>
      </c>
      <c r="F325" t="s">
        <v>948</v>
      </c>
      <c r="G325">
        <v>12</v>
      </c>
      <c r="H325" t="s">
        <v>243</v>
      </c>
      <c r="I325" t="s">
        <v>249</v>
      </c>
      <c r="J325"/>
      <c r="K325"/>
      <c r="L325" t="s">
        <v>1995</v>
      </c>
      <c r="M325"/>
      <c r="N325"/>
      <c r="O325"/>
      <c r="P325"/>
    </row>
    <row r="326" spans="1:20">
      <c r="A326">
        <v>253</v>
      </c>
      <c r="B326" t="s">
        <v>409</v>
      </c>
      <c r="C326" t="s">
        <v>544</v>
      </c>
      <c r="D326" t="s">
        <v>447</v>
      </c>
      <c r="E326" t="s">
        <v>949</v>
      </c>
      <c r="F326" t="s">
        <v>948</v>
      </c>
      <c r="G326">
        <v>10</v>
      </c>
      <c r="H326" t="s">
        <v>249</v>
      </c>
      <c r="I326" t="s">
        <v>249</v>
      </c>
      <c r="J326"/>
      <c r="K326"/>
      <c r="L326" t="s">
        <v>1972</v>
      </c>
      <c r="M326"/>
      <c r="N326"/>
      <c r="O326"/>
      <c r="P326" t="s">
        <v>249</v>
      </c>
      <c r="Q326" t="s">
        <v>2698</v>
      </c>
      <c r="R326" t="s">
        <v>2662</v>
      </c>
      <c r="S326" t="s">
        <v>2700</v>
      </c>
      <c r="T326" t="s">
        <v>2891</v>
      </c>
    </row>
    <row r="327" spans="1:20">
      <c r="A327">
        <v>293</v>
      </c>
      <c r="B327" t="s">
        <v>409</v>
      </c>
      <c r="C327" t="s">
        <v>1547</v>
      </c>
      <c r="D327" t="s">
        <v>1576</v>
      </c>
      <c r="E327" t="s">
        <v>949</v>
      </c>
      <c r="F327" t="s">
        <v>948</v>
      </c>
      <c r="G327">
        <v>30</v>
      </c>
      <c r="H327" t="s">
        <v>249</v>
      </c>
      <c r="I327" t="s">
        <v>249</v>
      </c>
      <c r="J327"/>
      <c r="K327"/>
      <c r="L327" t="s">
        <v>2013</v>
      </c>
      <c r="M327"/>
      <c r="N327"/>
      <c r="O327"/>
      <c r="P327"/>
    </row>
    <row r="328" spans="1:20">
      <c r="A328">
        <v>243</v>
      </c>
      <c r="B328" t="s">
        <v>409</v>
      </c>
      <c r="C328" t="s">
        <v>533</v>
      </c>
      <c r="D328" t="s">
        <v>1177</v>
      </c>
      <c r="E328" t="s">
        <v>949</v>
      </c>
      <c r="F328" t="s">
        <v>948</v>
      </c>
      <c r="G328">
        <v>15</v>
      </c>
      <c r="H328" t="s">
        <v>249</v>
      </c>
      <c r="I328" t="s">
        <v>249</v>
      </c>
      <c r="J328" t="s">
        <v>659</v>
      </c>
      <c r="K328" t="s">
        <v>2597</v>
      </c>
      <c r="L328" t="s">
        <v>1964</v>
      </c>
      <c r="M328" t="s">
        <v>351</v>
      </c>
      <c r="N328"/>
      <c r="O328"/>
      <c r="P328" t="s">
        <v>249</v>
      </c>
      <c r="Q328" t="s">
        <v>2698</v>
      </c>
      <c r="R328" t="s">
        <v>2692</v>
      </c>
      <c r="S328" t="s">
        <v>356</v>
      </c>
      <c r="T328" t="s">
        <v>2794</v>
      </c>
    </row>
    <row r="329" spans="1:20">
      <c r="A329">
        <v>242</v>
      </c>
      <c r="B329" t="s">
        <v>409</v>
      </c>
      <c r="C329" t="s">
        <v>549</v>
      </c>
      <c r="D329" t="s">
        <v>1178</v>
      </c>
      <c r="E329" t="s">
        <v>949</v>
      </c>
      <c r="F329" t="s">
        <v>948</v>
      </c>
      <c r="G329">
        <v>15</v>
      </c>
      <c r="H329" t="s">
        <v>249</v>
      </c>
      <c r="I329" t="s">
        <v>249</v>
      </c>
      <c r="J329"/>
      <c r="K329"/>
      <c r="L329" t="s">
        <v>1963</v>
      </c>
      <c r="M329"/>
      <c r="N329"/>
      <c r="O329"/>
      <c r="P329" t="s">
        <v>249</v>
      </c>
      <c r="Q329" t="s">
        <v>2698</v>
      </c>
      <c r="R329" t="s">
        <v>2662</v>
      </c>
      <c r="S329" t="s">
        <v>2699</v>
      </c>
      <c r="T329" t="s">
        <v>2892</v>
      </c>
    </row>
    <row r="330" spans="1:20">
      <c r="A330">
        <v>258</v>
      </c>
      <c r="B330" t="s">
        <v>409</v>
      </c>
      <c r="C330" t="s">
        <v>984</v>
      </c>
      <c r="D330" t="s">
        <v>984</v>
      </c>
      <c r="E330" t="s">
        <v>949</v>
      </c>
      <c r="F330" t="s">
        <v>948</v>
      </c>
      <c r="G330">
        <v>10</v>
      </c>
      <c r="H330" t="s">
        <v>249</v>
      </c>
      <c r="I330" t="s">
        <v>249</v>
      </c>
      <c r="J330"/>
      <c r="K330"/>
      <c r="L330" t="s">
        <v>1978</v>
      </c>
      <c r="M330"/>
      <c r="N330"/>
      <c r="O330"/>
      <c r="P330"/>
    </row>
    <row r="331" spans="1:20">
      <c r="A331">
        <v>235</v>
      </c>
      <c r="B331" t="s">
        <v>409</v>
      </c>
      <c r="C331" t="s">
        <v>545</v>
      </c>
      <c r="D331" t="s">
        <v>1182</v>
      </c>
      <c r="E331" t="s">
        <v>949</v>
      </c>
      <c r="F331" t="s">
        <v>985</v>
      </c>
      <c r="G331">
        <v>6</v>
      </c>
      <c r="H331" t="s">
        <v>249</v>
      </c>
      <c r="I331" t="s">
        <v>249</v>
      </c>
      <c r="J331"/>
      <c r="K331" t="s">
        <v>2597</v>
      </c>
      <c r="L331" t="s">
        <v>1956</v>
      </c>
      <c r="M331" t="s">
        <v>351</v>
      </c>
      <c r="N331"/>
      <c r="O331"/>
      <c r="P331" t="s">
        <v>249</v>
      </c>
      <c r="Q331" t="s">
        <v>2698</v>
      </c>
      <c r="R331" t="s">
        <v>2662</v>
      </c>
      <c r="S331" t="s">
        <v>1182</v>
      </c>
      <c r="T331" t="s">
        <v>2893</v>
      </c>
    </row>
    <row r="332" spans="1:20">
      <c r="A332">
        <v>295</v>
      </c>
      <c r="B332" t="s">
        <v>409</v>
      </c>
      <c r="C332" t="s">
        <v>1549</v>
      </c>
      <c r="D332" t="s">
        <v>1551</v>
      </c>
      <c r="E332" t="s">
        <v>989</v>
      </c>
      <c r="F332" t="s">
        <v>948</v>
      </c>
      <c r="G332">
        <v>12</v>
      </c>
      <c r="H332" t="s">
        <v>243</v>
      </c>
      <c r="I332" t="s">
        <v>249</v>
      </c>
      <c r="J332"/>
      <c r="K332"/>
      <c r="L332" t="s">
        <v>2015</v>
      </c>
      <c r="M332"/>
      <c r="N332"/>
      <c r="O332"/>
      <c r="P332"/>
    </row>
    <row r="333" spans="1:20">
      <c r="A333">
        <v>259</v>
      </c>
      <c r="B333" t="s">
        <v>409</v>
      </c>
      <c r="C333" t="s">
        <v>983</v>
      </c>
      <c r="D333" t="s">
        <v>983</v>
      </c>
      <c r="E333" t="s">
        <v>949</v>
      </c>
      <c r="F333" t="s">
        <v>948</v>
      </c>
      <c r="G333">
        <v>10</v>
      </c>
      <c r="H333" t="s">
        <v>249</v>
      </c>
      <c r="I333" t="s">
        <v>249</v>
      </c>
      <c r="J333"/>
      <c r="K333"/>
      <c r="L333" t="s">
        <v>1979</v>
      </c>
      <c r="M333"/>
      <c r="N333"/>
      <c r="O333"/>
      <c r="P333"/>
    </row>
    <row r="334" spans="1:20">
      <c r="A334">
        <v>12</v>
      </c>
      <c r="B334" t="s">
        <v>409</v>
      </c>
      <c r="C334" t="s">
        <v>67</v>
      </c>
      <c r="D334" t="s">
        <v>446</v>
      </c>
      <c r="E334" t="s">
        <v>949</v>
      </c>
      <c r="F334" t="s">
        <v>985</v>
      </c>
      <c r="G334">
        <v>10</v>
      </c>
      <c r="H334" t="s">
        <v>243</v>
      </c>
      <c r="I334" t="s">
        <v>249</v>
      </c>
      <c r="J334"/>
      <c r="K334"/>
      <c r="L334" t="s">
        <v>1751</v>
      </c>
      <c r="M334"/>
      <c r="N334"/>
      <c r="O334"/>
      <c r="P334" t="s">
        <v>249</v>
      </c>
      <c r="Q334" t="s">
        <v>2698</v>
      </c>
      <c r="R334" t="s">
        <v>2662</v>
      </c>
      <c r="S334" t="s">
        <v>2705</v>
      </c>
      <c r="T334" t="s">
        <v>2894</v>
      </c>
    </row>
    <row r="335" spans="1:20">
      <c r="A335">
        <v>240</v>
      </c>
      <c r="B335" t="s">
        <v>409</v>
      </c>
      <c r="C335" t="s">
        <v>548</v>
      </c>
      <c r="D335" t="s">
        <v>580</v>
      </c>
      <c r="E335" t="s">
        <v>949</v>
      </c>
      <c r="F335" t="s">
        <v>948</v>
      </c>
      <c r="G335">
        <v>10</v>
      </c>
      <c r="H335" t="s">
        <v>243</v>
      </c>
      <c r="I335" t="s">
        <v>243</v>
      </c>
      <c r="J335" t="s">
        <v>580</v>
      </c>
      <c r="K335" t="s">
        <v>2597</v>
      </c>
      <c r="L335" t="s">
        <v>1961</v>
      </c>
      <c r="M335" t="s">
        <v>351</v>
      </c>
      <c r="N335"/>
      <c r="O335"/>
      <c r="P335" t="s">
        <v>249</v>
      </c>
      <c r="Q335" t="s">
        <v>2698</v>
      </c>
      <c r="R335" t="s">
        <v>2692</v>
      </c>
      <c r="S335" t="s">
        <v>580</v>
      </c>
      <c r="T335" t="s">
        <v>2795</v>
      </c>
    </row>
    <row r="336" spans="1:20">
      <c r="A336">
        <v>272</v>
      </c>
      <c r="B336" t="s">
        <v>409</v>
      </c>
      <c r="C336" t="s">
        <v>970</v>
      </c>
      <c r="D336" t="s">
        <v>970</v>
      </c>
      <c r="E336" t="s">
        <v>949</v>
      </c>
      <c r="F336" t="s">
        <v>948</v>
      </c>
      <c r="G336">
        <v>10</v>
      </c>
      <c r="H336" t="s">
        <v>249</v>
      </c>
      <c r="I336" t="s">
        <v>249</v>
      </c>
      <c r="J336"/>
      <c r="K336"/>
      <c r="L336" t="s">
        <v>1992</v>
      </c>
      <c r="M336"/>
      <c r="N336"/>
      <c r="O336"/>
      <c r="P336"/>
    </row>
    <row r="337" spans="1:20">
      <c r="A337">
        <v>255</v>
      </c>
      <c r="B337" t="s">
        <v>409</v>
      </c>
      <c r="C337" t="s">
        <v>547</v>
      </c>
      <c r="D337" t="s">
        <v>801</v>
      </c>
      <c r="E337" t="s">
        <v>989</v>
      </c>
      <c r="F337" t="s">
        <v>948</v>
      </c>
      <c r="G337">
        <v>12</v>
      </c>
      <c r="H337" t="s">
        <v>243</v>
      </c>
      <c r="I337" t="s">
        <v>249</v>
      </c>
      <c r="J337"/>
      <c r="K337"/>
      <c r="L337" t="s">
        <v>1974</v>
      </c>
      <c r="M337"/>
      <c r="N337"/>
      <c r="O337"/>
      <c r="P337"/>
    </row>
    <row r="338" spans="1:20">
      <c r="A338">
        <v>260</v>
      </c>
      <c r="B338" t="s">
        <v>409</v>
      </c>
      <c r="C338" t="s">
        <v>982</v>
      </c>
      <c r="D338" t="s">
        <v>982</v>
      </c>
      <c r="E338" t="s">
        <v>949</v>
      </c>
      <c r="F338" t="s">
        <v>948</v>
      </c>
      <c r="G338">
        <v>10</v>
      </c>
      <c r="H338" t="s">
        <v>249</v>
      </c>
      <c r="I338" t="s">
        <v>249</v>
      </c>
      <c r="J338"/>
      <c r="K338"/>
      <c r="L338" t="s">
        <v>1980</v>
      </c>
      <c r="M338"/>
      <c r="N338"/>
      <c r="O338"/>
      <c r="P338"/>
    </row>
    <row r="339" spans="1:20">
      <c r="A339">
        <v>246</v>
      </c>
      <c r="B339" t="s">
        <v>409</v>
      </c>
      <c r="C339" t="s">
        <v>537</v>
      </c>
      <c r="D339" t="s">
        <v>1174</v>
      </c>
      <c r="E339" t="s">
        <v>949</v>
      </c>
      <c r="F339" t="s">
        <v>948</v>
      </c>
      <c r="G339">
        <v>15</v>
      </c>
      <c r="H339" t="s">
        <v>249</v>
      </c>
      <c r="I339" t="s">
        <v>249</v>
      </c>
      <c r="J339" t="s">
        <v>8</v>
      </c>
      <c r="K339" t="s">
        <v>2597</v>
      </c>
      <c r="L339" t="s">
        <v>1967</v>
      </c>
      <c r="M339" t="s">
        <v>351</v>
      </c>
      <c r="N339"/>
      <c r="O339"/>
      <c r="P339" t="s">
        <v>249</v>
      </c>
      <c r="Q339" t="s">
        <v>2698</v>
      </c>
      <c r="R339" t="s">
        <v>2692</v>
      </c>
      <c r="S339" t="s">
        <v>8</v>
      </c>
      <c r="T339" t="s">
        <v>2796</v>
      </c>
    </row>
    <row r="340" spans="1:20">
      <c r="A340">
        <v>244</v>
      </c>
      <c r="B340" t="s">
        <v>409</v>
      </c>
      <c r="C340" t="s">
        <v>534</v>
      </c>
      <c r="D340" t="s">
        <v>1176</v>
      </c>
      <c r="E340" t="s">
        <v>949</v>
      </c>
      <c r="F340" t="s">
        <v>948</v>
      </c>
      <c r="G340">
        <v>15</v>
      </c>
      <c r="H340" t="s">
        <v>249</v>
      </c>
      <c r="I340" t="s">
        <v>249</v>
      </c>
      <c r="J340" t="s">
        <v>588</v>
      </c>
      <c r="K340" t="s">
        <v>2597</v>
      </c>
      <c r="L340" t="s">
        <v>1965</v>
      </c>
      <c r="M340" t="s">
        <v>351</v>
      </c>
      <c r="N340"/>
      <c r="O340"/>
      <c r="P340" t="s">
        <v>249</v>
      </c>
      <c r="Q340" t="s">
        <v>2698</v>
      </c>
      <c r="R340" t="s">
        <v>2692</v>
      </c>
      <c r="S340" t="s">
        <v>588</v>
      </c>
      <c r="T340" t="s">
        <v>2797</v>
      </c>
    </row>
    <row r="341" spans="1:20">
      <c r="A341">
        <v>261</v>
      </c>
      <c r="B341" t="s">
        <v>409</v>
      </c>
      <c r="C341" t="s">
        <v>981</v>
      </c>
      <c r="D341" t="s">
        <v>981</v>
      </c>
      <c r="E341" t="s">
        <v>949</v>
      </c>
      <c r="F341" t="s">
        <v>948</v>
      </c>
      <c r="G341">
        <v>10</v>
      </c>
      <c r="H341" t="s">
        <v>249</v>
      </c>
      <c r="I341" t="s">
        <v>249</v>
      </c>
      <c r="J341"/>
      <c r="K341"/>
      <c r="L341" t="s">
        <v>1981</v>
      </c>
      <c r="M341"/>
      <c r="N341"/>
      <c r="O341"/>
      <c r="P341"/>
    </row>
    <row r="342" spans="1:20">
      <c r="A342">
        <v>296</v>
      </c>
      <c r="B342" t="s">
        <v>409</v>
      </c>
      <c r="C342" t="s">
        <v>1552</v>
      </c>
      <c r="D342" t="s">
        <v>2016</v>
      </c>
      <c r="E342" t="s">
        <v>988</v>
      </c>
      <c r="F342" t="s">
        <v>948</v>
      </c>
      <c r="G342">
        <v>9</v>
      </c>
      <c r="H342" t="s">
        <v>243</v>
      </c>
      <c r="I342" t="s">
        <v>249</v>
      </c>
      <c r="J342"/>
      <c r="K342"/>
      <c r="L342" t="s">
        <v>2017</v>
      </c>
      <c r="M342"/>
      <c r="N342"/>
      <c r="O342"/>
      <c r="P342"/>
    </row>
    <row r="343" spans="1:20">
      <c r="A343">
        <v>305</v>
      </c>
      <c r="B343" t="s">
        <v>409</v>
      </c>
      <c r="C343" t="s">
        <v>1561</v>
      </c>
      <c r="D343" t="s">
        <v>2034</v>
      </c>
      <c r="E343" t="s">
        <v>988</v>
      </c>
      <c r="F343" t="s">
        <v>948</v>
      </c>
      <c r="G343">
        <v>9</v>
      </c>
      <c r="H343" t="s">
        <v>243</v>
      </c>
      <c r="I343" t="s">
        <v>249</v>
      </c>
      <c r="J343"/>
      <c r="K343"/>
      <c r="L343" t="s">
        <v>2035</v>
      </c>
      <c r="M343"/>
      <c r="N343"/>
      <c r="O343"/>
      <c r="P343"/>
    </row>
    <row r="344" spans="1:20">
      <c r="A344">
        <v>306</v>
      </c>
      <c r="B344" t="s">
        <v>409</v>
      </c>
      <c r="C344" t="s">
        <v>1562</v>
      </c>
      <c r="D344" t="s">
        <v>2036</v>
      </c>
      <c r="E344" t="s">
        <v>988</v>
      </c>
      <c r="F344" t="s">
        <v>948</v>
      </c>
      <c r="G344">
        <v>9</v>
      </c>
      <c r="H344" t="s">
        <v>243</v>
      </c>
      <c r="I344" t="s">
        <v>249</v>
      </c>
      <c r="J344"/>
      <c r="K344"/>
      <c r="L344" t="s">
        <v>2037</v>
      </c>
      <c r="M344"/>
      <c r="N344"/>
      <c r="O344"/>
      <c r="P344"/>
    </row>
    <row r="345" spans="1:20">
      <c r="A345">
        <v>307</v>
      </c>
      <c r="B345" t="s">
        <v>409</v>
      </c>
      <c r="C345" t="s">
        <v>1563</v>
      </c>
      <c r="D345" t="s">
        <v>2038</v>
      </c>
      <c r="E345" t="s">
        <v>988</v>
      </c>
      <c r="F345" t="s">
        <v>948</v>
      </c>
      <c r="G345">
        <v>9</v>
      </c>
      <c r="H345" t="s">
        <v>243</v>
      </c>
      <c r="I345" t="s">
        <v>249</v>
      </c>
      <c r="J345"/>
      <c r="K345"/>
      <c r="L345" t="s">
        <v>2039</v>
      </c>
      <c r="M345"/>
      <c r="N345"/>
      <c r="O345"/>
      <c r="P345"/>
    </row>
    <row r="346" spans="1:20">
      <c r="A346">
        <v>308</v>
      </c>
      <c r="B346" t="s">
        <v>409</v>
      </c>
      <c r="C346" t="s">
        <v>1564</v>
      </c>
      <c r="D346" t="s">
        <v>2040</v>
      </c>
      <c r="E346" t="s">
        <v>988</v>
      </c>
      <c r="F346" t="s">
        <v>948</v>
      </c>
      <c r="G346">
        <v>9</v>
      </c>
      <c r="H346" t="s">
        <v>243</v>
      </c>
      <c r="I346" t="s">
        <v>249</v>
      </c>
      <c r="J346"/>
      <c r="K346"/>
      <c r="L346" t="s">
        <v>2041</v>
      </c>
      <c r="M346"/>
      <c r="N346"/>
      <c r="O346"/>
      <c r="P346"/>
    </row>
    <row r="347" spans="1:20">
      <c r="A347">
        <v>309</v>
      </c>
      <c r="B347" t="s">
        <v>409</v>
      </c>
      <c r="C347" t="s">
        <v>1565</v>
      </c>
      <c r="D347" t="s">
        <v>2042</v>
      </c>
      <c r="E347" t="s">
        <v>988</v>
      </c>
      <c r="F347" t="s">
        <v>948</v>
      </c>
      <c r="G347">
        <v>9</v>
      </c>
      <c r="H347" t="s">
        <v>243</v>
      </c>
      <c r="I347" t="s">
        <v>249</v>
      </c>
      <c r="J347"/>
      <c r="K347"/>
      <c r="L347" t="s">
        <v>2043</v>
      </c>
      <c r="M347"/>
      <c r="N347"/>
      <c r="O347"/>
      <c r="P347"/>
    </row>
    <row r="348" spans="1:20">
      <c r="A348">
        <v>310</v>
      </c>
      <c r="B348" t="s">
        <v>409</v>
      </c>
      <c r="C348" t="s">
        <v>1566</v>
      </c>
      <c r="D348" t="s">
        <v>2044</v>
      </c>
      <c r="E348" t="s">
        <v>988</v>
      </c>
      <c r="F348" t="s">
        <v>948</v>
      </c>
      <c r="G348">
        <v>9</v>
      </c>
      <c r="H348" t="s">
        <v>243</v>
      </c>
      <c r="I348" t="s">
        <v>249</v>
      </c>
      <c r="J348"/>
      <c r="K348"/>
      <c r="L348" t="s">
        <v>2045</v>
      </c>
      <c r="M348"/>
      <c r="N348"/>
      <c r="O348"/>
      <c r="P348"/>
    </row>
    <row r="349" spans="1:20">
      <c r="A349">
        <v>311</v>
      </c>
      <c r="B349" t="s">
        <v>409</v>
      </c>
      <c r="C349" t="s">
        <v>1567</v>
      </c>
      <c r="D349" t="s">
        <v>2046</v>
      </c>
      <c r="E349" t="s">
        <v>988</v>
      </c>
      <c r="F349" t="s">
        <v>948</v>
      </c>
      <c r="G349">
        <v>9</v>
      </c>
      <c r="H349" t="s">
        <v>243</v>
      </c>
      <c r="I349" t="s">
        <v>249</v>
      </c>
      <c r="J349"/>
      <c r="K349"/>
      <c r="L349" t="s">
        <v>2047</v>
      </c>
      <c r="M349"/>
      <c r="N349"/>
      <c r="O349"/>
      <c r="P349"/>
    </row>
    <row r="350" spans="1:20">
      <c r="A350">
        <v>312</v>
      </c>
      <c r="B350" t="s">
        <v>409</v>
      </c>
      <c r="C350" t="s">
        <v>1568</v>
      </c>
      <c r="D350" t="s">
        <v>2048</v>
      </c>
      <c r="E350" t="s">
        <v>988</v>
      </c>
      <c r="F350" t="s">
        <v>948</v>
      </c>
      <c r="G350">
        <v>9</v>
      </c>
      <c r="H350" t="s">
        <v>243</v>
      </c>
      <c r="I350" t="s">
        <v>249</v>
      </c>
      <c r="J350"/>
      <c r="K350"/>
      <c r="L350" t="s">
        <v>2049</v>
      </c>
      <c r="M350"/>
      <c r="N350"/>
      <c r="O350"/>
      <c r="P350"/>
    </row>
    <row r="351" spans="1:20">
      <c r="A351">
        <v>313</v>
      </c>
      <c r="B351" t="s">
        <v>409</v>
      </c>
      <c r="C351" t="s">
        <v>1569</v>
      </c>
      <c r="D351" t="s">
        <v>2050</v>
      </c>
      <c r="E351" t="s">
        <v>988</v>
      </c>
      <c r="F351" t="s">
        <v>948</v>
      </c>
      <c r="G351">
        <v>9</v>
      </c>
      <c r="H351" t="s">
        <v>243</v>
      </c>
      <c r="I351" t="s">
        <v>249</v>
      </c>
      <c r="J351"/>
      <c r="K351"/>
      <c r="L351" t="s">
        <v>2051</v>
      </c>
      <c r="M351"/>
      <c r="N351"/>
      <c r="O351"/>
      <c r="P351"/>
    </row>
    <row r="352" spans="1:20">
      <c r="A352">
        <v>314</v>
      </c>
      <c r="B352" t="s">
        <v>409</v>
      </c>
      <c r="C352" t="s">
        <v>1570</v>
      </c>
      <c r="D352" t="s">
        <v>2052</v>
      </c>
      <c r="E352" t="s">
        <v>988</v>
      </c>
      <c r="F352" t="s">
        <v>948</v>
      </c>
      <c r="G352">
        <v>9</v>
      </c>
      <c r="H352" t="s">
        <v>243</v>
      </c>
      <c r="I352" t="s">
        <v>249</v>
      </c>
      <c r="J352"/>
      <c r="K352"/>
      <c r="L352" t="s">
        <v>2053</v>
      </c>
      <c r="M352"/>
      <c r="N352"/>
      <c r="O352"/>
      <c r="P352"/>
    </row>
    <row r="353" spans="1:20">
      <c r="A353">
        <v>297</v>
      </c>
      <c r="B353" t="s">
        <v>409</v>
      </c>
      <c r="C353" t="s">
        <v>1553</v>
      </c>
      <c r="D353" t="s">
        <v>2018</v>
      </c>
      <c r="E353" t="s">
        <v>988</v>
      </c>
      <c r="F353" t="s">
        <v>948</v>
      </c>
      <c r="G353">
        <v>9</v>
      </c>
      <c r="H353" t="s">
        <v>243</v>
      </c>
      <c r="I353" t="s">
        <v>249</v>
      </c>
      <c r="J353"/>
      <c r="K353"/>
      <c r="L353" t="s">
        <v>2019</v>
      </c>
      <c r="M353"/>
      <c r="N353"/>
      <c r="O353"/>
      <c r="P353"/>
    </row>
    <row r="354" spans="1:20">
      <c r="A354">
        <v>315</v>
      </c>
      <c r="B354" t="s">
        <v>409</v>
      </c>
      <c r="C354" t="s">
        <v>1571</v>
      </c>
      <c r="D354" t="s">
        <v>2054</v>
      </c>
      <c r="E354" t="s">
        <v>988</v>
      </c>
      <c r="F354" t="s">
        <v>948</v>
      </c>
      <c r="G354">
        <v>9</v>
      </c>
      <c r="H354" t="s">
        <v>243</v>
      </c>
      <c r="I354" t="s">
        <v>249</v>
      </c>
      <c r="J354"/>
      <c r="K354"/>
      <c r="L354" t="s">
        <v>2055</v>
      </c>
      <c r="M354"/>
      <c r="N354"/>
      <c r="O354"/>
      <c r="P354"/>
    </row>
    <row r="355" spans="1:20">
      <c r="A355">
        <v>316</v>
      </c>
      <c r="B355" t="s">
        <v>409</v>
      </c>
      <c r="C355" t="s">
        <v>1572</v>
      </c>
      <c r="D355" t="s">
        <v>2056</v>
      </c>
      <c r="E355" t="s">
        <v>988</v>
      </c>
      <c r="F355" t="s">
        <v>948</v>
      </c>
      <c r="G355">
        <v>9</v>
      </c>
      <c r="H355" t="s">
        <v>243</v>
      </c>
      <c r="I355" t="s">
        <v>249</v>
      </c>
      <c r="J355"/>
      <c r="K355"/>
      <c r="L355" t="s">
        <v>2057</v>
      </c>
      <c r="M355"/>
      <c r="N355"/>
      <c r="O355"/>
      <c r="P355"/>
    </row>
    <row r="356" spans="1:20">
      <c r="A356">
        <v>317</v>
      </c>
      <c r="B356" t="s">
        <v>409</v>
      </c>
      <c r="C356" t="s">
        <v>1573</v>
      </c>
      <c r="D356" t="s">
        <v>2058</v>
      </c>
      <c r="E356" t="s">
        <v>988</v>
      </c>
      <c r="F356" t="s">
        <v>948</v>
      </c>
      <c r="G356">
        <v>9</v>
      </c>
      <c r="H356" t="s">
        <v>243</v>
      </c>
      <c r="I356" t="s">
        <v>249</v>
      </c>
      <c r="J356"/>
      <c r="K356"/>
      <c r="L356" t="s">
        <v>2059</v>
      </c>
      <c r="M356"/>
      <c r="N356"/>
      <c r="O356"/>
      <c r="P356"/>
    </row>
    <row r="357" spans="1:20">
      <c r="A357">
        <v>318</v>
      </c>
      <c r="B357" t="s">
        <v>409</v>
      </c>
      <c r="C357" t="s">
        <v>1574</v>
      </c>
      <c r="D357" t="s">
        <v>2060</v>
      </c>
      <c r="E357" t="s">
        <v>988</v>
      </c>
      <c r="F357" t="s">
        <v>948</v>
      </c>
      <c r="G357">
        <v>9</v>
      </c>
      <c r="H357" t="s">
        <v>243</v>
      </c>
      <c r="I357" t="s">
        <v>249</v>
      </c>
      <c r="J357"/>
      <c r="K357"/>
      <c r="L357" t="s">
        <v>2061</v>
      </c>
      <c r="M357"/>
      <c r="N357"/>
      <c r="O357"/>
      <c r="P357"/>
    </row>
    <row r="358" spans="1:20">
      <c r="A358">
        <v>319</v>
      </c>
      <c r="B358" t="s">
        <v>409</v>
      </c>
      <c r="C358" t="s">
        <v>1575</v>
      </c>
      <c r="D358" t="s">
        <v>2062</v>
      </c>
      <c r="E358" t="s">
        <v>988</v>
      </c>
      <c r="F358" t="s">
        <v>948</v>
      </c>
      <c r="G358">
        <v>9</v>
      </c>
      <c r="H358" t="s">
        <v>243</v>
      </c>
      <c r="I358" t="s">
        <v>249</v>
      </c>
      <c r="J358"/>
      <c r="K358"/>
      <c r="L358" t="s">
        <v>2063</v>
      </c>
      <c r="M358"/>
      <c r="N358"/>
      <c r="O358"/>
      <c r="P358"/>
    </row>
    <row r="359" spans="1:20">
      <c r="A359">
        <v>298</v>
      </c>
      <c r="B359" t="s">
        <v>409</v>
      </c>
      <c r="C359" t="s">
        <v>1554</v>
      </c>
      <c r="D359" t="s">
        <v>2020</v>
      </c>
      <c r="E359" t="s">
        <v>988</v>
      </c>
      <c r="F359" t="s">
        <v>948</v>
      </c>
      <c r="G359">
        <v>9</v>
      </c>
      <c r="H359" t="s">
        <v>243</v>
      </c>
      <c r="I359" t="s">
        <v>249</v>
      </c>
      <c r="J359"/>
      <c r="K359"/>
      <c r="L359" t="s">
        <v>2021</v>
      </c>
      <c r="M359"/>
      <c r="N359"/>
      <c r="O359"/>
      <c r="P359"/>
    </row>
    <row r="360" spans="1:20">
      <c r="A360">
        <v>299</v>
      </c>
      <c r="B360" t="s">
        <v>409</v>
      </c>
      <c r="C360" t="s">
        <v>1555</v>
      </c>
      <c r="D360" t="s">
        <v>2022</v>
      </c>
      <c r="E360" t="s">
        <v>988</v>
      </c>
      <c r="F360" t="s">
        <v>948</v>
      </c>
      <c r="G360">
        <v>9</v>
      </c>
      <c r="H360" t="s">
        <v>243</v>
      </c>
      <c r="I360" t="s">
        <v>249</v>
      </c>
      <c r="J360"/>
      <c r="K360"/>
      <c r="L360" t="s">
        <v>2023</v>
      </c>
      <c r="M360"/>
      <c r="N360"/>
      <c r="O360"/>
      <c r="P360"/>
    </row>
    <row r="361" spans="1:20">
      <c r="A361">
        <v>300</v>
      </c>
      <c r="B361" t="s">
        <v>409</v>
      </c>
      <c r="C361" t="s">
        <v>1556</v>
      </c>
      <c r="D361" t="s">
        <v>2024</v>
      </c>
      <c r="E361" t="s">
        <v>988</v>
      </c>
      <c r="F361" t="s">
        <v>948</v>
      </c>
      <c r="G361">
        <v>9</v>
      </c>
      <c r="H361" t="s">
        <v>243</v>
      </c>
      <c r="I361" t="s">
        <v>249</v>
      </c>
      <c r="J361"/>
      <c r="K361"/>
      <c r="L361" t="s">
        <v>2025</v>
      </c>
      <c r="M361"/>
      <c r="N361"/>
      <c r="O361"/>
      <c r="P361"/>
    </row>
    <row r="362" spans="1:20">
      <c r="A362">
        <v>301</v>
      </c>
      <c r="B362" t="s">
        <v>409</v>
      </c>
      <c r="C362" t="s">
        <v>1557</v>
      </c>
      <c r="D362" t="s">
        <v>2026</v>
      </c>
      <c r="E362" t="s">
        <v>988</v>
      </c>
      <c r="F362" t="s">
        <v>948</v>
      </c>
      <c r="G362">
        <v>9</v>
      </c>
      <c r="H362" t="s">
        <v>243</v>
      </c>
      <c r="I362" t="s">
        <v>249</v>
      </c>
      <c r="J362"/>
      <c r="K362"/>
      <c r="L362" t="s">
        <v>2027</v>
      </c>
      <c r="M362"/>
      <c r="N362"/>
      <c r="O362"/>
      <c r="P362"/>
    </row>
    <row r="363" spans="1:20">
      <c r="A363">
        <v>302</v>
      </c>
      <c r="B363" t="s">
        <v>409</v>
      </c>
      <c r="C363" t="s">
        <v>1558</v>
      </c>
      <c r="D363" t="s">
        <v>2028</v>
      </c>
      <c r="E363" t="s">
        <v>988</v>
      </c>
      <c r="F363" t="s">
        <v>948</v>
      </c>
      <c r="G363">
        <v>9</v>
      </c>
      <c r="H363" t="s">
        <v>243</v>
      </c>
      <c r="I363" t="s">
        <v>249</v>
      </c>
      <c r="J363"/>
      <c r="K363"/>
      <c r="L363" t="s">
        <v>2029</v>
      </c>
      <c r="M363"/>
      <c r="N363"/>
      <c r="O363"/>
      <c r="P363"/>
    </row>
    <row r="364" spans="1:20">
      <c r="A364">
        <v>303</v>
      </c>
      <c r="B364" t="s">
        <v>409</v>
      </c>
      <c r="C364" t="s">
        <v>1559</v>
      </c>
      <c r="D364" t="s">
        <v>2030</v>
      </c>
      <c r="E364" t="s">
        <v>988</v>
      </c>
      <c r="F364" t="s">
        <v>948</v>
      </c>
      <c r="G364">
        <v>9</v>
      </c>
      <c r="H364" t="s">
        <v>243</v>
      </c>
      <c r="I364" t="s">
        <v>249</v>
      </c>
      <c r="J364"/>
      <c r="K364"/>
      <c r="L364" t="s">
        <v>2031</v>
      </c>
      <c r="M364"/>
      <c r="N364"/>
      <c r="O364"/>
      <c r="P364"/>
    </row>
    <row r="365" spans="1:20">
      <c r="A365">
        <v>304</v>
      </c>
      <c r="B365" t="s">
        <v>409</v>
      </c>
      <c r="C365" t="s">
        <v>1560</v>
      </c>
      <c r="D365" t="s">
        <v>2032</v>
      </c>
      <c r="E365" t="s">
        <v>988</v>
      </c>
      <c r="F365" t="s">
        <v>948</v>
      </c>
      <c r="G365">
        <v>9</v>
      </c>
      <c r="H365" t="s">
        <v>243</v>
      </c>
      <c r="I365" t="s">
        <v>249</v>
      </c>
      <c r="J365"/>
      <c r="K365"/>
      <c r="L365" t="s">
        <v>2033</v>
      </c>
      <c r="M365"/>
      <c r="N365"/>
      <c r="O365"/>
      <c r="P365"/>
    </row>
    <row r="366" spans="1:20">
      <c r="A366">
        <v>236</v>
      </c>
      <c r="B366" t="s">
        <v>409</v>
      </c>
      <c r="C366" t="s">
        <v>529</v>
      </c>
      <c r="D366" t="s">
        <v>2</v>
      </c>
      <c r="E366" t="s">
        <v>949</v>
      </c>
      <c r="F366" t="s">
        <v>948</v>
      </c>
      <c r="G366">
        <v>20</v>
      </c>
      <c r="H366" t="s">
        <v>243</v>
      </c>
      <c r="I366" t="s">
        <v>243</v>
      </c>
      <c r="J366"/>
      <c r="K366"/>
      <c r="L366" t="s">
        <v>1957</v>
      </c>
      <c r="M366"/>
      <c r="N366"/>
      <c r="O366"/>
      <c r="P366" t="s">
        <v>249</v>
      </c>
      <c r="Q366" t="s">
        <v>2698</v>
      </c>
      <c r="R366" t="s">
        <v>2662</v>
      </c>
      <c r="S366" t="s">
        <v>2</v>
      </c>
      <c r="T366" t="s">
        <v>2895</v>
      </c>
    </row>
    <row r="367" spans="1:20">
      <c r="A367">
        <v>239</v>
      </c>
      <c r="B367" t="s">
        <v>409</v>
      </c>
      <c r="C367" t="s">
        <v>530</v>
      </c>
      <c r="D367" t="s">
        <v>454</v>
      </c>
      <c r="E367" t="s">
        <v>949</v>
      </c>
      <c r="F367" t="s">
        <v>948</v>
      </c>
      <c r="G367">
        <v>15</v>
      </c>
      <c r="H367" t="s">
        <v>243</v>
      </c>
      <c r="I367" t="s">
        <v>243</v>
      </c>
      <c r="J367"/>
      <c r="K367"/>
      <c r="L367" t="s">
        <v>1960</v>
      </c>
      <c r="M367"/>
      <c r="N367"/>
      <c r="O367"/>
      <c r="P367" t="s">
        <v>249</v>
      </c>
      <c r="Q367" t="s">
        <v>2698</v>
      </c>
      <c r="R367" t="s">
        <v>2662</v>
      </c>
      <c r="S367" t="s">
        <v>454</v>
      </c>
      <c r="T367" t="s">
        <v>2896</v>
      </c>
    </row>
    <row r="368" spans="1:20">
      <c r="A368">
        <v>280</v>
      </c>
      <c r="B368" t="s">
        <v>409</v>
      </c>
      <c r="C368" t="s">
        <v>962</v>
      </c>
      <c r="D368" t="s">
        <v>962</v>
      </c>
      <c r="E368" t="s">
        <v>949</v>
      </c>
      <c r="F368" t="s">
        <v>948</v>
      </c>
      <c r="G368">
        <v>10</v>
      </c>
      <c r="H368" t="s">
        <v>249</v>
      </c>
      <c r="I368" t="s">
        <v>249</v>
      </c>
      <c r="J368"/>
      <c r="K368"/>
      <c r="L368" t="s">
        <v>2000</v>
      </c>
      <c r="M368"/>
      <c r="N368"/>
      <c r="O368"/>
      <c r="P368"/>
    </row>
    <row r="369" spans="1:20">
      <c r="A369">
        <v>288</v>
      </c>
      <c r="B369" t="s">
        <v>409</v>
      </c>
      <c r="C369" t="s">
        <v>954</v>
      </c>
      <c r="D369" t="s">
        <v>954</v>
      </c>
      <c r="E369" t="s">
        <v>949</v>
      </c>
      <c r="F369" t="s">
        <v>948</v>
      </c>
      <c r="G369">
        <v>10</v>
      </c>
      <c r="H369" t="s">
        <v>249</v>
      </c>
      <c r="I369" t="s">
        <v>249</v>
      </c>
      <c r="J369"/>
      <c r="K369"/>
      <c r="L369" t="s">
        <v>2008</v>
      </c>
      <c r="M369"/>
      <c r="N369"/>
      <c r="O369"/>
      <c r="P369"/>
    </row>
    <row r="370" spans="1:20">
      <c r="A370">
        <v>249</v>
      </c>
      <c r="B370" t="s">
        <v>409</v>
      </c>
      <c r="C370" t="s">
        <v>540</v>
      </c>
      <c r="D370" t="s">
        <v>864</v>
      </c>
      <c r="E370" t="s">
        <v>949</v>
      </c>
      <c r="F370" t="s">
        <v>948</v>
      </c>
      <c r="G370">
        <v>10</v>
      </c>
      <c r="H370" t="s">
        <v>249</v>
      </c>
      <c r="I370" t="s">
        <v>249</v>
      </c>
      <c r="J370" t="s">
        <v>595</v>
      </c>
      <c r="K370" t="s">
        <v>2597</v>
      </c>
      <c r="L370" t="s">
        <v>1969</v>
      </c>
      <c r="M370" t="s">
        <v>351</v>
      </c>
      <c r="N370"/>
      <c r="O370"/>
      <c r="P370" t="s">
        <v>249</v>
      </c>
      <c r="Q370" t="s">
        <v>2698</v>
      </c>
      <c r="R370" t="s">
        <v>2692</v>
      </c>
      <c r="S370" t="s">
        <v>864</v>
      </c>
      <c r="T370" t="s">
        <v>2798</v>
      </c>
    </row>
    <row r="371" spans="1:20">
      <c r="A371">
        <v>256</v>
      </c>
      <c r="B371" t="s">
        <v>409</v>
      </c>
      <c r="C371" t="s">
        <v>550</v>
      </c>
      <c r="D371" t="s">
        <v>1975</v>
      </c>
      <c r="E371" t="s">
        <v>949</v>
      </c>
      <c r="F371" t="s">
        <v>948</v>
      </c>
      <c r="G371">
        <v>10</v>
      </c>
      <c r="H371" t="s">
        <v>249</v>
      </c>
      <c r="I371" t="s">
        <v>249</v>
      </c>
      <c r="J371"/>
      <c r="K371"/>
      <c r="L371" t="s">
        <v>1976</v>
      </c>
      <c r="M371"/>
      <c r="N371"/>
      <c r="O371"/>
      <c r="P371"/>
    </row>
    <row r="372" spans="1:20">
      <c r="A372">
        <v>234</v>
      </c>
      <c r="B372" t="s">
        <v>409</v>
      </c>
      <c r="C372" t="s">
        <v>535</v>
      </c>
      <c r="D372" t="s">
        <v>443</v>
      </c>
      <c r="E372" t="s">
        <v>949</v>
      </c>
      <c r="F372" t="s">
        <v>985</v>
      </c>
      <c r="G372">
        <v>8</v>
      </c>
      <c r="H372" t="s">
        <v>243</v>
      </c>
      <c r="I372" t="s">
        <v>243</v>
      </c>
      <c r="J372"/>
      <c r="K372"/>
      <c r="L372" t="s">
        <v>1955</v>
      </c>
      <c r="M372"/>
      <c r="N372"/>
      <c r="O372"/>
      <c r="P372" t="s">
        <v>249</v>
      </c>
      <c r="Q372" t="s">
        <v>2698</v>
      </c>
      <c r="R372" t="s">
        <v>441</v>
      </c>
      <c r="S372" t="s">
        <v>443</v>
      </c>
      <c r="T372" t="s">
        <v>2897</v>
      </c>
    </row>
    <row r="373" spans="1:20">
      <c r="A373">
        <v>241</v>
      </c>
      <c r="B373" t="s">
        <v>409</v>
      </c>
      <c r="C373" t="s">
        <v>543</v>
      </c>
      <c r="D373" t="s">
        <v>1179</v>
      </c>
      <c r="E373" t="s">
        <v>988</v>
      </c>
      <c r="F373" t="s">
        <v>985</v>
      </c>
      <c r="G373">
        <v>10</v>
      </c>
      <c r="H373" t="s">
        <v>243</v>
      </c>
      <c r="I373" t="s">
        <v>243</v>
      </c>
      <c r="J373" t="s">
        <v>598</v>
      </c>
      <c r="K373" t="s">
        <v>2597</v>
      </c>
      <c r="L373" t="s">
        <v>1962</v>
      </c>
      <c r="M373" t="s">
        <v>351</v>
      </c>
      <c r="N373"/>
      <c r="O373"/>
      <c r="P373" t="s">
        <v>249</v>
      </c>
      <c r="Q373" t="s">
        <v>2698</v>
      </c>
      <c r="R373" t="s">
        <v>2692</v>
      </c>
      <c r="S373" t="s">
        <v>1179</v>
      </c>
    </row>
    <row r="374" spans="1:20">
      <c r="A374">
        <v>266</v>
      </c>
      <c r="B374" t="s">
        <v>409</v>
      </c>
      <c r="C374" t="s">
        <v>976</v>
      </c>
      <c r="D374" t="s">
        <v>976</v>
      </c>
      <c r="E374" t="s">
        <v>949</v>
      </c>
      <c r="F374" t="s">
        <v>948</v>
      </c>
      <c r="G374">
        <v>10</v>
      </c>
      <c r="H374" t="s">
        <v>249</v>
      </c>
      <c r="I374" t="s">
        <v>249</v>
      </c>
      <c r="J374"/>
      <c r="K374"/>
      <c r="L374" t="s">
        <v>1986</v>
      </c>
      <c r="M374"/>
      <c r="N374"/>
      <c r="O374"/>
      <c r="P374"/>
    </row>
    <row r="375" spans="1:20">
      <c r="A375">
        <v>267</v>
      </c>
      <c r="B375" t="s">
        <v>409</v>
      </c>
      <c r="C375" t="s">
        <v>975</v>
      </c>
      <c r="D375" t="s">
        <v>975</v>
      </c>
      <c r="E375" t="s">
        <v>949</v>
      </c>
      <c r="F375" t="s">
        <v>948</v>
      </c>
      <c r="G375">
        <v>10</v>
      </c>
      <c r="H375" t="s">
        <v>249</v>
      </c>
      <c r="I375" t="s">
        <v>249</v>
      </c>
      <c r="J375"/>
      <c r="K375"/>
      <c r="L375" t="s">
        <v>1987</v>
      </c>
      <c r="M375"/>
      <c r="N375"/>
      <c r="O375"/>
      <c r="P375"/>
    </row>
    <row r="376" spans="1:20">
      <c r="A376">
        <v>276</v>
      </c>
      <c r="B376" t="s">
        <v>409</v>
      </c>
      <c r="C376" t="s">
        <v>966</v>
      </c>
      <c r="D376" t="s">
        <v>966</v>
      </c>
      <c r="E376" t="s">
        <v>949</v>
      </c>
      <c r="F376" t="s">
        <v>948</v>
      </c>
      <c r="G376">
        <v>10</v>
      </c>
      <c r="H376" t="s">
        <v>249</v>
      </c>
      <c r="I376" t="s">
        <v>249</v>
      </c>
      <c r="J376"/>
      <c r="K376"/>
      <c r="L376" t="s">
        <v>1996</v>
      </c>
      <c r="M376"/>
      <c r="N376"/>
      <c r="O376"/>
      <c r="P376"/>
    </row>
    <row r="377" spans="1:20">
      <c r="A377">
        <v>257</v>
      </c>
      <c r="B377" t="s">
        <v>409</v>
      </c>
      <c r="C377" t="s">
        <v>551</v>
      </c>
      <c r="D377" t="s">
        <v>1170</v>
      </c>
      <c r="E377" t="s">
        <v>949</v>
      </c>
      <c r="F377" t="s">
        <v>948</v>
      </c>
      <c r="G377">
        <v>10</v>
      </c>
      <c r="H377" t="s">
        <v>249</v>
      </c>
      <c r="I377" t="s">
        <v>249</v>
      </c>
      <c r="J377"/>
      <c r="K377"/>
      <c r="L377" t="s">
        <v>1977</v>
      </c>
      <c r="M377"/>
      <c r="N377"/>
      <c r="O377"/>
      <c r="P377"/>
    </row>
    <row r="378" spans="1:20">
      <c r="A378">
        <v>277</v>
      </c>
      <c r="B378" t="s">
        <v>409</v>
      </c>
      <c r="C378" t="s">
        <v>965</v>
      </c>
      <c r="D378" t="s">
        <v>965</v>
      </c>
      <c r="E378" t="s">
        <v>949</v>
      </c>
      <c r="F378" t="s">
        <v>948</v>
      </c>
      <c r="G378">
        <v>10</v>
      </c>
      <c r="H378" t="s">
        <v>249</v>
      </c>
      <c r="I378" t="s">
        <v>249</v>
      </c>
      <c r="J378"/>
      <c r="K378"/>
      <c r="L378" t="s">
        <v>1997</v>
      </c>
      <c r="M378"/>
      <c r="N378"/>
      <c r="O378"/>
      <c r="P378"/>
    </row>
    <row r="379" spans="1:20">
      <c r="A379">
        <v>279</v>
      </c>
      <c r="B379" t="s">
        <v>409</v>
      </c>
      <c r="C379" t="s">
        <v>963</v>
      </c>
      <c r="D379" t="s">
        <v>963</v>
      </c>
      <c r="E379" t="s">
        <v>949</v>
      </c>
      <c r="F379" t="s">
        <v>948</v>
      </c>
      <c r="G379">
        <v>10</v>
      </c>
      <c r="H379" t="s">
        <v>249</v>
      </c>
      <c r="I379" t="s">
        <v>249</v>
      </c>
      <c r="J379"/>
      <c r="K379"/>
      <c r="L379" t="s">
        <v>1999</v>
      </c>
      <c r="M379"/>
      <c r="N379"/>
      <c r="O379"/>
      <c r="P379"/>
    </row>
    <row r="380" spans="1:20">
      <c r="A380">
        <v>237</v>
      </c>
      <c r="B380" t="s">
        <v>409</v>
      </c>
      <c r="C380" t="s">
        <v>532</v>
      </c>
      <c r="D380" t="s">
        <v>612</v>
      </c>
      <c r="E380" t="s">
        <v>949</v>
      </c>
      <c r="F380" t="s">
        <v>948</v>
      </c>
      <c r="G380">
        <v>20</v>
      </c>
      <c r="H380" t="s">
        <v>243</v>
      </c>
      <c r="I380" t="s">
        <v>243</v>
      </c>
      <c r="J380" t="s">
        <v>612</v>
      </c>
      <c r="K380" t="s">
        <v>2597</v>
      </c>
      <c r="L380" t="s">
        <v>1958</v>
      </c>
      <c r="M380" t="s">
        <v>351</v>
      </c>
      <c r="N380"/>
      <c r="O380"/>
      <c r="P380" t="s">
        <v>249</v>
      </c>
      <c r="Q380" t="s">
        <v>2698</v>
      </c>
      <c r="R380" t="s">
        <v>2692</v>
      </c>
      <c r="S380" t="s">
        <v>612</v>
      </c>
      <c r="T380" t="s">
        <v>2800</v>
      </c>
    </row>
    <row r="381" spans="1:20">
      <c r="A381">
        <v>238</v>
      </c>
      <c r="B381" t="s">
        <v>409</v>
      </c>
      <c r="C381" t="s">
        <v>531</v>
      </c>
      <c r="D381" t="s">
        <v>615</v>
      </c>
      <c r="E381" t="s">
        <v>949</v>
      </c>
      <c r="F381" t="s">
        <v>948</v>
      </c>
      <c r="G381">
        <v>20</v>
      </c>
      <c r="H381" t="s">
        <v>249</v>
      </c>
      <c r="I381" t="s">
        <v>249</v>
      </c>
      <c r="J381" t="s">
        <v>615</v>
      </c>
      <c r="K381" t="s">
        <v>2597</v>
      </c>
      <c r="L381" t="s">
        <v>1959</v>
      </c>
      <c r="M381" t="s">
        <v>351</v>
      </c>
      <c r="N381"/>
      <c r="O381"/>
      <c r="P381" t="s">
        <v>249</v>
      </c>
      <c r="Q381" t="s">
        <v>2698</v>
      </c>
      <c r="R381" t="s">
        <v>2692</v>
      </c>
      <c r="S381" t="s">
        <v>615</v>
      </c>
      <c r="T381" t="s">
        <v>2801</v>
      </c>
    </row>
    <row r="382" spans="1:20">
      <c r="A382">
        <v>233</v>
      </c>
      <c r="B382" t="s">
        <v>409</v>
      </c>
      <c r="C382" t="s">
        <v>986</v>
      </c>
      <c r="D382" t="s">
        <v>1183</v>
      </c>
      <c r="E382" t="s">
        <v>988</v>
      </c>
      <c r="F382" t="s">
        <v>985</v>
      </c>
      <c r="G382">
        <v>9</v>
      </c>
      <c r="H382" t="s">
        <v>243</v>
      </c>
      <c r="I382" t="s">
        <v>243</v>
      </c>
      <c r="J382"/>
      <c r="K382"/>
      <c r="L382" t="s">
        <v>1954</v>
      </c>
      <c r="M382"/>
      <c r="N382"/>
      <c r="O382"/>
      <c r="P382" t="s">
        <v>249</v>
      </c>
      <c r="Q382" t="s">
        <v>2698</v>
      </c>
      <c r="R382" t="s">
        <v>441</v>
      </c>
      <c r="S382" t="s">
        <v>1183</v>
      </c>
    </row>
    <row r="383" spans="1:20">
      <c r="A383">
        <v>292</v>
      </c>
      <c r="B383" t="s">
        <v>409</v>
      </c>
      <c r="C383" t="s">
        <v>950</v>
      </c>
      <c r="D383" t="s">
        <v>950</v>
      </c>
      <c r="E383" t="s">
        <v>949</v>
      </c>
      <c r="F383" t="s">
        <v>948</v>
      </c>
      <c r="G383">
        <v>10</v>
      </c>
      <c r="H383" t="s">
        <v>249</v>
      </c>
      <c r="I383" t="s">
        <v>249</v>
      </c>
      <c r="J383"/>
      <c r="K383"/>
      <c r="L383" t="s">
        <v>2012</v>
      </c>
      <c r="M383"/>
      <c r="N383"/>
      <c r="O383"/>
      <c r="P383"/>
    </row>
    <row r="384" spans="1:20">
      <c r="A384">
        <v>232</v>
      </c>
      <c r="B384" t="s">
        <v>409</v>
      </c>
      <c r="C384" t="s">
        <v>517</v>
      </c>
      <c r="D384" t="s">
        <v>364</v>
      </c>
      <c r="E384" t="s">
        <v>949</v>
      </c>
      <c r="F384" t="s">
        <v>985</v>
      </c>
      <c r="G384">
        <v>5</v>
      </c>
      <c r="H384" t="s">
        <v>243</v>
      </c>
      <c r="I384" t="s">
        <v>243</v>
      </c>
      <c r="J384" t="s">
        <v>364</v>
      </c>
      <c r="K384" t="s">
        <v>2597</v>
      </c>
      <c r="L384" t="s">
        <v>1953</v>
      </c>
      <c r="M384" t="s">
        <v>351</v>
      </c>
      <c r="N384"/>
      <c r="O384"/>
      <c r="P384" t="s">
        <v>249</v>
      </c>
      <c r="Q384" t="s">
        <v>2698</v>
      </c>
      <c r="R384" t="s">
        <v>2692</v>
      </c>
      <c r="S384" t="s">
        <v>364</v>
      </c>
      <c r="T384" t="s">
        <v>2802</v>
      </c>
    </row>
    <row r="385" spans="1:20">
      <c r="A385">
        <v>251</v>
      </c>
      <c r="B385" t="s">
        <v>409</v>
      </c>
      <c r="C385" t="s">
        <v>542</v>
      </c>
      <c r="D385" t="s">
        <v>1171</v>
      </c>
      <c r="E385" t="s">
        <v>949</v>
      </c>
      <c r="F385" t="s">
        <v>948</v>
      </c>
      <c r="G385">
        <v>10</v>
      </c>
      <c r="H385" t="s">
        <v>249</v>
      </c>
      <c r="I385" t="s">
        <v>249</v>
      </c>
      <c r="J385" t="s">
        <v>653</v>
      </c>
      <c r="K385" t="s">
        <v>2597</v>
      </c>
      <c r="L385" t="s">
        <v>1964</v>
      </c>
      <c r="M385" t="s">
        <v>351</v>
      </c>
      <c r="N385"/>
      <c r="O385"/>
      <c r="P385" t="s">
        <v>249</v>
      </c>
      <c r="Q385" t="s">
        <v>2698</v>
      </c>
      <c r="R385" t="s">
        <v>2692</v>
      </c>
      <c r="S385" t="s">
        <v>873</v>
      </c>
      <c r="T385" t="s">
        <v>2803</v>
      </c>
    </row>
    <row r="386" spans="1:20">
      <c r="A386">
        <v>250</v>
      </c>
      <c r="B386" t="s">
        <v>409</v>
      </c>
      <c r="C386" t="s">
        <v>541</v>
      </c>
      <c r="D386" t="s">
        <v>1172</v>
      </c>
      <c r="E386" t="s">
        <v>949</v>
      </c>
      <c r="F386" t="s">
        <v>948</v>
      </c>
      <c r="G386">
        <v>10</v>
      </c>
      <c r="H386" t="s">
        <v>243</v>
      </c>
      <c r="I386" t="s">
        <v>243</v>
      </c>
      <c r="J386" t="s">
        <v>663</v>
      </c>
      <c r="K386" t="s">
        <v>2597</v>
      </c>
      <c r="L386" t="s">
        <v>1970</v>
      </c>
      <c r="M386" t="s">
        <v>351</v>
      </c>
      <c r="N386"/>
      <c r="O386"/>
      <c r="P386" t="s">
        <v>249</v>
      </c>
      <c r="Q386" t="s">
        <v>2698</v>
      </c>
      <c r="R386" t="s">
        <v>2692</v>
      </c>
      <c r="S386" t="s">
        <v>663</v>
      </c>
      <c r="T386" t="s">
        <v>2804</v>
      </c>
    </row>
    <row r="387" spans="1:20">
      <c r="A387">
        <v>281</v>
      </c>
      <c r="B387" t="s">
        <v>409</v>
      </c>
      <c r="C387" t="s">
        <v>961</v>
      </c>
      <c r="D387" t="s">
        <v>961</v>
      </c>
      <c r="E387" t="s">
        <v>949</v>
      </c>
      <c r="F387" t="s">
        <v>948</v>
      </c>
      <c r="G387">
        <v>10</v>
      </c>
      <c r="H387" t="s">
        <v>249</v>
      </c>
      <c r="I387" t="s">
        <v>249</v>
      </c>
      <c r="J387"/>
      <c r="K387"/>
      <c r="L387" t="s">
        <v>2001</v>
      </c>
      <c r="M387"/>
      <c r="N387"/>
      <c r="O387"/>
      <c r="P387"/>
    </row>
    <row r="388" spans="1:20">
      <c r="A388">
        <v>273</v>
      </c>
      <c r="B388" t="s">
        <v>409</v>
      </c>
      <c r="C388" t="s">
        <v>969</v>
      </c>
      <c r="D388" t="s">
        <v>969</v>
      </c>
      <c r="E388" t="s">
        <v>949</v>
      </c>
      <c r="F388" t="s">
        <v>948</v>
      </c>
      <c r="G388">
        <v>10</v>
      </c>
      <c r="H388" t="s">
        <v>249</v>
      </c>
      <c r="I388" t="s">
        <v>249</v>
      </c>
      <c r="J388"/>
      <c r="K388"/>
      <c r="L388" t="s">
        <v>1993</v>
      </c>
      <c r="M388"/>
      <c r="N388"/>
      <c r="O388"/>
      <c r="P388"/>
    </row>
    <row r="389" spans="1:20">
      <c r="A389">
        <v>254</v>
      </c>
      <c r="B389" t="s">
        <v>409</v>
      </c>
      <c r="C389" t="s">
        <v>546</v>
      </c>
      <c r="D389" t="s">
        <v>800</v>
      </c>
      <c r="E389" t="s">
        <v>949</v>
      </c>
      <c r="F389" t="s">
        <v>948</v>
      </c>
      <c r="G389">
        <v>10</v>
      </c>
      <c r="H389" t="s">
        <v>249</v>
      </c>
      <c r="I389" t="s">
        <v>249</v>
      </c>
      <c r="J389"/>
      <c r="K389"/>
      <c r="L389" t="s">
        <v>1973</v>
      </c>
      <c r="M389"/>
      <c r="N389"/>
      <c r="O389"/>
      <c r="P389" t="s">
        <v>249</v>
      </c>
      <c r="Q389" t="s">
        <v>2698</v>
      </c>
      <c r="R389" t="s">
        <v>2671</v>
      </c>
      <c r="S389" t="s">
        <v>800</v>
      </c>
      <c r="T389" t="s">
        <v>2898</v>
      </c>
    </row>
    <row r="390" spans="1:20">
      <c r="A390">
        <v>285</v>
      </c>
      <c r="B390" t="s">
        <v>409</v>
      </c>
      <c r="C390" t="s">
        <v>957</v>
      </c>
      <c r="D390" t="s">
        <v>957</v>
      </c>
      <c r="E390" t="s">
        <v>949</v>
      </c>
      <c r="F390" t="s">
        <v>948</v>
      </c>
      <c r="G390">
        <v>10</v>
      </c>
      <c r="H390" t="s">
        <v>249</v>
      </c>
      <c r="I390" t="s">
        <v>249</v>
      </c>
      <c r="J390"/>
      <c r="K390"/>
      <c r="L390" t="s">
        <v>2005</v>
      </c>
      <c r="M390"/>
      <c r="N390"/>
      <c r="O390"/>
      <c r="P390"/>
    </row>
    <row r="391" spans="1:20">
      <c r="A391">
        <v>294</v>
      </c>
      <c r="B391" t="s">
        <v>409</v>
      </c>
      <c r="C391" t="s">
        <v>1548</v>
      </c>
      <c r="D391" t="s">
        <v>1550</v>
      </c>
      <c r="E391" t="s">
        <v>989</v>
      </c>
      <c r="F391" t="s">
        <v>948</v>
      </c>
      <c r="G391">
        <v>12</v>
      </c>
      <c r="H391" t="s">
        <v>243</v>
      </c>
      <c r="I391" t="s">
        <v>249</v>
      </c>
      <c r="J391"/>
      <c r="K391"/>
      <c r="L391" t="s">
        <v>2014</v>
      </c>
      <c r="M391"/>
      <c r="N391"/>
      <c r="O391"/>
      <c r="P391"/>
    </row>
    <row r="392" spans="1:20">
      <c r="A392">
        <v>290</v>
      </c>
      <c r="B392" t="s">
        <v>409</v>
      </c>
      <c r="C392" t="s">
        <v>952</v>
      </c>
      <c r="D392" t="s">
        <v>952</v>
      </c>
      <c r="E392" t="s">
        <v>989</v>
      </c>
      <c r="F392" t="s">
        <v>948</v>
      </c>
      <c r="G392">
        <v>12</v>
      </c>
      <c r="H392" t="s">
        <v>243</v>
      </c>
      <c r="I392" t="s">
        <v>249</v>
      </c>
      <c r="J392"/>
      <c r="K392"/>
      <c r="L392" t="s">
        <v>2010</v>
      </c>
      <c r="M392"/>
      <c r="N392"/>
      <c r="O392"/>
      <c r="P392"/>
    </row>
    <row r="393" spans="1:20">
      <c r="A393">
        <v>284</v>
      </c>
      <c r="B393" t="s">
        <v>409</v>
      </c>
      <c r="C393" t="s">
        <v>958</v>
      </c>
      <c r="D393" t="s">
        <v>958</v>
      </c>
      <c r="E393" t="s">
        <v>949</v>
      </c>
      <c r="F393" t="s">
        <v>948</v>
      </c>
      <c r="G393">
        <v>10</v>
      </c>
      <c r="H393" t="s">
        <v>249</v>
      </c>
      <c r="I393" t="s">
        <v>249</v>
      </c>
      <c r="J393"/>
      <c r="K393"/>
      <c r="L393" t="s">
        <v>2004</v>
      </c>
      <c r="M393"/>
      <c r="N393"/>
      <c r="O393"/>
      <c r="P393"/>
    </row>
    <row r="394" spans="1:20">
      <c r="A394">
        <v>264</v>
      </c>
      <c r="B394" t="s">
        <v>409</v>
      </c>
      <c r="C394" t="s">
        <v>978</v>
      </c>
      <c r="D394" t="s">
        <v>978</v>
      </c>
      <c r="E394" t="s">
        <v>949</v>
      </c>
      <c r="F394" t="s">
        <v>948</v>
      </c>
      <c r="G394">
        <v>10</v>
      </c>
      <c r="H394" t="s">
        <v>249</v>
      </c>
      <c r="I394" t="s">
        <v>249</v>
      </c>
      <c r="J394"/>
      <c r="K394"/>
      <c r="L394" t="s">
        <v>1984</v>
      </c>
      <c r="M394"/>
      <c r="N394"/>
      <c r="O394"/>
      <c r="P394"/>
    </row>
    <row r="395" spans="1:20">
      <c r="A395">
        <v>283</v>
      </c>
      <c r="B395" t="s">
        <v>409</v>
      </c>
      <c r="C395" t="s">
        <v>959</v>
      </c>
      <c r="D395" t="s">
        <v>959</v>
      </c>
      <c r="E395" t="s">
        <v>949</v>
      </c>
      <c r="F395" t="s">
        <v>948</v>
      </c>
      <c r="G395">
        <v>10</v>
      </c>
      <c r="H395" t="s">
        <v>249</v>
      </c>
      <c r="I395" t="s">
        <v>249</v>
      </c>
      <c r="J395"/>
      <c r="K395"/>
      <c r="L395" t="s">
        <v>2003</v>
      </c>
      <c r="M395"/>
      <c r="N395"/>
      <c r="O395"/>
      <c r="P395"/>
    </row>
    <row r="396" spans="1:20">
      <c r="A396">
        <v>286</v>
      </c>
      <c r="B396" t="s">
        <v>409</v>
      </c>
      <c r="C396" t="s">
        <v>956</v>
      </c>
      <c r="D396" t="s">
        <v>956</v>
      </c>
      <c r="E396" t="s">
        <v>949</v>
      </c>
      <c r="F396" t="s">
        <v>948</v>
      </c>
      <c r="G396">
        <v>10</v>
      </c>
      <c r="H396" t="s">
        <v>249</v>
      </c>
      <c r="I396" t="s">
        <v>249</v>
      </c>
      <c r="J396"/>
      <c r="K396"/>
      <c r="L396" t="s">
        <v>2006</v>
      </c>
      <c r="M396"/>
      <c r="N396"/>
      <c r="O396"/>
      <c r="P396"/>
    </row>
    <row r="397" spans="1:20">
      <c r="A397">
        <v>287</v>
      </c>
      <c r="B397" t="s">
        <v>409</v>
      </c>
      <c r="C397" t="s">
        <v>955</v>
      </c>
      <c r="D397" t="s">
        <v>955</v>
      </c>
      <c r="E397" t="s">
        <v>949</v>
      </c>
      <c r="F397" t="s">
        <v>948</v>
      </c>
      <c r="G397">
        <v>10</v>
      </c>
      <c r="H397" t="s">
        <v>249</v>
      </c>
      <c r="I397" t="s">
        <v>249</v>
      </c>
      <c r="J397"/>
      <c r="K397"/>
      <c r="L397" t="s">
        <v>2007</v>
      </c>
      <c r="M397"/>
      <c r="N397"/>
      <c r="O397"/>
      <c r="P397"/>
    </row>
    <row r="398" spans="1:20">
      <c r="A398">
        <v>262</v>
      </c>
      <c r="B398" t="s">
        <v>409</v>
      </c>
      <c r="C398" t="s">
        <v>980</v>
      </c>
      <c r="D398" t="s">
        <v>980</v>
      </c>
      <c r="E398" t="s">
        <v>949</v>
      </c>
      <c r="F398" t="s">
        <v>948</v>
      </c>
      <c r="G398">
        <v>10</v>
      </c>
      <c r="H398" t="s">
        <v>249</v>
      </c>
      <c r="I398" t="s">
        <v>249</v>
      </c>
      <c r="J398"/>
      <c r="K398"/>
      <c r="L398" t="s">
        <v>1982</v>
      </c>
      <c r="M398"/>
      <c r="N398"/>
      <c r="O398"/>
      <c r="P398"/>
    </row>
    <row r="399" spans="1:20">
      <c r="A399">
        <v>248</v>
      </c>
      <c r="B399" t="s">
        <v>409</v>
      </c>
      <c r="C399" t="s">
        <v>539</v>
      </c>
      <c r="D399" t="s">
        <v>1173</v>
      </c>
      <c r="E399" t="s">
        <v>949</v>
      </c>
      <c r="F399" t="s">
        <v>948</v>
      </c>
      <c r="G399">
        <v>15</v>
      </c>
      <c r="H399" t="s">
        <v>249</v>
      </c>
      <c r="I399" t="s">
        <v>249</v>
      </c>
      <c r="J399" t="s">
        <v>696</v>
      </c>
      <c r="K399" t="s">
        <v>2597</v>
      </c>
      <c r="L399" t="s">
        <v>1968</v>
      </c>
      <c r="M399" t="s">
        <v>351</v>
      </c>
      <c r="N399"/>
      <c r="O399"/>
      <c r="P399" t="s">
        <v>249</v>
      </c>
      <c r="Q399" t="s">
        <v>2698</v>
      </c>
      <c r="R399" t="s">
        <v>2692</v>
      </c>
      <c r="S399" t="s">
        <v>696</v>
      </c>
      <c r="T399" t="s">
        <v>2805</v>
      </c>
    </row>
    <row r="400" spans="1:20">
      <c r="A400">
        <v>245</v>
      </c>
      <c r="B400" t="s">
        <v>409</v>
      </c>
      <c r="C400" t="s">
        <v>536</v>
      </c>
      <c r="D400" t="s">
        <v>1175</v>
      </c>
      <c r="E400" t="s">
        <v>949</v>
      </c>
      <c r="F400" t="s">
        <v>948</v>
      </c>
      <c r="G400">
        <v>15</v>
      </c>
      <c r="H400" t="s">
        <v>249</v>
      </c>
      <c r="I400" t="s">
        <v>249</v>
      </c>
      <c r="J400"/>
      <c r="K400"/>
      <c r="L400" t="s">
        <v>1966</v>
      </c>
      <c r="M400"/>
      <c r="N400"/>
      <c r="O400"/>
      <c r="P400" t="s">
        <v>249</v>
      </c>
      <c r="Q400" t="s">
        <v>2698</v>
      </c>
      <c r="R400" t="s">
        <v>2662</v>
      </c>
      <c r="S400" t="s">
        <v>1175</v>
      </c>
      <c r="T400" t="s">
        <v>2899</v>
      </c>
    </row>
    <row r="401" spans="1:21">
      <c r="A401">
        <v>247</v>
      </c>
      <c r="B401" t="s">
        <v>409</v>
      </c>
      <c r="C401" t="s">
        <v>538</v>
      </c>
      <c r="D401" t="s">
        <v>702</v>
      </c>
      <c r="E401" t="s">
        <v>949</v>
      </c>
      <c r="F401" t="s">
        <v>948</v>
      </c>
      <c r="G401">
        <v>15</v>
      </c>
      <c r="H401" t="s">
        <v>249</v>
      </c>
      <c r="I401" t="s">
        <v>249</v>
      </c>
      <c r="J401" t="s">
        <v>702</v>
      </c>
      <c r="K401" t="s">
        <v>2597</v>
      </c>
      <c r="L401" t="s">
        <v>1964</v>
      </c>
      <c r="M401" t="s">
        <v>363</v>
      </c>
      <c r="N401"/>
      <c r="O401"/>
      <c r="P401" t="s">
        <v>249</v>
      </c>
      <c r="Q401" t="s">
        <v>2698</v>
      </c>
      <c r="R401" t="s">
        <v>2692</v>
      </c>
      <c r="S401" t="s">
        <v>702</v>
      </c>
      <c r="T401" t="s">
        <v>2806</v>
      </c>
    </row>
    <row r="402" spans="1:21">
      <c r="A402">
        <v>291</v>
      </c>
      <c r="B402" t="s">
        <v>409</v>
      </c>
      <c r="C402" t="s">
        <v>951</v>
      </c>
      <c r="D402" t="s">
        <v>951</v>
      </c>
      <c r="E402" t="s">
        <v>989</v>
      </c>
      <c r="F402" t="s">
        <v>948</v>
      </c>
      <c r="G402">
        <v>12</v>
      </c>
      <c r="H402" t="s">
        <v>243</v>
      </c>
      <c r="I402" t="s">
        <v>249</v>
      </c>
      <c r="J402"/>
      <c r="K402"/>
      <c r="L402" t="s">
        <v>2011</v>
      </c>
      <c r="M402"/>
      <c r="N402"/>
      <c r="O402"/>
      <c r="P402"/>
    </row>
    <row r="403" spans="1:21">
      <c r="A403">
        <v>289</v>
      </c>
      <c r="B403" t="s">
        <v>409</v>
      </c>
      <c r="C403" t="s">
        <v>953</v>
      </c>
      <c r="D403" t="s">
        <v>953</v>
      </c>
      <c r="E403" t="s">
        <v>989</v>
      </c>
      <c r="F403" t="s">
        <v>948</v>
      </c>
      <c r="G403">
        <v>12</v>
      </c>
      <c r="H403" t="s">
        <v>243</v>
      </c>
      <c r="I403" t="s">
        <v>249</v>
      </c>
      <c r="J403"/>
      <c r="K403"/>
      <c r="L403" t="s">
        <v>2009</v>
      </c>
      <c r="M403"/>
      <c r="N403"/>
      <c r="O403"/>
      <c r="P403"/>
    </row>
    <row r="404" spans="1:21">
      <c r="A404">
        <v>265</v>
      </c>
      <c r="B404" t="s">
        <v>409</v>
      </c>
      <c r="C404" t="s">
        <v>977</v>
      </c>
      <c r="D404" t="s">
        <v>977</v>
      </c>
      <c r="E404" t="s">
        <v>949</v>
      </c>
      <c r="F404" t="s">
        <v>948</v>
      </c>
      <c r="G404">
        <v>10</v>
      </c>
      <c r="H404" t="s">
        <v>249</v>
      </c>
      <c r="I404" t="s">
        <v>249</v>
      </c>
      <c r="J404"/>
      <c r="K404"/>
      <c r="L404" t="s">
        <v>1985</v>
      </c>
      <c r="M404"/>
      <c r="N404"/>
      <c r="O404"/>
      <c r="P404"/>
    </row>
    <row r="405" spans="1:21">
      <c r="A405">
        <v>53</v>
      </c>
      <c r="B405" t="s">
        <v>247</v>
      </c>
      <c r="C405" t="s">
        <v>728</v>
      </c>
      <c r="D405" t="s">
        <v>728</v>
      </c>
      <c r="E405" t="s">
        <v>949</v>
      </c>
      <c r="F405" t="s">
        <v>948</v>
      </c>
      <c r="G405">
        <v>6</v>
      </c>
      <c r="H405" t="s">
        <v>249</v>
      </c>
      <c r="I405" t="s">
        <v>249</v>
      </c>
      <c r="J405"/>
      <c r="K405"/>
      <c r="L405" t="s">
        <v>1791</v>
      </c>
      <c r="M405"/>
      <c r="N405"/>
      <c r="O405"/>
      <c r="P405" t="s">
        <v>249</v>
      </c>
    </row>
    <row r="406" spans="1:21">
      <c r="A406">
        <v>2</v>
      </c>
      <c r="B406" t="s">
        <v>247</v>
      </c>
      <c r="C406" t="s">
        <v>24</v>
      </c>
      <c r="D406" t="s">
        <v>260</v>
      </c>
      <c r="E406" t="s">
        <v>949</v>
      </c>
      <c r="F406" t="s">
        <v>948</v>
      </c>
      <c r="G406">
        <v>8</v>
      </c>
      <c r="H406" t="s">
        <v>249</v>
      </c>
      <c r="I406" t="s">
        <v>249</v>
      </c>
      <c r="J406"/>
      <c r="K406"/>
      <c r="L406" t="s">
        <v>1741</v>
      </c>
      <c r="M406"/>
      <c r="N406"/>
      <c r="O406"/>
      <c r="P406" t="s">
        <v>243</v>
      </c>
      <c r="Q406" t="s">
        <v>2736</v>
      </c>
      <c r="R406" t="s">
        <v>2662</v>
      </c>
      <c r="S406" t="s">
        <v>2663</v>
      </c>
      <c r="T406" t="s">
        <v>2941</v>
      </c>
      <c r="U406" t="s">
        <v>2940</v>
      </c>
    </row>
    <row r="407" spans="1:21">
      <c r="A407">
        <v>59</v>
      </c>
      <c r="B407" t="s">
        <v>247</v>
      </c>
      <c r="C407" t="s">
        <v>41</v>
      </c>
      <c r="D407" t="s">
        <v>41</v>
      </c>
      <c r="E407" t="s">
        <v>949</v>
      </c>
      <c r="F407" t="s">
        <v>948</v>
      </c>
      <c r="G407">
        <v>6</v>
      </c>
      <c r="H407" t="s">
        <v>249</v>
      </c>
      <c r="I407" t="s">
        <v>249</v>
      </c>
      <c r="J407"/>
      <c r="K407"/>
      <c r="L407" t="s">
        <v>1796</v>
      </c>
      <c r="M407"/>
      <c r="N407"/>
      <c r="O407"/>
      <c r="P407" t="s">
        <v>249</v>
      </c>
    </row>
    <row r="408" spans="1:21">
      <c r="A408">
        <v>19</v>
      </c>
      <c r="B408" t="s">
        <v>247</v>
      </c>
      <c r="C408" t="s">
        <v>45</v>
      </c>
      <c r="D408" t="s">
        <v>11</v>
      </c>
      <c r="E408" t="s">
        <v>989</v>
      </c>
      <c r="F408" t="s">
        <v>948</v>
      </c>
      <c r="G408">
        <v>12</v>
      </c>
      <c r="H408" t="s">
        <v>243</v>
      </c>
      <c r="I408" t="s">
        <v>243</v>
      </c>
      <c r="J408"/>
      <c r="K408"/>
      <c r="L408" t="s">
        <v>1758</v>
      </c>
      <c r="M408"/>
      <c r="N408"/>
      <c r="O408"/>
      <c r="P408" t="s">
        <v>243</v>
      </c>
      <c r="Q408" t="s">
        <v>2736</v>
      </c>
      <c r="R408" t="s">
        <v>989</v>
      </c>
      <c r="S408" t="s">
        <v>2676</v>
      </c>
      <c r="T408" t="s">
        <v>2997</v>
      </c>
      <c r="U408" t="s">
        <v>3030</v>
      </c>
    </row>
    <row r="409" spans="1:21">
      <c r="A409">
        <v>61</v>
      </c>
      <c r="B409" t="s">
        <v>247</v>
      </c>
      <c r="C409" t="s">
        <v>37</v>
      </c>
      <c r="D409" t="s">
        <v>5</v>
      </c>
      <c r="E409" t="s">
        <v>949</v>
      </c>
      <c r="F409" t="s">
        <v>948</v>
      </c>
      <c r="G409">
        <v>6</v>
      </c>
      <c r="H409" t="s">
        <v>249</v>
      </c>
      <c r="I409" t="s">
        <v>249</v>
      </c>
      <c r="J409"/>
      <c r="K409"/>
      <c r="L409" t="s">
        <v>1797</v>
      </c>
      <c r="M409"/>
      <c r="N409"/>
      <c r="O409"/>
      <c r="P409" t="s">
        <v>249</v>
      </c>
    </row>
    <row r="410" spans="1:21">
      <c r="A410">
        <v>60</v>
      </c>
      <c r="B410" t="s">
        <v>247</v>
      </c>
      <c r="C410" t="s">
        <v>36</v>
      </c>
      <c r="D410" t="s">
        <v>4</v>
      </c>
      <c r="E410" t="s">
        <v>949</v>
      </c>
      <c r="F410" t="s">
        <v>948</v>
      </c>
      <c r="G410">
        <v>6</v>
      </c>
      <c r="H410" t="s">
        <v>249</v>
      </c>
      <c r="I410" t="s">
        <v>249</v>
      </c>
      <c r="J410"/>
      <c r="K410" t="s">
        <v>2597</v>
      </c>
      <c r="L410" t="s">
        <v>1406</v>
      </c>
      <c r="M410"/>
      <c r="N410"/>
      <c r="O410"/>
      <c r="P410" t="s">
        <v>249</v>
      </c>
    </row>
    <row r="411" spans="1:21">
      <c r="A411">
        <v>56</v>
      </c>
      <c r="B411" t="s">
        <v>247</v>
      </c>
      <c r="C411" t="s">
        <v>38</v>
      </c>
      <c r="D411" t="s">
        <v>38</v>
      </c>
      <c r="E411" t="s">
        <v>949</v>
      </c>
      <c r="F411" t="s">
        <v>948</v>
      </c>
      <c r="G411">
        <v>6</v>
      </c>
      <c r="H411" t="s">
        <v>249</v>
      </c>
      <c r="I411" t="s">
        <v>249</v>
      </c>
      <c r="J411"/>
      <c r="K411"/>
      <c r="L411" t="s">
        <v>1793</v>
      </c>
      <c r="M411"/>
      <c r="N411"/>
      <c r="O411"/>
      <c r="P411" t="s">
        <v>249</v>
      </c>
    </row>
    <row r="412" spans="1:21">
      <c r="A412">
        <v>57</v>
      </c>
      <c r="B412" t="s">
        <v>247</v>
      </c>
      <c r="C412" t="s">
        <v>39</v>
      </c>
      <c r="D412" t="s">
        <v>39</v>
      </c>
      <c r="E412" t="s">
        <v>949</v>
      </c>
      <c r="F412" t="s">
        <v>948</v>
      </c>
      <c r="G412">
        <v>6</v>
      </c>
      <c r="H412" t="s">
        <v>249</v>
      </c>
      <c r="I412" t="s">
        <v>249</v>
      </c>
      <c r="J412"/>
      <c r="K412"/>
      <c r="L412" t="s">
        <v>1794</v>
      </c>
      <c r="M412"/>
      <c r="N412"/>
      <c r="O412"/>
      <c r="P412" t="s">
        <v>249</v>
      </c>
    </row>
    <row r="413" spans="1:21">
      <c r="A413">
        <v>6</v>
      </c>
      <c r="B413" t="s">
        <v>247</v>
      </c>
      <c r="C413" t="s">
        <v>257</v>
      </c>
      <c r="D413" t="s">
        <v>261</v>
      </c>
      <c r="E413" t="s">
        <v>949</v>
      </c>
      <c r="F413" t="s">
        <v>948</v>
      </c>
      <c r="G413">
        <v>7</v>
      </c>
      <c r="H413" t="s">
        <v>249</v>
      </c>
      <c r="I413" t="s">
        <v>249</v>
      </c>
      <c r="J413" t="s">
        <v>261</v>
      </c>
      <c r="K413" t="s">
        <v>2597</v>
      </c>
      <c r="L413" t="s">
        <v>1745</v>
      </c>
      <c r="M413" t="s">
        <v>351</v>
      </c>
      <c r="N413"/>
      <c r="O413"/>
      <c r="P413" t="s">
        <v>243</v>
      </c>
      <c r="Q413" t="s">
        <v>2661</v>
      </c>
      <c r="R413" t="s">
        <v>2692</v>
      </c>
      <c r="S413" t="s">
        <v>2704</v>
      </c>
      <c r="U413" t="s">
        <v>2714</v>
      </c>
    </row>
    <row r="414" spans="1:21">
      <c r="A414">
        <v>54</v>
      </c>
      <c r="B414" t="s">
        <v>247</v>
      </c>
      <c r="C414" t="s">
        <v>77</v>
      </c>
      <c r="D414" t="s">
        <v>77</v>
      </c>
      <c r="E414" t="s">
        <v>949</v>
      </c>
      <c r="F414" t="s">
        <v>948</v>
      </c>
      <c r="G414">
        <v>6</v>
      </c>
      <c r="H414" t="s">
        <v>249</v>
      </c>
      <c r="I414" t="s">
        <v>249</v>
      </c>
      <c r="J414"/>
      <c r="K414"/>
      <c r="L414" t="s">
        <v>1792</v>
      </c>
      <c r="M414"/>
      <c r="N414"/>
      <c r="O414"/>
      <c r="P414" t="s">
        <v>249</v>
      </c>
    </row>
    <row r="415" spans="1:21">
      <c r="A415">
        <v>55</v>
      </c>
      <c r="B415" t="s">
        <v>247</v>
      </c>
      <c r="C415" t="s">
        <v>78</v>
      </c>
      <c r="D415" t="s">
        <v>78</v>
      </c>
      <c r="E415" t="s">
        <v>949</v>
      </c>
      <c r="F415" t="s">
        <v>948</v>
      </c>
      <c r="G415">
        <v>6</v>
      </c>
      <c r="H415" t="s">
        <v>249</v>
      </c>
      <c r="I415" t="s">
        <v>249</v>
      </c>
      <c r="J415"/>
      <c r="K415"/>
      <c r="L415" t="s">
        <v>1792</v>
      </c>
      <c r="M415"/>
      <c r="N415"/>
      <c r="O415"/>
      <c r="P415" t="s">
        <v>249</v>
      </c>
    </row>
    <row r="416" spans="1:21">
      <c r="A416">
        <v>335</v>
      </c>
      <c r="B416" t="s">
        <v>345</v>
      </c>
      <c r="C416" t="s">
        <v>343</v>
      </c>
      <c r="D416" t="s">
        <v>343</v>
      </c>
      <c r="E416" t="s">
        <v>949</v>
      </c>
      <c r="F416" t="s">
        <v>948</v>
      </c>
      <c r="G416">
        <v>8</v>
      </c>
      <c r="H416" t="s">
        <v>249</v>
      </c>
      <c r="I416" t="s">
        <v>249</v>
      </c>
      <c r="J416"/>
      <c r="K416"/>
      <c r="L416" t="s">
        <v>2078</v>
      </c>
      <c r="M416"/>
      <c r="N416"/>
      <c r="O416"/>
      <c r="P416"/>
    </row>
    <row r="417" spans="1:16">
      <c r="A417">
        <v>333</v>
      </c>
      <c r="B417" t="s">
        <v>345</v>
      </c>
      <c r="C417" t="s">
        <v>340</v>
      </c>
      <c r="D417" t="s">
        <v>340</v>
      </c>
      <c r="E417" t="s">
        <v>949</v>
      </c>
      <c r="F417" t="s">
        <v>948</v>
      </c>
      <c r="G417">
        <v>8</v>
      </c>
      <c r="H417" t="s">
        <v>249</v>
      </c>
      <c r="I417" t="s">
        <v>249</v>
      </c>
      <c r="J417"/>
      <c r="K417"/>
      <c r="L417" t="s">
        <v>2076</v>
      </c>
      <c r="M417"/>
      <c r="N417"/>
      <c r="O417"/>
      <c r="P417"/>
    </row>
    <row r="418" spans="1:16">
      <c r="A418">
        <v>329</v>
      </c>
      <c r="B418" t="s">
        <v>345</v>
      </c>
      <c r="C418" t="s">
        <v>336</v>
      </c>
      <c r="D418" t="s">
        <v>336</v>
      </c>
      <c r="E418" t="s">
        <v>949</v>
      </c>
      <c r="F418" t="s">
        <v>948</v>
      </c>
      <c r="G418">
        <v>12</v>
      </c>
      <c r="H418" t="s">
        <v>249</v>
      </c>
      <c r="I418" t="s">
        <v>249</v>
      </c>
      <c r="J418"/>
      <c r="K418"/>
      <c r="L418" t="s">
        <v>2073</v>
      </c>
      <c r="M418"/>
      <c r="N418"/>
      <c r="O418"/>
      <c r="P418"/>
    </row>
    <row r="419" spans="1:16">
      <c r="A419">
        <v>321</v>
      </c>
      <c r="B419" t="s">
        <v>345</v>
      </c>
      <c r="C419" t="s">
        <v>334</v>
      </c>
      <c r="D419" t="s">
        <v>347</v>
      </c>
      <c r="E419" t="s">
        <v>949</v>
      </c>
      <c r="F419" t="s">
        <v>948</v>
      </c>
      <c r="G419">
        <v>20</v>
      </c>
      <c r="H419" t="s">
        <v>243</v>
      </c>
      <c r="I419" t="s">
        <v>243</v>
      </c>
      <c r="J419"/>
      <c r="K419"/>
      <c r="L419" t="s">
        <v>2065</v>
      </c>
      <c r="M419"/>
      <c r="N419"/>
      <c r="O419"/>
      <c r="P419"/>
    </row>
    <row r="420" spans="1:16">
      <c r="A420">
        <v>320</v>
      </c>
      <c r="B420" t="s">
        <v>345</v>
      </c>
      <c r="C420" t="s">
        <v>333</v>
      </c>
      <c r="D420" t="s">
        <v>333</v>
      </c>
      <c r="E420" t="s">
        <v>949</v>
      </c>
      <c r="F420" t="s">
        <v>948</v>
      </c>
      <c r="G420">
        <v>8</v>
      </c>
      <c r="H420" t="s">
        <v>243</v>
      </c>
      <c r="I420" t="s">
        <v>243</v>
      </c>
      <c r="J420"/>
      <c r="K420"/>
      <c r="L420" t="s">
        <v>2064</v>
      </c>
      <c r="M420"/>
      <c r="N420"/>
      <c r="O420"/>
      <c r="P420"/>
    </row>
    <row r="421" spans="1:16">
      <c r="A421">
        <v>336</v>
      </c>
      <c r="B421" t="s">
        <v>345</v>
      </c>
      <c r="C421" t="s">
        <v>344</v>
      </c>
      <c r="D421" t="s">
        <v>344</v>
      </c>
      <c r="E421" t="s">
        <v>949</v>
      </c>
      <c r="F421" t="s">
        <v>948</v>
      </c>
      <c r="G421">
        <v>10</v>
      </c>
      <c r="H421" t="s">
        <v>249</v>
      </c>
      <c r="I421" t="s">
        <v>249</v>
      </c>
      <c r="J421"/>
      <c r="K421"/>
      <c r="L421" t="s">
        <v>2079</v>
      </c>
      <c r="M421"/>
      <c r="N421"/>
      <c r="O421"/>
      <c r="P421"/>
    </row>
    <row r="422" spans="1:16">
      <c r="A422">
        <v>322</v>
      </c>
      <c r="B422" t="s">
        <v>345</v>
      </c>
      <c r="C422" t="s">
        <v>335</v>
      </c>
      <c r="D422" t="s">
        <v>348</v>
      </c>
      <c r="E422" t="s">
        <v>949</v>
      </c>
      <c r="F422" t="s">
        <v>948</v>
      </c>
      <c r="G422">
        <v>20</v>
      </c>
      <c r="H422" t="s">
        <v>243</v>
      </c>
      <c r="I422" t="s">
        <v>243</v>
      </c>
      <c r="J422"/>
      <c r="K422"/>
      <c r="L422" t="s">
        <v>2066</v>
      </c>
      <c r="M422"/>
      <c r="N422"/>
      <c r="O422"/>
      <c r="P422"/>
    </row>
    <row r="423" spans="1:16">
      <c r="A423">
        <v>331</v>
      </c>
      <c r="B423" t="s">
        <v>345</v>
      </c>
      <c r="C423" t="s">
        <v>338</v>
      </c>
      <c r="D423" t="s">
        <v>338</v>
      </c>
      <c r="E423" t="s">
        <v>949</v>
      </c>
      <c r="F423" t="s">
        <v>948</v>
      </c>
      <c r="G423">
        <v>12</v>
      </c>
      <c r="H423" t="s">
        <v>249</v>
      </c>
      <c r="I423" t="s">
        <v>249</v>
      </c>
      <c r="J423"/>
      <c r="K423"/>
      <c r="L423" t="s">
        <v>2074</v>
      </c>
      <c r="M423"/>
      <c r="N423"/>
      <c r="O423"/>
      <c r="P423"/>
    </row>
    <row r="424" spans="1:16">
      <c r="A424">
        <v>328</v>
      </c>
      <c r="B424" t="s">
        <v>345</v>
      </c>
      <c r="C424" t="s">
        <v>831</v>
      </c>
      <c r="D424" t="s">
        <v>837</v>
      </c>
      <c r="E424" t="s">
        <v>949</v>
      </c>
      <c r="F424" t="s">
        <v>948</v>
      </c>
      <c r="G424">
        <v>8</v>
      </c>
      <c r="H424" t="s">
        <v>249</v>
      </c>
      <c r="I424" t="s">
        <v>249</v>
      </c>
      <c r="J424"/>
      <c r="K424"/>
      <c r="L424" t="s">
        <v>2072</v>
      </c>
      <c r="M424"/>
      <c r="N424"/>
      <c r="O424"/>
      <c r="P424"/>
    </row>
    <row r="425" spans="1:16">
      <c r="A425">
        <v>324</v>
      </c>
      <c r="B425" t="s">
        <v>345</v>
      </c>
      <c r="C425" t="s">
        <v>827</v>
      </c>
      <c r="D425" t="s">
        <v>834</v>
      </c>
      <c r="E425" t="s">
        <v>949</v>
      </c>
      <c r="F425" t="s">
        <v>948</v>
      </c>
      <c r="G425">
        <v>20</v>
      </c>
      <c r="H425" t="s">
        <v>249</v>
      </c>
      <c r="I425" t="s">
        <v>249</v>
      </c>
      <c r="J425"/>
      <c r="K425"/>
      <c r="L425" t="s">
        <v>2068</v>
      </c>
      <c r="M425"/>
      <c r="N425"/>
      <c r="O425"/>
      <c r="P425"/>
    </row>
    <row r="426" spans="1:16">
      <c r="A426">
        <v>325</v>
      </c>
      <c r="B426" t="s">
        <v>345</v>
      </c>
      <c r="C426" t="s">
        <v>828</v>
      </c>
      <c r="D426" t="s">
        <v>835</v>
      </c>
      <c r="E426" t="s">
        <v>949</v>
      </c>
      <c r="F426" t="s">
        <v>948</v>
      </c>
      <c r="G426">
        <v>20</v>
      </c>
      <c r="H426" t="s">
        <v>249</v>
      </c>
      <c r="I426" t="s">
        <v>249</v>
      </c>
      <c r="J426"/>
      <c r="K426"/>
      <c r="L426" t="s">
        <v>2069</v>
      </c>
      <c r="M426"/>
      <c r="N426"/>
      <c r="O426"/>
      <c r="P426"/>
    </row>
    <row r="427" spans="1:16">
      <c r="A427">
        <v>327</v>
      </c>
      <c r="B427" t="s">
        <v>345</v>
      </c>
      <c r="C427" t="s">
        <v>830</v>
      </c>
      <c r="D427" t="s">
        <v>836</v>
      </c>
      <c r="E427" t="s">
        <v>949</v>
      </c>
      <c r="F427" t="s">
        <v>948</v>
      </c>
      <c r="G427">
        <v>20</v>
      </c>
      <c r="H427" t="s">
        <v>249</v>
      </c>
      <c r="I427" t="s">
        <v>249</v>
      </c>
      <c r="J427"/>
      <c r="K427"/>
      <c r="L427" t="s">
        <v>2071</v>
      </c>
      <c r="M427"/>
      <c r="N427"/>
      <c r="O427"/>
      <c r="P427"/>
    </row>
    <row r="428" spans="1:16">
      <c r="A428">
        <v>334</v>
      </c>
      <c r="B428" t="s">
        <v>345</v>
      </c>
      <c r="C428" t="s">
        <v>341</v>
      </c>
      <c r="D428" t="s">
        <v>341</v>
      </c>
      <c r="E428" t="s">
        <v>949</v>
      </c>
      <c r="F428" t="s">
        <v>948</v>
      </c>
      <c r="G428">
        <v>12</v>
      </c>
      <c r="H428" t="s">
        <v>249</v>
      </c>
      <c r="I428" t="s">
        <v>249</v>
      </c>
      <c r="J428"/>
      <c r="K428"/>
      <c r="L428" t="s">
        <v>2077</v>
      </c>
      <c r="M428"/>
      <c r="N428"/>
      <c r="O428"/>
      <c r="P428"/>
    </row>
    <row r="429" spans="1:16">
      <c r="A429">
        <v>330</v>
      </c>
      <c r="B429" t="s">
        <v>345</v>
      </c>
      <c r="C429" t="s">
        <v>337</v>
      </c>
      <c r="D429" t="s">
        <v>337</v>
      </c>
      <c r="E429" t="s">
        <v>949</v>
      </c>
      <c r="F429" t="s">
        <v>948</v>
      </c>
      <c r="G429">
        <v>12</v>
      </c>
      <c r="H429" t="s">
        <v>249</v>
      </c>
      <c r="I429" t="s">
        <v>249</v>
      </c>
      <c r="J429" t="s">
        <v>2097</v>
      </c>
      <c r="K429" t="s">
        <v>2597</v>
      </c>
      <c r="L429" t="s">
        <v>2098</v>
      </c>
      <c r="M429" t="s">
        <v>351</v>
      </c>
      <c r="N429"/>
      <c r="O429"/>
      <c r="P429"/>
    </row>
    <row r="430" spans="1:16">
      <c r="A430">
        <v>332</v>
      </c>
      <c r="B430" t="s">
        <v>345</v>
      </c>
      <c r="C430" t="s">
        <v>339</v>
      </c>
      <c r="D430" t="s">
        <v>339</v>
      </c>
      <c r="E430" t="s">
        <v>949</v>
      </c>
      <c r="F430" t="s">
        <v>948</v>
      </c>
      <c r="G430">
        <v>50</v>
      </c>
      <c r="H430" t="s">
        <v>249</v>
      </c>
      <c r="I430" t="s">
        <v>249</v>
      </c>
      <c r="J430"/>
      <c r="K430"/>
      <c r="L430" t="s">
        <v>2075</v>
      </c>
      <c r="M430"/>
      <c r="N430"/>
      <c r="O430"/>
      <c r="P430"/>
    </row>
    <row r="431" spans="1:16">
      <c r="A431">
        <v>323</v>
      </c>
      <c r="B431" t="s">
        <v>345</v>
      </c>
      <c r="C431" t="s">
        <v>342</v>
      </c>
      <c r="D431" t="s">
        <v>833</v>
      </c>
      <c r="E431" t="s">
        <v>949</v>
      </c>
      <c r="F431" t="s">
        <v>985</v>
      </c>
      <c r="G431">
        <v>6</v>
      </c>
      <c r="H431" t="s">
        <v>249</v>
      </c>
      <c r="I431" t="s">
        <v>249</v>
      </c>
      <c r="J431"/>
      <c r="K431"/>
      <c r="L431" t="s">
        <v>2067</v>
      </c>
      <c r="M431"/>
      <c r="N431"/>
      <c r="O431"/>
      <c r="P431"/>
    </row>
    <row r="432" spans="1:16">
      <c r="A432">
        <v>326</v>
      </c>
      <c r="B432" t="s">
        <v>345</v>
      </c>
      <c r="C432" t="s">
        <v>829</v>
      </c>
      <c r="D432" t="s">
        <v>1305</v>
      </c>
      <c r="E432" t="s">
        <v>949</v>
      </c>
      <c r="F432" t="s">
        <v>948</v>
      </c>
      <c r="G432">
        <v>20</v>
      </c>
      <c r="H432" t="s">
        <v>249</v>
      </c>
      <c r="I432" t="s">
        <v>249</v>
      </c>
      <c r="J432"/>
      <c r="K432"/>
      <c r="L432" t="s">
        <v>2070</v>
      </c>
      <c r="M432"/>
      <c r="N432"/>
      <c r="O432"/>
      <c r="P432"/>
    </row>
    <row r="433" spans="1:21">
      <c r="A433">
        <v>63</v>
      </c>
      <c r="B433" t="s">
        <v>247</v>
      </c>
      <c r="C433" t="s">
        <v>26</v>
      </c>
      <c r="D433" t="s">
        <v>1799</v>
      </c>
      <c r="E433" t="s">
        <v>949</v>
      </c>
      <c r="F433" t="s">
        <v>948</v>
      </c>
      <c r="G433">
        <v>6</v>
      </c>
      <c r="H433" t="s">
        <v>249</v>
      </c>
      <c r="I433" t="s">
        <v>249</v>
      </c>
      <c r="J433"/>
      <c r="K433"/>
      <c r="L433" t="s">
        <v>1800</v>
      </c>
      <c r="M433"/>
      <c r="N433"/>
      <c r="O433"/>
      <c r="P433" t="s">
        <v>249</v>
      </c>
    </row>
    <row r="434" spans="1:21">
      <c r="A434">
        <v>49</v>
      </c>
      <c r="B434" t="s">
        <v>247</v>
      </c>
      <c r="C434" t="s">
        <v>72</v>
      </c>
      <c r="D434" t="s">
        <v>72</v>
      </c>
      <c r="E434" t="s">
        <v>949</v>
      </c>
      <c r="F434" t="s">
        <v>948</v>
      </c>
      <c r="G434">
        <v>6</v>
      </c>
      <c r="H434" t="s">
        <v>249</v>
      </c>
      <c r="I434" t="s">
        <v>249</v>
      </c>
      <c r="J434"/>
      <c r="K434"/>
      <c r="L434" t="s">
        <v>1787</v>
      </c>
      <c r="M434"/>
      <c r="N434"/>
      <c r="O434"/>
      <c r="P434" t="s">
        <v>249</v>
      </c>
    </row>
    <row r="435" spans="1:21">
      <c r="A435">
        <v>5</v>
      </c>
      <c r="B435" t="s">
        <v>247</v>
      </c>
      <c r="C435" t="s">
        <v>30</v>
      </c>
      <c r="D435" t="s">
        <v>3</v>
      </c>
      <c r="E435" t="s">
        <v>949</v>
      </c>
      <c r="F435" t="s">
        <v>948</v>
      </c>
      <c r="G435">
        <v>11</v>
      </c>
      <c r="H435" t="s">
        <v>243</v>
      </c>
      <c r="I435" t="s">
        <v>243</v>
      </c>
      <c r="J435" t="s">
        <v>30</v>
      </c>
      <c r="K435" t="s">
        <v>2597</v>
      </c>
      <c r="L435" t="s">
        <v>1744</v>
      </c>
      <c r="M435" t="s">
        <v>359</v>
      </c>
      <c r="N435"/>
      <c r="O435"/>
      <c r="P435" t="s">
        <v>243</v>
      </c>
      <c r="Q435" t="s">
        <v>2736</v>
      </c>
      <c r="R435" t="s">
        <v>2692</v>
      </c>
      <c r="S435" t="s">
        <v>2665</v>
      </c>
      <c r="T435" t="s">
        <v>2814</v>
      </c>
      <c r="U435" t="s">
        <v>2807</v>
      </c>
    </row>
    <row r="436" spans="1:21">
      <c r="A436">
        <v>58</v>
      </c>
      <c r="B436" t="s">
        <v>247</v>
      </c>
      <c r="C436" t="s">
        <v>40</v>
      </c>
      <c r="D436" t="s">
        <v>40</v>
      </c>
      <c r="E436" t="s">
        <v>949</v>
      </c>
      <c r="F436" t="s">
        <v>948</v>
      </c>
      <c r="G436">
        <v>6</v>
      </c>
      <c r="H436" t="s">
        <v>249</v>
      </c>
      <c r="I436" t="s">
        <v>249</v>
      </c>
      <c r="J436"/>
      <c r="K436"/>
      <c r="L436" t="s">
        <v>1795</v>
      </c>
      <c r="M436"/>
      <c r="N436"/>
      <c r="O436"/>
      <c r="P436" t="s">
        <v>249</v>
      </c>
    </row>
    <row r="437" spans="1:21">
      <c r="A437">
        <v>15</v>
      </c>
      <c r="B437" t="s">
        <v>247</v>
      </c>
      <c r="C437" t="s">
        <v>51</v>
      </c>
      <c r="D437" t="s">
        <v>732</v>
      </c>
      <c r="E437" t="s">
        <v>988</v>
      </c>
      <c r="F437" t="s">
        <v>948</v>
      </c>
      <c r="G437">
        <v>10</v>
      </c>
      <c r="H437" t="s">
        <v>243</v>
      </c>
      <c r="I437" t="s">
        <v>249</v>
      </c>
      <c r="J437"/>
      <c r="K437"/>
      <c r="L437" t="s">
        <v>1754</v>
      </c>
      <c r="M437"/>
      <c r="N437"/>
      <c r="O437"/>
      <c r="P437" t="s">
        <v>243</v>
      </c>
      <c r="Q437" t="s">
        <v>2736</v>
      </c>
      <c r="R437" t="s">
        <v>441</v>
      </c>
      <c r="S437" t="s">
        <v>2672</v>
      </c>
      <c r="T437" t="s">
        <v>2998</v>
      </c>
      <c r="U437" t="s">
        <v>2900</v>
      </c>
    </row>
    <row r="438" spans="1:21">
      <c r="A438">
        <v>17</v>
      </c>
      <c r="B438" t="s">
        <v>247</v>
      </c>
      <c r="C438" t="s">
        <v>53</v>
      </c>
      <c r="D438" t="s">
        <v>734</v>
      </c>
      <c r="E438" t="s">
        <v>988</v>
      </c>
      <c r="F438" t="s">
        <v>948</v>
      </c>
      <c r="G438">
        <v>10</v>
      </c>
      <c r="H438" t="s">
        <v>243</v>
      </c>
      <c r="I438" t="s">
        <v>249</v>
      </c>
      <c r="J438"/>
      <c r="K438"/>
      <c r="L438" t="s">
        <v>1756</v>
      </c>
      <c r="M438"/>
      <c r="N438"/>
      <c r="O438"/>
      <c r="P438" t="s">
        <v>243</v>
      </c>
      <c r="Q438" t="s">
        <v>2736</v>
      </c>
      <c r="R438" t="s">
        <v>441</v>
      </c>
      <c r="S438" t="s">
        <v>2674</v>
      </c>
      <c r="T438" t="s">
        <v>2999</v>
      </c>
      <c r="U438" t="s">
        <v>2901</v>
      </c>
    </row>
    <row r="439" spans="1:21">
      <c r="A439">
        <v>356</v>
      </c>
      <c r="B439" t="s">
        <v>403</v>
      </c>
      <c r="C439" t="s">
        <v>228</v>
      </c>
      <c r="D439"/>
      <c r="E439" t="s">
        <v>949</v>
      </c>
      <c r="F439" t="s">
        <v>948</v>
      </c>
      <c r="G439">
        <v>10</v>
      </c>
      <c r="H439" t="s">
        <v>249</v>
      </c>
      <c r="I439" t="s">
        <v>249</v>
      </c>
      <c r="J439"/>
      <c r="K439"/>
      <c r="L439"/>
      <c r="M439"/>
      <c r="N439"/>
      <c r="O439"/>
      <c r="P439"/>
    </row>
    <row r="440" spans="1:21">
      <c r="A440">
        <v>435</v>
      </c>
      <c r="B440" t="s">
        <v>250</v>
      </c>
      <c r="C440" t="s">
        <v>2967</v>
      </c>
      <c r="D440" t="s">
        <v>2968</v>
      </c>
      <c r="E440" t="s">
        <v>949</v>
      </c>
      <c r="F440" t="s">
        <v>948</v>
      </c>
      <c r="G440">
        <v>12</v>
      </c>
      <c r="H440" t="s">
        <v>249</v>
      </c>
      <c r="I440" t="s">
        <v>249</v>
      </c>
      <c r="J440" t="s">
        <v>2968</v>
      </c>
      <c r="K440" t="s">
        <v>3006</v>
      </c>
      <c r="L440" t="s">
        <v>3007</v>
      </c>
      <c r="M440" t="s">
        <v>351</v>
      </c>
      <c r="N440"/>
      <c r="O440"/>
      <c r="P440" t="s">
        <v>249</v>
      </c>
    </row>
    <row r="441" spans="1:21">
      <c r="A441">
        <v>436</v>
      </c>
      <c r="B441" t="s">
        <v>250</v>
      </c>
      <c r="C441" t="s">
        <v>3008</v>
      </c>
      <c r="D441" t="s">
        <v>3009</v>
      </c>
      <c r="E441" t="s">
        <v>949</v>
      </c>
      <c r="F441" t="s">
        <v>948</v>
      </c>
      <c r="G441">
        <v>12</v>
      </c>
      <c r="H441" t="s">
        <v>249</v>
      </c>
      <c r="I441" t="s">
        <v>249</v>
      </c>
      <c r="J441"/>
      <c r="K441"/>
      <c r="L441" t="s">
        <v>3010</v>
      </c>
      <c r="M441" t="s">
        <v>351</v>
      </c>
      <c r="N441"/>
      <c r="O441"/>
      <c r="P441" t="s">
        <v>249</v>
      </c>
    </row>
    <row r="442" spans="1:21">
      <c r="A442">
        <v>437</v>
      </c>
      <c r="B442" t="s">
        <v>403</v>
      </c>
      <c r="C442" t="s">
        <v>3013</v>
      </c>
      <c r="D442" t="s">
        <v>3014</v>
      </c>
      <c r="E442" t="s">
        <v>949</v>
      </c>
      <c r="F442" t="s">
        <v>948</v>
      </c>
      <c r="G442">
        <v>30</v>
      </c>
      <c r="H442" t="s">
        <v>249</v>
      </c>
      <c r="I442" t="s">
        <v>249</v>
      </c>
      <c r="J442"/>
      <c r="K442"/>
      <c r="L442" t="s">
        <v>3015</v>
      </c>
      <c r="M442" t="s">
        <v>3016</v>
      </c>
      <c r="N442"/>
      <c r="O442"/>
      <c r="P442" t="s">
        <v>249</v>
      </c>
    </row>
    <row r="443" spans="1:21">
      <c r="A443"/>
      <c r="B443"/>
      <c r="C443"/>
      <c r="D443"/>
      <c r="E443"/>
      <c r="F443"/>
      <c r="G443"/>
      <c r="H443"/>
      <c r="I443"/>
      <c r="J443"/>
      <c r="K443"/>
      <c r="L443"/>
      <c r="M443"/>
      <c r="N443"/>
      <c r="O443"/>
      <c r="P443"/>
    </row>
    <row r="444" spans="1:21">
      <c r="A444"/>
      <c r="B444"/>
      <c r="C444"/>
      <c r="D444"/>
      <c r="E444"/>
      <c r="F444"/>
      <c r="G444"/>
      <c r="H444"/>
      <c r="I444"/>
      <c r="J444"/>
      <c r="K444"/>
      <c r="L444"/>
      <c r="M444"/>
      <c r="N444"/>
      <c r="O444"/>
      <c r="P444"/>
    </row>
    <row r="445" spans="1:21">
      <c r="A445"/>
      <c r="B445"/>
      <c r="C445"/>
      <c r="D445"/>
      <c r="E445"/>
      <c r="F445"/>
      <c r="G445"/>
      <c r="H445"/>
      <c r="I445"/>
      <c r="J445"/>
      <c r="K445"/>
      <c r="L445"/>
      <c r="M445"/>
      <c r="N445"/>
      <c r="O445"/>
      <c r="P445"/>
    </row>
    <row r="446" spans="1:21">
      <c r="A446"/>
      <c r="B446"/>
      <c r="C446"/>
      <c r="D446"/>
      <c r="E446"/>
      <c r="F446"/>
      <c r="G446"/>
      <c r="H446"/>
      <c r="I446"/>
      <c r="J446"/>
      <c r="K446"/>
      <c r="L446"/>
      <c r="M446"/>
      <c r="N446"/>
      <c r="O446"/>
      <c r="P446"/>
    </row>
    <row r="447" spans="1:21">
      <c r="A447"/>
      <c r="B447"/>
      <c r="C447"/>
      <c r="D447"/>
      <c r="E447"/>
      <c r="F447"/>
      <c r="G447"/>
      <c r="H447"/>
      <c r="I447"/>
      <c r="J447"/>
      <c r="K447"/>
      <c r="L447"/>
      <c r="M447"/>
      <c r="N447"/>
      <c r="O447"/>
      <c r="P447"/>
    </row>
    <row r="448" spans="1:21">
      <c r="A448"/>
      <c r="B448"/>
      <c r="C448"/>
      <c r="D448"/>
      <c r="E448"/>
      <c r="F448"/>
      <c r="G448"/>
      <c r="H448"/>
      <c r="I448"/>
      <c r="J448"/>
      <c r="K448"/>
      <c r="L448"/>
      <c r="M448"/>
      <c r="N448"/>
      <c r="O448"/>
      <c r="P448"/>
    </row>
    <row r="449" customFormat="1"/>
    <row r="450" customFormat="1"/>
    <row r="451" customFormat="1"/>
    <row r="452" customFormat="1"/>
    <row r="453" customFormat="1"/>
    <row r="454" customFormat="1"/>
  </sheetData>
  <autoFilter ref="A3:U442" xr:uid="{804118F2-9575-46FC-A3C5-BA1F86B0EFDB}"/>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71596-8A6B-435D-9E6E-DFF986A7148E}">
  <sheetPr codeName="TagsSht"/>
  <dimension ref="A1:S604"/>
  <sheetViews>
    <sheetView workbookViewId="0">
      <pane ySplit="3" topLeftCell="A63" activePane="bottomLeft" state="frozen"/>
      <selection pane="bottomLeft" activeCell="G251" sqref="G251"/>
    </sheetView>
  </sheetViews>
  <sheetFormatPr defaultRowHeight="14.25"/>
  <cols>
    <col min="1" max="1" width="8.59765625" style="59" customWidth="1"/>
    <col min="2" max="3" width="20.59765625" style="59" customWidth="1"/>
    <col min="4" max="4" width="6.59765625" style="61" customWidth="1"/>
    <col min="5" max="5" width="20.59765625" style="59" customWidth="1"/>
    <col min="6" max="6" width="12.59765625" style="59" customWidth="1"/>
    <col min="7" max="7" width="15.796875" style="59" customWidth="1"/>
    <col min="8" max="8" width="15.73046875" style="59" customWidth="1"/>
    <col min="9" max="9" width="8.59765625" style="59" customWidth="1"/>
    <col min="10" max="11" width="12.59765625" style="59" customWidth="1"/>
    <col min="12" max="14" width="20.59765625" style="59" customWidth="1"/>
    <col min="15" max="15" width="15.796875" style="59" customWidth="1"/>
    <col min="16" max="16" width="8.59765625" style="59" customWidth="1"/>
    <col min="17" max="17" width="12.3984375" style="59" customWidth="1"/>
    <col min="18" max="18" width="8.59765625" style="59" customWidth="1"/>
    <col min="19" max="19" width="10.59765625" style="59" customWidth="1"/>
  </cols>
  <sheetData>
    <row r="1" spans="1:19">
      <c r="A1" s="76" t="s">
        <v>333</v>
      </c>
      <c r="B1" s="76" t="s">
        <v>334</v>
      </c>
      <c r="C1" s="76" t="s">
        <v>335</v>
      </c>
      <c r="D1" s="84" t="s">
        <v>342</v>
      </c>
      <c r="E1" s="76" t="s">
        <v>829</v>
      </c>
      <c r="F1" s="76" t="s">
        <v>337</v>
      </c>
      <c r="G1" s="76" t="s">
        <v>338</v>
      </c>
      <c r="H1" s="76" t="s">
        <v>339</v>
      </c>
      <c r="I1" s="76" t="s">
        <v>340</v>
      </c>
      <c r="J1" s="76" t="s">
        <v>341</v>
      </c>
      <c r="K1" s="76" t="s">
        <v>336</v>
      </c>
      <c r="L1" s="76" t="s">
        <v>827</v>
      </c>
      <c r="M1" s="76" t="s">
        <v>830</v>
      </c>
      <c r="N1" s="76" t="s">
        <v>828</v>
      </c>
      <c r="O1" s="76" t="s">
        <v>2742</v>
      </c>
      <c r="P1" s="76" t="s">
        <v>831</v>
      </c>
      <c r="Q1" s="76" t="s">
        <v>2740</v>
      </c>
      <c r="R1" s="76" t="s">
        <v>343</v>
      </c>
      <c r="S1" s="76" t="s">
        <v>344</v>
      </c>
    </row>
    <row r="2" spans="1:19" ht="22.5">
      <c r="A2" s="94" t="s">
        <v>832</v>
      </c>
      <c r="B2" s="94"/>
      <c r="C2" s="94"/>
      <c r="D2" s="120"/>
      <c r="E2" s="94"/>
      <c r="F2" s="94"/>
      <c r="G2" s="94"/>
      <c r="H2" s="94"/>
      <c r="I2" s="94"/>
      <c r="J2" s="119" t="s">
        <v>346</v>
      </c>
      <c r="K2" s="94"/>
      <c r="L2" s="94"/>
      <c r="M2" s="94"/>
      <c r="N2" s="94"/>
      <c r="O2" s="94"/>
      <c r="P2" s="94"/>
      <c r="Q2" s="94"/>
      <c r="R2" s="94"/>
      <c r="S2" s="94"/>
    </row>
    <row r="3" spans="1:19" ht="34.9">
      <c r="A3" s="71" t="s">
        <v>333</v>
      </c>
      <c r="B3" s="71" t="s">
        <v>347</v>
      </c>
      <c r="C3" s="71" t="s">
        <v>348</v>
      </c>
      <c r="D3" s="83" t="s">
        <v>833</v>
      </c>
      <c r="E3" s="71" t="s">
        <v>1305</v>
      </c>
      <c r="F3" s="71" t="s">
        <v>2725</v>
      </c>
      <c r="G3" s="71" t="s">
        <v>2726</v>
      </c>
      <c r="H3" s="71" t="s">
        <v>339</v>
      </c>
      <c r="I3" s="71" t="s">
        <v>340</v>
      </c>
      <c r="J3" s="71" t="s">
        <v>2727</v>
      </c>
      <c r="K3" s="71" t="s">
        <v>2724</v>
      </c>
      <c r="L3" s="71" t="s">
        <v>834</v>
      </c>
      <c r="M3" s="71" t="s">
        <v>836</v>
      </c>
      <c r="N3" s="71" t="s">
        <v>2744</v>
      </c>
      <c r="O3" s="83" t="s">
        <v>2743</v>
      </c>
      <c r="P3" s="71" t="s">
        <v>2731</v>
      </c>
      <c r="Q3" s="83" t="s">
        <v>2730</v>
      </c>
      <c r="R3" s="71" t="s">
        <v>2728</v>
      </c>
      <c r="S3" s="71" t="s">
        <v>2729</v>
      </c>
    </row>
    <row r="4" spans="1:19" s="58" customFormat="1" ht="18" customHeight="1">
      <c r="A4" s="153">
        <v>58</v>
      </c>
      <c r="B4" s="153" t="s">
        <v>444</v>
      </c>
      <c r="C4" s="153" t="s">
        <v>524</v>
      </c>
      <c r="D4" s="168"/>
      <c r="E4" s="153" t="s">
        <v>61</v>
      </c>
      <c r="F4" s="153"/>
      <c r="G4" s="153" t="s">
        <v>524</v>
      </c>
      <c r="H4" s="153" t="s">
        <v>1602</v>
      </c>
      <c r="I4" s="153" t="s">
        <v>2646</v>
      </c>
      <c r="J4" s="153" t="s">
        <v>351</v>
      </c>
      <c r="K4" s="153" t="s">
        <v>84</v>
      </c>
      <c r="L4" s="153" t="s">
        <v>2686</v>
      </c>
      <c r="M4" s="153" t="s">
        <v>524</v>
      </c>
      <c r="N4" s="153"/>
      <c r="O4" s="58" t="s">
        <v>2746</v>
      </c>
      <c r="P4" s="153"/>
      <c r="Q4" s="58">
        <v>379</v>
      </c>
      <c r="R4" s="153"/>
      <c r="S4" s="153"/>
    </row>
    <row r="5" spans="1:19" s="58" customFormat="1" ht="18" customHeight="1">
      <c r="A5" s="153">
        <v>59</v>
      </c>
      <c r="B5" s="153" t="s">
        <v>444</v>
      </c>
      <c r="C5" s="153" t="s">
        <v>525</v>
      </c>
      <c r="D5" s="168"/>
      <c r="E5" s="153" t="s">
        <v>61</v>
      </c>
      <c r="F5" s="153"/>
      <c r="G5" s="153" t="s">
        <v>525</v>
      </c>
      <c r="H5" s="153" t="s">
        <v>1602</v>
      </c>
      <c r="I5" s="153" t="s">
        <v>2646</v>
      </c>
      <c r="J5" s="153" t="s">
        <v>351</v>
      </c>
      <c r="K5" s="153" t="s">
        <v>84</v>
      </c>
      <c r="L5" s="153" t="s">
        <v>2686</v>
      </c>
      <c r="M5" s="153" t="s">
        <v>525</v>
      </c>
      <c r="N5" s="153"/>
      <c r="O5" s="58" t="s">
        <v>2746</v>
      </c>
      <c r="P5" s="153"/>
      <c r="Q5" s="58">
        <v>380</v>
      </c>
      <c r="R5" s="153"/>
      <c r="S5" s="153"/>
    </row>
    <row r="6" spans="1:19" s="58" customFormat="1" ht="18" customHeight="1">
      <c r="A6" s="153">
        <v>60</v>
      </c>
      <c r="B6" s="153" t="s">
        <v>444</v>
      </c>
      <c r="C6" s="153" t="s">
        <v>526</v>
      </c>
      <c r="D6" s="168"/>
      <c r="E6" s="153" t="s">
        <v>61</v>
      </c>
      <c r="F6" s="153"/>
      <c r="G6" s="153" t="s">
        <v>526</v>
      </c>
      <c r="H6" s="153" t="s">
        <v>1602</v>
      </c>
      <c r="I6" s="153" t="s">
        <v>2646</v>
      </c>
      <c r="J6" s="153" t="s">
        <v>351</v>
      </c>
      <c r="K6" s="153" t="s">
        <v>84</v>
      </c>
      <c r="L6" s="153" t="s">
        <v>2686</v>
      </c>
      <c r="M6" s="153" t="s">
        <v>526</v>
      </c>
      <c r="N6" s="153"/>
      <c r="O6" s="58" t="s">
        <v>2746</v>
      </c>
      <c r="P6" s="153"/>
      <c r="Q6" s="58">
        <v>381</v>
      </c>
      <c r="R6" s="153"/>
      <c r="S6" s="153"/>
    </row>
    <row r="7" spans="1:19" s="58" customFormat="1" ht="18" customHeight="1">
      <c r="A7" s="153">
        <v>1</v>
      </c>
      <c r="B7" s="153" t="s">
        <v>780</v>
      </c>
      <c r="C7" s="153" t="s">
        <v>1306</v>
      </c>
      <c r="D7" s="168"/>
      <c r="E7" s="153" t="s">
        <v>154</v>
      </c>
      <c r="F7" s="153"/>
      <c r="G7" s="153" t="s">
        <v>1306</v>
      </c>
      <c r="H7" s="153" t="s">
        <v>1598</v>
      </c>
      <c r="I7" s="153" t="s">
        <v>2610</v>
      </c>
      <c r="J7" s="153" t="s">
        <v>359</v>
      </c>
      <c r="K7" s="153" t="s">
        <v>79</v>
      </c>
      <c r="L7" s="153" t="s">
        <v>780</v>
      </c>
      <c r="M7" s="153" t="s">
        <v>1306</v>
      </c>
      <c r="N7" s="153" t="s">
        <v>2747</v>
      </c>
      <c r="P7" s="153">
        <v>349</v>
      </c>
      <c r="R7" s="153"/>
      <c r="S7" s="153"/>
    </row>
    <row r="8" spans="1:19" s="58" customFormat="1" ht="18" customHeight="1">
      <c r="A8" s="153">
        <v>2</v>
      </c>
      <c r="B8" s="153" t="s">
        <v>780</v>
      </c>
      <c r="C8" s="153" t="s">
        <v>1307</v>
      </c>
      <c r="D8" s="168"/>
      <c r="E8" s="153" t="s">
        <v>154</v>
      </c>
      <c r="F8" s="153"/>
      <c r="G8" s="153" t="s">
        <v>1307</v>
      </c>
      <c r="H8" s="153" t="s">
        <v>1598</v>
      </c>
      <c r="I8" s="153" t="s">
        <v>2610</v>
      </c>
      <c r="J8" s="153" t="s">
        <v>359</v>
      </c>
      <c r="K8" s="153" t="s">
        <v>79</v>
      </c>
      <c r="L8" s="153" t="s">
        <v>780</v>
      </c>
      <c r="M8" s="153" t="s">
        <v>1307</v>
      </c>
      <c r="N8" s="153" t="s">
        <v>2747</v>
      </c>
      <c r="P8" s="153">
        <v>353</v>
      </c>
      <c r="R8" s="153"/>
      <c r="S8" s="153"/>
    </row>
    <row r="9" spans="1:19" s="58" customFormat="1" ht="18" customHeight="1">
      <c r="A9" s="153">
        <v>3</v>
      </c>
      <c r="B9" s="153" t="s">
        <v>780</v>
      </c>
      <c r="C9" s="153" t="s">
        <v>1308</v>
      </c>
      <c r="D9" s="168"/>
      <c r="E9" s="153" t="s">
        <v>154</v>
      </c>
      <c r="F9" s="153"/>
      <c r="G9" s="153" t="s">
        <v>1308</v>
      </c>
      <c r="H9" s="153" t="s">
        <v>1598</v>
      </c>
      <c r="I9" s="153" t="s">
        <v>2610</v>
      </c>
      <c r="J9" s="153" t="s">
        <v>359</v>
      </c>
      <c r="K9" s="153" t="s">
        <v>79</v>
      </c>
      <c r="L9" s="153" t="s">
        <v>780</v>
      </c>
      <c r="M9" s="153" t="s">
        <v>1308</v>
      </c>
      <c r="N9" s="153" t="s">
        <v>2747</v>
      </c>
      <c r="P9" s="153">
        <v>352</v>
      </c>
      <c r="R9" s="153"/>
      <c r="S9" s="153"/>
    </row>
    <row r="10" spans="1:19" s="58" customFormat="1" ht="18" customHeight="1">
      <c r="A10" s="153">
        <v>4</v>
      </c>
      <c r="B10" s="153" t="s">
        <v>780</v>
      </c>
      <c r="C10" s="153" t="s">
        <v>1309</v>
      </c>
      <c r="D10" s="168"/>
      <c r="E10" s="153" t="s">
        <v>154</v>
      </c>
      <c r="F10" s="153"/>
      <c r="G10" s="153" t="s">
        <v>1309</v>
      </c>
      <c r="H10" s="153" t="s">
        <v>1598</v>
      </c>
      <c r="I10" s="153" t="s">
        <v>2610</v>
      </c>
      <c r="J10" s="153" t="s">
        <v>359</v>
      </c>
      <c r="K10" s="153" t="s">
        <v>79</v>
      </c>
      <c r="L10" s="153" t="s">
        <v>780</v>
      </c>
      <c r="M10" s="153" t="s">
        <v>1309</v>
      </c>
      <c r="N10" s="153" t="s">
        <v>2747</v>
      </c>
      <c r="P10" s="153">
        <v>351</v>
      </c>
      <c r="R10" s="153"/>
      <c r="S10" s="153"/>
    </row>
    <row r="11" spans="1:19" s="58" customFormat="1" ht="18" customHeight="1">
      <c r="A11" s="153">
        <v>5</v>
      </c>
      <c r="B11" s="153" t="s">
        <v>780</v>
      </c>
      <c r="C11" s="153" t="s">
        <v>1310</v>
      </c>
      <c r="D11" s="168"/>
      <c r="E11" s="153" t="s">
        <v>154</v>
      </c>
      <c r="F11" s="153"/>
      <c r="G11" s="153" t="s">
        <v>1310</v>
      </c>
      <c r="H11" s="153" t="s">
        <v>1598</v>
      </c>
      <c r="I11" s="153" t="s">
        <v>2610</v>
      </c>
      <c r="J11" s="153" t="s">
        <v>359</v>
      </c>
      <c r="K11" s="153" t="s">
        <v>79</v>
      </c>
      <c r="L11" s="153" t="s">
        <v>780</v>
      </c>
      <c r="M11" s="153" t="s">
        <v>1310</v>
      </c>
      <c r="N11" s="153" t="s">
        <v>2747</v>
      </c>
      <c r="P11" s="153">
        <v>350</v>
      </c>
      <c r="R11" s="153"/>
      <c r="S11" s="153"/>
    </row>
    <row r="12" spans="1:19" s="58" customFormat="1" ht="18" customHeight="1">
      <c r="A12" s="153">
        <v>6</v>
      </c>
      <c r="B12" s="153" t="s">
        <v>780</v>
      </c>
      <c r="C12" s="153" t="s">
        <v>554</v>
      </c>
      <c r="D12" s="168"/>
      <c r="E12" s="153" t="s">
        <v>154</v>
      </c>
      <c r="F12" s="153"/>
      <c r="G12" s="153" t="s">
        <v>554</v>
      </c>
      <c r="H12" s="153" t="s">
        <v>1598</v>
      </c>
      <c r="I12" s="153" t="s">
        <v>2610</v>
      </c>
      <c r="J12" s="153" t="s">
        <v>359</v>
      </c>
      <c r="K12" s="153" t="s">
        <v>79</v>
      </c>
      <c r="L12" s="153" t="s">
        <v>780</v>
      </c>
      <c r="M12" s="153" t="s">
        <v>554</v>
      </c>
      <c r="N12" s="153" t="s">
        <v>2747</v>
      </c>
      <c r="P12" s="153">
        <v>354</v>
      </c>
      <c r="R12" s="153"/>
      <c r="S12" s="153"/>
    </row>
    <row r="13" spans="1:19" s="58" customFormat="1" ht="18" customHeight="1">
      <c r="A13" s="153">
        <v>7</v>
      </c>
      <c r="B13" s="153" t="s">
        <v>2286</v>
      </c>
      <c r="C13" s="153" t="s">
        <v>2344</v>
      </c>
      <c r="D13" s="168">
        <v>1</v>
      </c>
      <c r="E13" s="153" t="s">
        <v>2246</v>
      </c>
      <c r="F13" s="153" t="s">
        <v>619</v>
      </c>
      <c r="G13" s="153" t="s">
        <v>2344</v>
      </c>
      <c r="H13" s="153" t="s">
        <v>2345</v>
      </c>
      <c r="I13" s="153"/>
      <c r="J13" s="153" t="s">
        <v>351</v>
      </c>
      <c r="K13" s="153" t="s">
        <v>79</v>
      </c>
      <c r="L13" s="153" t="s">
        <v>2286</v>
      </c>
      <c r="M13" s="153" t="s">
        <v>2344</v>
      </c>
      <c r="N13" s="153" t="s">
        <v>2748</v>
      </c>
      <c r="P13" s="153">
        <v>598</v>
      </c>
      <c r="R13" s="153"/>
      <c r="S13" s="153"/>
    </row>
    <row r="14" spans="1:19" s="58" customFormat="1" ht="18" customHeight="1">
      <c r="A14" s="153">
        <v>8</v>
      </c>
      <c r="B14" s="153" t="s">
        <v>2286</v>
      </c>
      <c r="C14" s="153" t="s">
        <v>607</v>
      </c>
      <c r="D14" s="168">
        <v>2</v>
      </c>
      <c r="E14" s="153" t="s">
        <v>2246</v>
      </c>
      <c r="F14" s="153" t="s">
        <v>619</v>
      </c>
      <c r="G14" s="153" t="s">
        <v>607</v>
      </c>
      <c r="H14" s="153" t="s">
        <v>2345</v>
      </c>
      <c r="I14" s="153"/>
      <c r="J14" s="153" t="s">
        <v>351</v>
      </c>
      <c r="K14" s="153" t="s">
        <v>79</v>
      </c>
      <c r="L14" s="153" t="s">
        <v>2286</v>
      </c>
      <c r="M14" s="153" t="s">
        <v>607</v>
      </c>
      <c r="N14" s="153" t="s">
        <v>2748</v>
      </c>
      <c r="P14" s="153">
        <v>599</v>
      </c>
      <c r="R14" s="153"/>
      <c r="S14" s="153"/>
    </row>
    <row r="15" spans="1:19" s="58" customFormat="1" ht="18" customHeight="1">
      <c r="A15" s="153">
        <v>9</v>
      </c>
      <c r="B15" s="153" t="s">
        <v>2286</v>
      </c>
      <c r="C15" s="153" t="s">
        <v>358</v>
      </c>
      <c r="D15" s="168">
        <v>3</v>
      </c>
      <c r="E15" s="153" t="s">
        <v>2246</v>
      </c>
      <c r="F15" s="153" t="s">
        <v>619</v>
      </c>
      <c r="G15" s="153" t="s">
        <v>358</v>
      </c>
      <c r="H15" s="153" t="s">
        <v>2345</v>
      </c>
      <c r="I15" s="153"/>
      <c r="J15" s="153" t="s">
        <v>351</v>
      </c>
      <c r="K15" s="153" t="s">
        <v>79</v>
      </c>
      <c r="L15" s="153" t="s">
        <v>2286</v>
      </c>
      <c r="M15" s="153" t="s">
        <v>358</v>
      </c>
      <c r="N15" s="153" t="s">
        <v>2748</v>
      </c>
      <c r="P15" s="153">
        <v>600</v>
      </c>
      <c r="R15" s="153"/>
      <c r="S15" s="153"/>
    </row>
    <row r="16" spans="1:19" s="58" customFormat="1" ht="18" customHeight="1">
      <c r="A16" s="153">
        <v>10</v>
      </c>
      <c r="B16" s="153" t="s">
        <v>2286</v>
      </c>
      <c r="C16" s="153" t="s">
        <v>2346</v>
      </c>
      <c r="D16" s="168">
        <v>4</v>
      </c>
      <c r="E16" s="153" t="s">
        <v>2246</v>
      </c>
      <c r="F16" s="153" t="s">
        <v>619</v>
      </c>
      <c r="G16" s="153" t="s">
        <v>2346</v>
      </c>
      <c r="H16" s="153" t="s">
        <v>2345</v>
      </c>
      <c r="I16" s="153"/>
      <c r="J16" s="153" t="s">
        <v>351</v>
      </c>
      <c r="K16" s="153" t="s">
        <v>79</v>
      </c>
      <c r="L16" s="153" t="s">
        <v>2286</v>
      </c>
      <c r="M16" s="153" t="s">
        <v>2346</v>
      </c>
      <c r="N16" s="153" t="s">
        <v>2748</v>
      </c>
      <c r="P16" s="153">
        <v>601</v>
      </c>
      <c r="R16" s="153"/>
      <c r="S16" s="153"/>
    </row>
    <row r="17" spans="1:19" s="58" customFormat="1" ht="18" customHeight="1">
      <c r="A17" s="153">
        <v>11</v>
      </c>
      <c r="B17" s="153" t="s">
        <v>2287</v>
      </c>
      <c r="C17" s="153" t="s">
        <v>1323</v>
      </c>
      <c r="D17" s="168">
        <v>1</v>
      </c>
      <c r="E17" s="153" t="s">
        <v>2248</v>
      </c>
      <c r="F17" s="153" t="s">
        <v>619</v>
      </c>
      <c r="G17" s="153" t="s">
        <v>1323</v>
      </c>
      <c r="H17" s="153" t="s">
        <v>2334</v>
      </c>
      <c r="I17" s="153"/>
      <c r="J17" s="153" t="s">
        <v>351</v>
      </c>
      <c r="K17" s="153" t="s">
        <v>79</v>
      </c>
      <c r="L17" s="153" t="s">
        <v>2287</v>
      </c>
      <c r="M17" s="153" t="s">
        <v>1323</v>
      </c>
      <c r="N17" s="153" t="s">
        <v>2749</v>
      </c>
      <c r="P17" s="153">
        <v>602</v>
      </c>
      <c r="R17" s="153"/>
      <c r="S17" s="153"/>
    </row>
    <row r="18" spans="1:19" s="58" customFormat="1" ht="18" customHeight="1">
      <c r="A18" s="153">
        <v>12</v>
      </c>
      <c r="B18" s="153" t="s">
        <v>2287</v>
      </c>
      <c r="C18" s="153" t="s">
        <v>2335</v>
      </c>
      <c r="D18" s="168">
        <v>2</v>
      </c>
      <c r="E18" s="153" t="s">
        <v>2248</v>
      </c>
      <c r="F18" s="153" t="s">
        <v>619</v>
      </c>
      <c r="G18" s="153" t="s">
        <v>2335</v>
      </c>
      <c r="H18" s="153" t="s">
        <v>2334</v>
      </c>
      <c r="I18" s="153"/>
      <c r="J18" s="153" t="s">
        <v>351</v>
      </c>
      <c r="K18" s="153" t="s">
        <v>79</v>
      </c>
      <c r="L18" s="153" t="s">
        <v>2287</v>
      </c>
      <c r="M18" s="153" t="s">
        <v>2335</v>
      </c>
      <c r="N18" s="153" t="s">
        <v>2749</v>
      </c>
      <c r="P18" s="153">
        <v>603</v>
      </c>
      <c r="R18" s="153"/>
      <c r="S18" s="153"/>
    </row>
    <row r="19" spans="1:19" s="58" customFormat="1" ht="18" customHeight="1">
      <c r="A19" s="153">
        <v>13</v>
      </c>
      <c r="B19" s="153" t="s">
        <v>2287</v>
      </c>
      <c r="C19" s="153" t="s">
        <v>2336</v>
      </c>
      <c r="D19" s="168">
        <v>3</v>
      </c>
      <c r="E19" s="153" t="s">
        <v>2248</v>
      </c>
      <c r="F19" s="153" t="s">
        <v>619</v>
      </c>
      <c r="G19" s="153" t="s">
        <v>2336</v>
      </c>
      <c r="H19" s="153" t="s">
        <v>2334</v>
      </c>
      <c r="I19" s="153"/>
      <c r="J19" s="153" t="s">
        <v>351</v>
      </c>
      <c r="K19" s="153" t="s">
        <v>79</v>
      </c>
      <c r="L19" s="153" t="s">
        <v>2287</v>
      </c>
      <c r="M19" s="153" t="s">
        <v>2336</v>
      </c>
      <c r="N19" s="153" t="s">
        <v>2749</v>
      </c>
      <c r="P19" s="153">
        <v>604</v>
      </c>
      <c r="R19" s="153"/>
      <c r="S19" s="153"/>
    </row>
    <row r="20" spans="1:19" s="58" customFormat="1" ht="18" customHeight="1">
      <c r="A20" s="153">
        <v>969</v>
      </c>
      <c r="B20" s="153" t="s">
        <v>2297</v>
      </c>
      <c r="C20" s="153" t="s">
        <v>2570</v>
      </c>
      <c r="D20" s="168">
        <v>0</v>
      </c>
      <c r="E20" s="153" t="s">
        <v>2241</v>
      </c>
      <c r="F20" s="153"/>
      <c r="G20" s="153" t="s">
        <v>2570</v>
      </c>
      <c r="H20" s="153" t="s">
        <v>2572</v>
      </c>
      <c r="I20" s="153" t="s">
        <v>2646</v>
      </c>
      <c r="J20" s="153" t="s">
        <v>351</v>
      </c>
      <c r="K20" s="153" t="s">
        <v>84</v>
      </c>
      <c r="L20" s="153" t="s">
        <v>2297</v>
      </c>
      <c r="M20" s="153" t="s">
        <v>2570</v>
      </c>
      <c r="N20" s="153"/>
      <c r="O20" s="58" t="s">
        <v>879</v>
      </c>
      <c r="P20" s="153"/>
      <c r="Q20" s="58">
        <v>15</v>
      </c>
      <c r="R20" s="153"/>
      <c r="S20" s="153"/>
    </row>
    <row r="21" spans="1:19" s="58" customFormat="1" ht="18" customHeight="1">
      <c r="A21" s="153">
        <v>970</v>
      </c>
      <c r="B21" s="153" t="s">
        <v>2297</v>
      </c>
      <c r="C21" s="153" t="s">
        <v>2571</v>
      </c>
      <c r="D21" s="168">
        <v>0</v>
      </c>
      <c r="E21" s="153" t="s">
        <v>2241</v>
      </c>
      <c r="F21" s="153"/>
      <c r="G21" s="153" t="s">
        <v>2571</v>
      </c>
      <c r="H21" s="153" t="s">
        <v>2572</v>
      </c>
      <c r="I21" s="153" t="s">
        <v>2646</v>
      </c>
      <c r="J21" s="153" t="s">
        <v>351</v>
      </c>
      <c r="K21" s="153" t="s">
        <v>84</v>
      </c>
      <c r="L21" s="153" t="s">
        <v>2297</v>
      </c>
      <c r="M21" s="153" t="s">
        <v>2571</v>
      </c>
      <c r="N21" s="153"/>
      <c r="O21" s="58" t="s">
        <v>879</v>
      </c>
      <c r="P21" s="153"/>
      <c r="Q21" s="58">
        <v>16</v>
      </c>
      <c r="R21" s="153"/>
      <c r="S21" s="153"/>
    </row>
    <row r="22" spans="1:19" s="58" customFormat="1" ht="18" customHeight="1">
      <c r="A22" s="153">
        <v>971</v>
      </c>
      <c r="B22" s="153" t="s">
        <v>2297</v>
      </c>
      <c r="C22" s="153" t="s">
        <v>554</v>
      </c>
      <c r="D22" s="168">
        <v>0</v>
      </c>
      <c r="E22" s="153" t="s">
        <v>2241</v>
      </c>
      <c r="F22" s="153"/>
      <c r="G22" s="153" t="s">
        <v>554</v>
      </c>
      <c r="H22" s="153" t="s">
        <v>2572</v>
      </c>
      <c r="I22" s="153" t="s">
        <v>2646</v>
      </c>
      <c r="J22" s="153" t="s">
        <v>351</v>
      </c>
      <c r="K22" s="153" t="s">
        <v>84</v>
      </c>
      <c r="L22" s="153" t="s">
        <v>2297</v>
      </c>
      <c r="M22" s="153" t="s">
        <v>554</v>
      </c>
      <c r="N22" s="153"/>
      <c r="O22" s="58" t="s">
        <v>879</v>
      </c>
      <c r="P22" s="153"/>
      <c r="Q22" s="58">
        <v>17</v>
      </c>
      <c r="R22" s="153"/>
      <c r="S22" s="153"/>
    </row>
    <row r="23" spans="1:19" s="58" customFormat="1" ht="18" customHeight="1">
      <c r="A23" s="153">
        <v>19</v>
      </c>
      <c r="B23" s="153" t="s">
        <v>2285</v>
      </c>
      <c r="C23" s="153" t="s">
        <v>2326</v>
      </c>
      <c r="D23" s="168">
        <v>1</v>
      </c>
      <c r="E23" s="153" t="s">
        <v>2244</v>
      </c>
      <c r="F23" s="153" t="s">
        <v>619</v>
      </c>
      <c r="G23" s="153" t="s">
        <v>2326</v>
      </c>
      <c r="H23" s="153" t="s">
        <v>2327</v>
      </c>
      <c r="I23" s="153"/>
      <c r="J23" s="153" t="s">
        <v>351</v>
      </c>
      <c r="K23" s="153" t="s">
        <v>353</v>
      </c>
      <c r="L23" s="153" t="s">
        <v>2285</v>
      </c>
      <c r="M23" s="153" t="s">
        <v>2326</v>
      </c>
      <c r="N23" s="153" t="s">
        <v>2750</v>
      </c>
      <c r="O23" s="58" t="s">
        <v>2976</v>
      </c>
      <c r="P23" s="153">
        <v>355</v>
      </c>
      <c r="Q23" s="58">
        <v>358</v>
      </c>
      <c r="R23" s="153"/>
      <c r="S23" s="153"/>
    </row>
    <row r="24" spans="1:19" s="58" customFormat="1" ht="18" customHeight="1">
      <c r="A24" s="153">
        <v>20</v>
      </c>
      <c r="B24" s="153" t="s">
        <v>2285</v>
      </c>
      <c r="C24" s="153" t="s">
        <v>2328</v>
      </c>
      <c r="D24" s="168">
        <v>2</v>
      </c>
      <c r="E24" s="153" t="s">
        <v>2244</v>
      </c>
      <c r="F24" s="153" t="s">
        <v>619</v>
      </c>
      <c r="G24" s="153" t="s">
        <v>2328</v>
      </c>
      <c r="H24" s="153" t="s">
        <v>2327</v>
      </c>
      <c r="I24" s="153"/>
      <c r="J24" s="153" t="s">
        <v>351</v>
      </c>
      <c r="K24" s="153" t="s">
        <v>353</v>
      </c>
      <c r="L24" s="153" t="s">
        <v>2285</v>
      </c>
      <c r="M24" s="153" t="s">
        <v>2328</v>
      </c>
      <c r="N24" s="153" t="s">
        <v>2750</v>
      </c>
      <c r="O24" s="58" t="s">
        <v>2976</v>
      </c>
      <c r="P24" s="153">
        <v>356</v>
      </c>
      <c r="Q24" s="58">
        <v>359</v>
      </c>
      <c r="R24" s="153"/>
      <c r="S24" s="153"/>
    </row>
    <row r="25" spans="1:19" s="58" customFormat="1" ht="18" customHeight="1">
      <c r="A25" s="153">
        <v>21</v>
      </c>
      <c r="B25" s="153" t="s">
        <v>2285</v>
      </c>
      <c r="C25" s="153" t="s">
        <v>2329</v>
      </c>
      <c r="D25" s="168">
        <v>3</v>
      </c>
      <c r="E25" s="153" t="s">
        <v>2244</v>
      </c>
      <c r="F25" s="153" t="s">
        <v>619</v>
      </c>
      <c r="G25" s="153" t="s">
        <v>2329</v>
      </c>
      <c r="H25" s="153" t="s">
        <v>2327</v>
      </c>
      <c r="I25" s="153"/>
      <c r="J25" s="153" t="s">
        <v>351</v>
      </c>
      <c r="K25" s="153" t="s">
        <v>353</v>
      </c>
      <c r="L25" s="153" t="s">
        <v>2285</v>
      </c>
      <c r="M25" s="153" t="s">
        <v>2329</v>
      </c>
      <c r="N25" s="153" t="s">
        <v>2750</v>
      </c>
      <c r="O25" s="58" t="s">
        <v>2976</v>
      </c>
      <c r="P25" s="153">
        <v>357</v>
      </c>
      <c r="Q25" s="58">
        <v>360</v>
      </c>
      <c r="R25" s="153"/>
      <c r="S25" s="153"/>
    </row>
    <row r="26" spans="1:19" s="58" customFormat="1" ht="18" customHeight="1">
      <c r="A26" s="153">
        <v>36</v>
      </c>
      <c r="B26" s="153" t="s">
        <v>2410</v>
      </c>
      <c r="C26" s="153" t="s">
        <v>1312</v>
      </c>
      <c r="D26" s="168">
        <v>1</v>
      </c>
      <c r="E26" s="153" t="s">
        <v>117</v>
      </c>
      <c r="F26" s="153"/>
      <c r="G26" s="153" t="s">
        <v>1312</v>
      </c>
      <c r="H26" s="153" t="s">
        <v>1600</v>
      </c>
      <c r="I26" s="153" t="s">
        <v>2646</v>
      </c>
      <c r="J26" s="153" t="s">
        <v>351</v>
      </c>
      <c r="K26" s="153" t="s">
        <v>79</v>
      </c>
      <c r="L26" s="153" t="s">
        <v>2410</v>
      </c>
      <c r="M26" s="153" t="s">
        <v>1312</v>
      </c>
      <c r="N26" s="153" t="s">
        <v>2751</v>
      </c>
      <c r="P26" s="153">
        <v>476</v>
      </c>
      <c r="R26" s="153"/>
      <c r="S26" s="153"/>
    </row>
    <row r="27" spans="1:19" s="58" customFormat="1" ht="18" customHeight="1">
      <c r="A27" s="153">
        <v>37</v>
      </c>
      <c r="B27" s="153" t="s">
        <v>2410</v>
      </c>
      <c r="C27" s="153" t="s">
        <v>1313</v>
      </c>
      <c r="D27" s="168">
        <v>2</v>
      </c>
      <c r="E27" s="153" t="s">
        <v>117</v>
      </c>
      <c r="F27" s="153"/>
      <c r="G27" s="153" t="s">
        <v>1313</v>
      </c>
      <c r="H27" s="153" t="s">
        <v>1600</v>
      </c>
      <c r="I27" s="153" t="s">
        <v>2646</v>
      </c>
      <c r="J27" s="153" t="s">
        <v>351</v>
      </c>
      <c r="K27" s="153" t="s">
        <v>79</v>
      </c>
      <c r="L27" s="153" t="s">
        <v>2410</v>
      </c>
      <c r="M27" s="153" t="s">
        <v>1313</v>
      </c>
      <c r="N27" s="153" t="s">
        <v>2751</v>
      </c>
      <c r="P27" s="153">
        <v>478</v>
      </c>
      <c r="R27" s="153"/>
      <c r="S27" s="153"/>
    </row>
    <row r="28" spans="1:19" s="58" customFormat="1" ht="18" customHeight="1">
      <c r="A28" s="153">
        <v>38</v>
      </c>
      <c r="B28" s="153" t="s">
        <v>2410</v>
      </c>
      <c r="C28" s="153" t="s">
        <v>1314</v>
      </c>
      <c r="D28" s="168">
        <v>3</v>
      </c>
      <c r="E28" s="153" t="s">
        <v>117</v>
      </c>
      <c r="F28" s="153"/>
      <c r="G28" s="153" t="s">
        <v>1314</v>
      </c>
      <c r="H28" s="153" t="s">
        <v>1600</v>
      </c>
      <c r="I28" s="153" t="s">
        <v>2646</v>
      </c>
      <c r="J28" s="153" t="s">
        <v>351</v>
      </c>
      <c r="K28" s="153" t="s">
        <v>79</v>
      </c>
      <c r="L28" s="153" t="s">
        <v>2410</v>
      </c>
      <c r="M28" s="153" t="s">
        <v>1314</v>
      </c>
      <c r="N28" s="153" t="s">
        <v>2751</v>
      </c>
      <c r="P28" s="153">
        <v>479</v>
      </c>
      <c r="R28" s="153"/>
      <c r="S28" s="153"/>
    </row>
    <row r="29" spans="1:19" s="58" customFormat="1" ht="18" customHeight="1">
      <c r="A29" s="153">
        <v>39</v>
      </c>
      <c r="B29" s="153" t="s">
        <v>2410</v>
      </c>
      <c r="C29" s="153" t="s">
        <v>1315</v>
      </c>
      <c r="D29" s="168">
        <v>4</v>
      </c>
      <c r="E29" s="153" t="s">
        <v>117</v>
      </c>
      <c r="F29" s="153"/>
      <c r="G29" s="153" t="s">
        <v>1315</v>
      </c>
      <c r="H29" s="153" t="s">
        <v>1600</v>
      </c>
      <c r="I29" s="153" t="s">
        <v>2646</v>
      </c>
      <c r="J29" s="153" t="s">
        <v>351</v>
      </c>
      <c r="K29" s="153" t="s">
        <v>79</v>
      </c>
      <c r="L29" s="153" t="s">
        <v>2410</v>
      </c>
      <c r="M29" s="153" t="s">
        <v>1315</v>
      </c>
      <c r="N29" s="153" t="s">
        <v>2751</v>
      </c>
      <c r="P29" s="153">
        <v>482</v>
      </c>
      <c r="R29" s="153"/>
      <c r="S29" s="153"/>
    </row>
    <row r="30" spans="1:19" s="58" customFormat="1" ht="18" customHeight="1">
      <c r="A30" s="153">
        <v>40</v>
      </c>
      <c r="B30" s="153" t="s">
        <v>2410</v>
      </c>
      <c r="C30" s="153" t="s">
        <v>1316</v>
      </c>
      <c r="D30" s="168">
        <v>1</v>
      </c>
      <c r="E30" s="153" t="s">
        <v>117</v>
      </c>
      <c r="F30" s="153"/>
      <c r="G30" s="153" t="s">
        <v>1316</v>
      </c>
      <c r="H30" s="153" t="s">
        <v>1600</v>
      </c>
      <c r="I30" s="153" t="s">
        <v>2646</v>
      </c>
      <c r="J30" s="153" t="s">
        <v>351</v>
      </c>
      <c r="K30" s="153" t="s">
        <v>79</v>
      </c>
      <c r="L30" s="153" t="s">
        <v>2410</v>
      </c>
      <c r="M30" s="153" t="s">
        <v>1316</v>
      </c>
      <c r="N30" s="153" t="s">
        <v>2751</v>
      </c>
      <c r="P30" s="153">
        <v>475</v>
      </c>
      <c r="R30" s="153"/>
      <c r="S30" s="153"/>
    </row>
    <row r="31" spans="1:19" s="58" customFormat="1" ht="18" customHeight="1">
      <c r="A31" s="153">
        <v>41</v>
      </c>
      <c r="B31" s="153" t="s">
        <v>2410</v>
      </c>
      <c r="C31" s="153" t="s">
        <v>1317</v>
      </c>
      <c r="D31" s="168">
        <v>2</v>
      </c>
      <c r="E31" s="153" t="s">
        <v>117</v>
      </c>
      <c r="F31" s="153"/>
      <c r="G31" s="153" t="s">
        <v>1317</v>
      </c>
      <c r="H31" s="153" t="s">
        <v>1600</v>
      </c>
      <c r="I31" s="153" t="s">
        <v>2646</v>
      </c>
      <c r="J31" s="153" t="s">
        <v>351</v>
      </c>
      <c r="K31" s="153" t="s">
        <v>79</v>
      </c>
      <c r="L31" s="153" t="s">
        <v>2410</v>
      </c>
      <c r="M31" s="153" t="s">
        <v>1317</v>
      </c>
      <c r="N31" s="153" t="s">
        <v>2751</v>
      </c>
      <c r="P31" s="153">
        <v>477</v>
      </c>
      <c r="R31" s="153"/>
      <c r="S31" s="153"/>
    </row>
    <row r="32" spans="1:19" s="58" customFormat="1" ht="18" customHeight="1">
      <c r="A32" s="153">
        <v>42</v>
      </c>
      <c r="B32" s="153" t="s">
        <v>2410</v>
      </c>
      <c r="C32" s="153" t="s">
        <v>1318</v>
      </c>
      <c r="D32" s="168">
        <v>3</v>
      </c>
      <c r="E32" s="153" t="s">
        <v>117</v>
      </c>
      <c r="F32" s="153"/>
      <c r="G32" s="153" t="s">
        <v>1318</v>
      </c>
      <c r="H32" s="153" t="s">
        <v>1600</v>
      </c>
      <c r="I32" s="153" t="s">
        <v>2646</v>
      </c>
      <c r="J32" s="153" t="s">
        <v>351</v>
      </c>
      <c r="K32" s="153" t="s">
        <v>79</v>
      </c>
      <c r="L32" s="153" t="s">
        <v>2410</v>
      </c>
      <c r="M32" s="153" t="s">
        <v>1318</v>
      </c>
      <c r="N32" s="153" t="s">
        <v>2751</v>
      </c>
      <c r="P32" s="153">
        <v>480</v>
      </c>
      <c r="R32" s="153"/>
      <c r="S32" s="153"/>
    </row>
    <row r="33" spans="1:19" s="58" customFormat="1" ht="18" customHeight="1">
      <c r="A33" s="153">
        <v>43</v>
      </c>
      <c r="B33" s="153" t="s">
        <v>2410</v>
      </c>
      <c r="C33" s="153" t="s">
        <v>1319</v>
      </c>
      <c r="D33" s="168">
        <v>4</v>
      </c>
      <c r="E33" s="153" t="s">
        <v>117</v>
      </c>
      <c r="F33" s="153"/>
      <c r="G33" s="153" t="s">
        <v>1319</v>
      </c>
      <c r="H33" s="153" t="s">
        <v>1600</v>
      </c>
      <c r="I33" s="153" t="s">
        <v>2646</v>
      </c>
      <c r="J33" s="153" t="s">
        <v>351</v>
      </c>
      <c r="K33" s="153" t="s">
        <v>79</v>
      </c>
      <c r="L33" s="153" t="s">
        <v>2410</v>
      </c>
      <c r="M33" s="153" t="s">
        <v>1319</v>
      </c>
      <c r="N33" s="153" t="s">
        <v>2751</v>
      </c>
      <c r="P33" s="153">
        <v>484</v>
      </c>
      <c r="R33" s="153"/>
      <c r="S33" s="153"/>
    </row>
    <row r="34" spans="1:19" s="58" customFormat="1" ht="18" customHeight="1">
      <c r="A34" s="153">
        <v>44</v>
      </c>
      <c r="B34" s="153" t="s">
        <v>2410</v>
      </c>
      <c r="C34" s="153" t="s">
        <v>554</v>
      </c>
      <c r="D34" s="168">
        <v>3</v>
      </c>
      <c r="E34" s="153" t="s">
        <v>117</v>
      </c>
      <c r="F34" s="153"/>
      <c r="G34" s="153" t="s">
        <v>554</v>
      </c>
      <c r="H34" s="153" t="s">
        <v>1600</v>
      </c>
      <c r="I34" s="153" t="s">
        <v>2646</v>
      </c>
      <c r="J34" s="153" t="s">
        <v>351</v>
      </c>
      <c r="K34" s="153" t="s">
        <v>79</v>
      </c>
      <c r="L34" s="153" t="s">
        <v>2410</v>
      </c>
      <c r="M34" s="153" t="s">
        <v>554</v>
      </c>
      <c r="N34" s="153" t="s">
        <v>2751</v>
      </c>
      <c r="P34" s="153">
        <v>481</v>
      </c>
      <c r="R34" s="153"/>
      <c r="S34" s="153"/>
    </row>
    <row r="35" spans="1:19" s="58" customFormat="1" ht="18" customHeight="1">
      <c r="A35" s="153">
        <v>45</v>
      </c>
      <c r="B35" s="153" t="s">
        <v>2410</v>
      </c>
      <c r="C35" s="153" t="s">
        <v>553</v>
      </c>
      <c r="D35" s="168">
        <v>4</v>
      </c>
      <c r="E35" s="153" t="s">
        <v>117</v>
      </c>
      <c r="F35" s="153"/>
      <c r="G35" s="153" t="s">
        <v>553</v>
      </c>
      <c r="H35" s="153" t="s">
        <v>1600</v>
      </c>
      <c r="I35" s="153" t="s">
        <v>2646</v>
      </c>
      <c r="J35" s="153" t="s">
        <v>351</v>
      </c>
      <c r="K35" s="153" t="s">
        <v>79</v>
      </c>
      <c r="L35" s="153" t="s">
        <v>2410</v>
      </c>
      <c r="M35" s="153" t="s">
        <v>553</v>
      </c>
      <c r="N35" s="153" t="s">
        <v>2751</v>
      </c>
      <c r="P35" s="153">
        <v>483</v>
      </c>
      <c r="R35" s="153"/>
      <c r="S35" s="153"/>
    </row>
    <row r="36" spans="1:19" s="58" customFormat="1" ht="18" customHeight="1">
      <c r="A36" s="153">
        <v>61</v>
      </c>
      <c r="B36" s="153" t="s">
        <v>1320</v>
      </c>
      <c r="C36" s="153" t="s">
        <v>2427</v>
      </c>
      <c r="D36" s="168"/>
      <c r="E36" s="153" t="s">
        <v>2081</v>
      </c>
      <c r="F36" s="153"/>
      <c r="G36" s="153" t="s">
        <v>1321</v>
      </c>
      <c r="H36" s="153" t="s">
        <v>1603</v>
      </c>
      <c r="I36" s="153" t="s">
        <v>2646</v>
      </c>
      <c r="J36" s="153" t="s">
        <v>351</v>
      </c>
      <c r="K36" s="153" t="s">
        <v>84</v>
      </c>
      <c r="L36" s="153" t="s">
        <v>1320</v>
      </c>
      <c r="M36" s="153" t="s">
        <v>2427</v>
      </c>
      <c r="N36" s="153"/>
      <c r="O36" s="58" t="s">
        <v>2752</v>
      </c>
      <c r="P36" s="153"/>
      <c r="Q36" s="58">
        <v>385</v>
      </c>
      <c r="R36" s="153"/>
      <c r="S36" s="153"/>
    </row>
    <row r="37" spans="1:19" s="58" customFormat="1" ht="18" customHeight="1">
      <c r="A37" s="153">
        <v>62</v>
      </c>
      <c r="B37" s="153" t="s">
        <v>1320</v>
      </c>
      <c r="C37" s="153" t="s">
        <v>2428</v>
      </c>
      <c r="D37" s="168"/>
      <c r="E37" s="153" t="s">
        <v>2081</v>
      </c>
      <c r="F37" s="153"/>
      <c r="G37" s="153" t="s">
        <v>1323</v>
      </c>
      <c r="H37" s="153" t="s">
        <v>1603</v>
      </c>
      <c r="I37" s="153" t="s">
        <v>2646</v>
      </c>
      <c r="J37" s="153" t="s">
        <v>351</v>
      </c>
      <c r="K37" s="153" t="s">
        <v>84</v>
      </c>
      <c r="L37" s="153" t="s">
        <v>1320</v>
      </c>
      <c r="M37" s="153" t="s">
        <v>2428</v>
      </c>
      <c r="N37" s="153"/>
      <c r="O37" s="58" t="s">
        <v>2752</v>
      </c>
      <c r="P37" s="153"/>
      <c r="Q37" s="58">
        <v>383</v>
      </c>
      <c r="R37" s="153"/>
      <c r="S37" s="153"/>
    </row>
    <row r="38" spans="1:19" s="58" customFormat="1" ht="18" customHeight="1">
      <c r="A38" s="153">
        <v>63</v>
      </c>
      <c r="B38" s="153" t="s">
        <v>1320</v>
      </c>
      <c r="C38" s="153" t="s">
        <v>524</v>
      </c>
      <c r="D38" s="168"/>
      <c r="E38" s="153" t="s">
        <v>2081</v>
      </c>
      <c r="F38" s="153"/>
      <c r="G38" s="153" t="s">
        <v>1324</v>
      </c>
      <c r="H38" s="153" t="s">
        <v>1603</v>
      </c>
      <c r="I38" s="153" t="s">
        <v>2646</v>
      </c>
      <c r="J38" s="153" t="s">
        <v>351</v>
      </c>
      <c r="K38" s="153" t="s">
        <v>84</v>
      </c>
      <c r="L38" s="153" t="s">
        <v>1320</v>
      </c>
      <c r="M38" s="153" t="s">
        <v>524</v>
      </c>
      <c r="N38" s="153"/>
      <c r="O38" s="58" t="s">
        <v>2752</v>
      </c>
      <c r="P38" s="153"/>
      <c r="Q38" s="58">
        <v>384</v>
      </c>
      <c r="R38" s="153"/>
      <c r="S38" s="153"/>
    </row>
    <row r="39" spans="1:19" s="58" customFormat="1" ht="18" customHeight="1">
      <c r="A39" s="153">
        <v>64</v>
      </c>
      <c r="B39" s="153" t="s">
        <v>1320</v>
      </c>
      <c r="C39" s="153" t="s">
        <v>192</v>
      </c>
      <c r="D39" s="168"/>
      <c r="E39" s="153" t="s">
        <v>2081</v>
      </c>
      <c r="F39" s="153"/>
      <c r="G39" s="153" t="s">
        <v>1325</v>
      </c>
      <c r="H39" s="153" t="s">
        <v>1603</v>
      </c>
      <c r="I39" s="153" t="s">
        <v>2646</v>
      </c>
      <c r="J39" s="153" t="s">
        <v>351</v>
      </c>
      <c r="K39" s="153" t="s">
        <v>84</v>
      </c>
      <c r="L39" s="153" t="s">
        <v>1320</v>
      </c>
      <c r="M39" s="153" t="s">
        <v>192</v>
      </c>
      <c r="N39" s="153"/>
      <c r="O39" s="58" t="s">
        <v>2752</v>
      </c>
      <c r="P39" s="153"/>
      <c r="Q39" s="58">
        <v>386</v>
      </c>
      <c r="R39" s="153"/>
      <c r="S39" s="153"/>
    </row>
    <row r="40" spans="1:19" s="58" customFormat="1" ht="18" customHeight="1">
      <c r="A40" s="153">
        <v>65</v>
      </c>
      <c r="B40" s="153" t="s">
        <v>1320</v>
      </c>
      <c r="C40" s="153" t="s">
        <v>2429</v>
      </c>
      <c r="D40" s="168"/>
      <c r="E40" s="153" t="s">
        <v>2081</v>
      </c>
      <c r="F40" s="153"/>
      <c r="G40" s="153" t="s">
        <v>1326</v>
      </c>
      <c r="H40" s="153" t="s">
        <v>1603</v>
      </c>
      <c r="I40" s="153" t="s">
        <v>2646</v>
      </c>
      <c r="J40" s="153" t="s">
        <v>351</v>
      </c>
      <c r="K40" s="153" t="s">
        <v>84</v>
      </c>
      <c r="L40" s="153" t="s">
        <v>1320</v>
      </c>
      <c r="M40" s="153" t="s">
        <v>2429</v>
      </c>
      <c r="N40" s="153"/>
      <c r="O40" s="58" t="s">
        <v>2752</v>
      </c>
      <c r="P40" s="153"/>
      <c r="Q40" s="58">
        <v>382</v>
      </c>
      <c r="R40" s="153"/>
      <c r="S40" s="153"/>
    </row>
    <row r="41" spans="1:19" s="58" customFormat="1" ht="18" customHeight="1">
      <c r="A41" s="153">
        <v>884</v>
      </c>
      <c r="B41" s="153" t="s">
        <v>2085</v>
      </c>
      <c r="C41" s="153" t="s">
        <v>358</v>
      </c>
      <c r="D41" s="168">
        <v>1</v>
      </c>
      <c r="E41" s="153" t="s">
        <v>2086</v>
      </c>
      <c r="F41" s="153" t="s">
        <v>619</v>
      </c>
      <c r="G41" s="153" t="s">
        <v>358</v>
      </c>
      <c r="H41" s="153" t="s">
        <v>2087</v>
      </c>
      <c r="I41" s="153"/>
      <c r="J41" s="153" t="s">
        <v>351</v>
      </c>
      <c r="K41" s="153" t="s">
        <v>84</v>
      </c>
      <c r="L41" s="153" t="s">
        <v>2085</v>
      </c>
      <c r="M41" s="153" t="s">
        <v>358</v>
      </c>
      <c r="N41" s="153"/>
      <c r="O41" s="58" t="s">
        <v>2902</v>
      </c>
      <c r="P41" s="153"/>
      <c r="Q41" s="58">
        <v>564</v>
      </c>
      <c r="R41" s="153"/>
      <c r="S41" s="153"/>
    </row>
    <row r="42" spans="1:19" s="58" customFormat="1" ht="18" customHeight="1">
      <c r="A42" s="153">
        <v>885</v>
      </c>
      <c r="B42" s="153" t="s">
        <v>2085</v>
      </c>
      <c r="C42" s="153" t="s">
        <v>2088</v>
      </c>
      <c r="D42" s="168">
        <v>2</v>
      </c>
      <c r="E42" s="153" t="s">
        <v>2086</v>
      </c>
      <c r="F42" s="153" t="s">
        <v>619</v>
      </c>
      <c r="G42" s="153" t="s">
        <v>2088</v>
      </c>
      <c r="H42" s="153" t="s">
        <v>2087</v>
      </c>
      <c r="I42" s="153"/>
      <c r="J42" s="153" t="s">
        <v>351</v>
      </c>
      <c r="K42" s="153" t="s">
        <v>84</v>
      </c>
      <c r="L42" s="153" t="s">
        <v>2085</v>
      </c>
      <c r="M42" s="153" t="s">
        <v>2088</v>
      </c>
      <c r="N42" s="153"/>
      <c r="O42" s="58" t="s">
        <v>2902</v>
      </c>
      <c r="P42" s="153"/>
      <c r="Q42" s="58">
        <v>565</v>
      </c>
      <c r="R42" s="153"/>
      <c r="S42" s="153"/>
    </row>
    <row r="43" spans="1:19" s="58" customFormat="1" ht="18" customHeight="1">
      <c r="A43" s="153">
        <v>886</v>
      </c>
      <c r="B43" s="153" t="s">
        <v>2085</v>
      </c>
      <c r="C43" s="153" t="s">
        <v>2089</v>
      </c>
      <c r="D43" s="168">
        <v>3</v>
      </c>
      <c r="E43" s="153" t="s">
        <v>2086</v>
      </c>
      <c r="F43" s="153" t="s">
        <v>619</v>
      </c>
      <c r="G43" s="153" t="s">
        <v>2089</v>
      </c>
      <c r="H43" s="153" t="s">
        <v>2087</v>
      </c>
      <c r="I43" s="153"/>
      <c r="J43" s="153" t="s">
        <v>351</v>
      </c>
      <c r="K43" s="153" t="s">
        <v>84</v>
      </c>
      <c r="L43" s="153" t="s">
        <v>2085</v>
      </c>
      <c r="M43" s="153" t="s">
        <v>2089</v>
      </c>
      <c r="N43" s="153"/>
      <c r="O43" s="58" t="s">
        <v>2902</v>
      </c>
      <c r="P43" s="153"/>
      <c r="Q43" s="58">
        <v>566</v>
      </c>
      <c r="R43" s="153"/>
      <c r="S43" s="153"/>
    </row>
    <row r="44" spans="1:19" s="58" customFormat="1" ht="18" customHeight="1">
      <c r="A44" s="153">
        <v>887</v>
      </c>
      <c r="B44" s="153" t="s">
        <v>2085</v>
      </c>
      <c r="C44" s="153" t="s">
        <v>2090</v>
      </c>
      <c r="D44" s="168">
        <v>4</v>
      </c>
      <c r="E44" s="153" t="s">
        <v>2086</v>
      </c>
      <c r="F44" s="153" t="s">
        <v>619</v>
      </c>
      <c r="G44" s="153" t="s">
        <v>2090</v>
      </c>
      <c r="H44" s="153" t="s">
        <v>2087</v>
      </c>
      <c r="I44" s="153"/>
      <c r="J44" s="153" t="s">
        <v>351</v>
      </c>
      <c r="K44" s="153" t="s">
        <v>84</v>
      </c>
      <c r="L44" s="153" t="s">
        <v>2085</v>
      </c>
      <c r="M44" s="153" t="s">
        <v>2090</v>
      </c>
      <c r="N44" s="153"/>
      <c r="O44" s="58" t="s">
        <v>2902</v>
      </c>
      <c r="P44" s="153"/>
      <c r="Q44" s="58">
        <v>567</v>
      </c>
      <c r="R44" s="153"/>
      <c r="S44" s="153"/>
    </row>
    <row r="45" spans="1:19" s="58" customFormat="1" ht="18" customHeight="1">
      <c r="A45" s="153">
        <v>888</v>
      </c>
      <c r="B45" s="153" t="s">
        <v>2085</v>
      </c>
      <c r="C45" s="153" t="s">
        <v>2091</v>
      </c>
      <c r="D45" s="168">
        <v>5</v>
      </c>
      <c r="E45" s="153" t="s">
        <v>2086</v>
      </c>
      <c r="F45" s="153" t="s">
        <v>619</v>
      </c>
      <c r="G45" s="153" t="s">
        <v>2091</v>
      </c>
      <c r="H45" s="153" t="s">
        <v>2087</v>
      </c>
      <c r="I45" s="153"/>
      <c r="J45" s="153" t="s">
        <v>351</v>
      </c>
      <c r="K45" s="153" t="s">
        <v>84</v>
      </c>
      <c r="L45" s="153" t="s">
        <v>2085</v>
      </c>
      <c r="M45" s="153" t="s">
        <v>2091</v>
      </c>
      <c r="N45" s="153"/>
      <c r="O45" s="58" t="s">
        <v>2902</v>
      </c>
      <c r="P45" s="153"/>
      <c r="Q45" s="58">
        <v>568</v>
      </c>
      <c r="R45" s="153"/>
      <c r="S45" s="153"/>
    </row>
    <row r="46" spans="1:19" s="58" customFormat="1" ht="18" customHeight="1">
      <c r="A46" s="153">
        <v>46</v>
      </c>
      <c r="B46" s="153" t="s">
        <v>2289</v>
      </c>
      <c r="C46" s="153" t="s">
        <v>362</v>
      </c>
      <c r="D46" s="168">
        <v>1</v>
      </c>
      <c r="E46" s="153" t="s">
        <v>2254</v>
      </c>
      <c r="F46" s="153" t="s">
        <v>619</v>
      </c>
      <c r="G46" s="153" t="s">
        <v>362</v>
      </c>
      <c r="H46" s="153" t="s">
        <v>2340</v>
      </c>
      <c r="I46" s="153"/>
      <c r="J46" s="153" t="s">
        <v>351</v>
      </c>
      <c r="K46" s="153" t="s">
        <v>79</v>
      </c>
      <c r="L46" s="153" t="s">
        <v>2289</v>
      </c>
      <c r="M46" s="153" t="s">
        <v>362</v>
      </c>
      <c r="N46" s="153" t="s">
        <v>2753</v>
      </c>
      <c r="O46" s="58" t="s">
        <v>2978</v>
      </c>
      <c r="P46" s="153">
        <v>361</v>
      </c>
      <c r="Q46" s="58">
        <v>364</v>
      </c>
      <c r="R46" s="153"/>
      <c r="S46" s="153"/>
    </row>
    <row r="47" spans="1:19" s="58" customFormat="1" ht="18" customHeight="1">
      <c r="A47" s="153">
        <v>47</v>
      </c>
      <c r="B47" s="153" t="s">
        <v>2289</v>
      </c>
      <c r="C47" s="153" t="s">
        <v>2341</v>
      </c>
      <c r="D47" s="168">
        <v>2</v>
      </c>
      <c r="E47" s="153" t="s">
        <v>2254</v>
      </c>
      <c r="F47" s="153" t="s">
        <v>619</v>
      </c>
      <c r="G47" s="153" t="s">
        <v>2341</v>
      </c>
      <c r="H47" s="153" t="s">
        <v>2340</v>
      </c>
      <c r="I47" s="153"/>
      <c r="J47" s="153" t="s">
        <v>351</v>
      </c>
      <c r="K47" s="153" t="s">
        <v>79</v>
      </c>
      <c r="L47" s="153" t="s">
        <v>2289</v>
      </c>
      <c r="M47" s="153" t="s">
        <v>2341</v>
      </c>
      <c r="N47" s="153" t="s">
        <v>2753</v>
      </c>
      <c r="O47" s="58" t="s">
        <v>2978</v>
      </c>
      <c r="P47" s="153">
        <v>362</v>
      </c>
      <c r="Q47" s="58">
        <v>365</v>
      </c>
      <c r="R47" s="153"/>
      <c r="S47" s="153"/>
    </row>
    <row r="48" spans="1:19" s="58" customFormat="1" ht="18" customHeight="1">
      <c r="A48" s="153">
        <v>48</v>
      </c>
      <c r="B48" s="153" t="s">
        <v>2289</v>
      </c>
      <c r="C48" s="153" t="s">
        <v>862</v>
      </c>
      <c r="D48" s="168">
        <v>3</v>
      </c>
      <c r="E48" s="153" t="s">
        <v>2254</v>
      </c>
      <c r="F48" s="153" t="s">
        <v>619</v>
      </c>
      <c r="G48" s="153" t="s">
        <v>862</v>
      </c>
      <c r="H48" s="153" t="s">
        <v>2340</v>
      </c>
      <c r="I48" s="153"/>
      <c r="J48" s="153" t="s">
        <v>351</v>
      </c>
      <c r="K48" s="153" t="s">
        <v>79</v>
      </c>
      <c r="L48" s="153" t="s">
        <v>2289</v>
      </c>
      <c r="M48" s="153" t="s">
        <v>862</v>
      </c>
      <c r="N48" s="153" t="s">
        <v>2753</v>
      </c>
      <c r="O48" s="58" t="s">
        <v>2978</v>
      </c>
      <c r="P48" s="153">
        <v>363</v>
      </c>
      <c r="Q48" s="58">
        <v>366</v>
      </c>
      <c r="R48" s="153"/>
      <c r="S48" s="153"/>
    </row>
    <row r="49" spans="1:19" s="58" customFormat="1" ht="18" customHeight="1">
      <c r="A49" s="153">
        <v>49</v>
      </c>
      <c r="B49" s="153" t="s">
        <v>1729</v>
      </c>
      <c r="C49" s="153" t="s">
        <v>2318</v>
      </c>
      <c r="D49" s="168">
        <v>1</v>
      </c>
      <c r="E49" s="153" t="s">
        <v>2242</v>
      </c>
      <c r="F49" s="153" t="s">
        <v>619</v>
      </c>
      <c r="G49" s="153" t="s">
        <v>2318</v>
      </c>
      <c r="H49" s="153" t="s">
        <v>2319</v>
      </c>
      <c r="I49" s="153"/>
      <c r="J49" s="153" t="s">
        <v>351</v>
      </c>
      <c r="K49" s="153" t="s">
        <v>353</v>
      </c>
      <c r="L49" s="153" t="s">
        <v>1729</v>
      </c>
      <c r="M49" s="153" t="s">
        <v>2318</v>
      </c>
      <c r="N49" s="153" t="s">
        <v>2754</v>
      </c>
      <c r="O49" s="58" t="s">
        <v>2930</v>
      </c>
      <c r="P49" s="153">
        <v>367</v>
      </c>
      <c r="Q49" s="58">
        <v>370</v>
      </c>
      <c r="R49" s="153"/>
      <c r="S49" s="153"/>
    </row>
    <row r="50" spans="1:19" s="58" customFormat="1" ht="18" customHeight="1">
      <c r="A50" s="153">
        <v>50</v>
      </c>
      <c r="B50" s="153" t="s">
        <v>1729</v>
      </c>
      <c r="C50" s="153" t="s">
        <v>2320</v>
      </c>
      <c r="D50" s="168">
        <v>2</v>
      </c>
      <c r="E50" s="153" t="s">
        <v>2242</v>
      </c>
      <c r="F50" s="153" t="s">
        <v>619</v>
      </c>
      <c r="G50" s="153" t="s">
        <v>2320</v>
      </c>
      <c r="H50" s="153" t="s">
        <v>2319</v>
      </c>
      <c r="I50" s="153"/>
      <c r="J50" s="153" t="s">
        <v>351</v>
      </c>
      <c r="K50" s="153" t="s">
        <v>353</v>
      </c>
      <c r="L50" s="153" t="s">
        <v>1729</v>
      </c>
      <c r="M50" s="153" t="s">
        <v>2320</v>
      </c>
      <c r="N50" s="153" t="s">
        <v>2754</v>
      </c>
      <c r="O50" s="58" t="s">
        <v>2930</v>
      </c>
      <c r="P50" s="153">
        <v>368</v>
      </c>
      <c r="Q50" s="58">
        <v>371</v>
      </c>
      <c r="R50" s="153"/>
      <c r="S50" s="153"/>
    </row>
    <row r="51" spans="1:19" s="58" customFormat="1" ht="18" customHeight="1">
      <c r="A51" s="153">
        <v>51</v>
      </c>
      <c r="B51" s="153" t="s">
        <v>1729</v>
      </c>
      <c r="C51" s="153" t="s">
        <v>2321</v>
      </c>
      <c r="D51" s="168">
        <v>3</v>
      </c>
      <c r="E51" s="153" t="s">
        <v>2242</v>
      </c>
      <c r="F51" s="153" t="s">
        <v>619</v>
      </c>
      <c r="G51" s="153" t="s">
        <v>2321</v>
      </c>
      <c r="H51" s="153" t="s">
        <v>2319</v>
      </c>
      <c r="I51" s="153"/>
      <c r="J51" s="153" t="s">
        <v>351</v>
      </c>
      <c r="K51" s="153" t="s">
        <v>353</v>
      </c>
      <c r="L51" s="153" t="s">
        <v>1729</v>
      </c>
      <c r="M51" s="153" t="s">
        <v>2321</v>
      </c>
      <c r="N51" s="153" t="s">
        <v>2754</v>
      </c>
      <c r="O51" s="58" t="s">
        <v>2930</v>
      </c>
      <c r="P51" s="153">
        <v>369</v>
      </c>
      <c r="Q51" s="58">
        <v>372</v>
      </c>
      <c r="R51" s="153"/>
      <c r="S51" s="153"/>
    </row>
    <row r="52" spans="1:19" s="58" customFormat="1" ht="18" customHeight="1">
      <c r="A52" s="153">
        <v>73</v>
      </c>
      <c r="B52" s="153" t="s">
        <v>987</v>
      </c>
      <c r="C52" s="153" t="s">
        <v>2330</v>
      </c>
      <c r="D52" s="168">
        <v>1</v>
      </c>
      <c r="E52" s="153" t="s">
        <v>2245</v>
      </c>
      <c r="F52" s="153" t="s">
        <v>619</v>
      </c>
      <c r="G52" s="153" t="s">
        <v>2330</v>
      </c>
      <c r="H52" s="153" t="s">
        <v>2331</v>
      </c>
      <c r="I52" s="153"/>
      <c r="J52" s="153" t="s">
        <v>351</v>
      </c>
      <c r="K52" s="153" t="s">
        <v>353</v>
      </c>
      <c r="L52" s="153" t="s">
        <v>987</v>
      </c>
      <c r="M52" s="153" t="s">
        <v>2330</v>
      </c>
      <c r="N52" s="153" t="s">
        <v>2755</v>
      </c>
      <c r="O52" s="58" t="s">
        <v>2979</v>
      </c>
      <c r="P52" s="153">
        <v>387</v>
      </c>
      <c r="Q52" s="58">
        <v>390</v>
      </c>
      <c r="R52" s="153"/>
      <c r="S52" s="153"/>
    </row>
    <row r="53" spans="1:19" s="58" customFormat="1" ht="18" customHeight="1">
      <c r="A53" s="153">
        <v>74</v>
      </c>
      <c r="B53" s="153" t="s">
        <v>987</v>
      </c>
      <c r="C53" s="153" t="s">
        <v>2332</v>
      </c>
      <c r="D53" s="168">
        <v>2</v>
      </c>
      <c r="E53" s="153" t="s">
        <v>2245</v>
      </c>
      <c r="F53" s="153" t="s">
        <v>619</v>
      </c>
      <c r="G53" s="153" t="s">
        <v>2332</v>
      </c>
      <c r="H53" s="153" t="s">
        <v>2331</v>
      </c>
      <c r="I53" s="153"/>
      <c r="J53" s="153" t="s">
        <v>351</v>
      </c>
      <c r="K53" s="153" t="s">
        <v>353</v>
      </c>
      <c r="L53" s="153" t="s">
        <v>987</v>
      </c>
      <c r="M53" s="153" t="s">
        <v>2332</v>
      </c>
      <c r="N53" s="153" t="s">
        <v>2755</v>
      </c>
      <c r="O53" s="58" t="s">
        <v>2979</v>
      </c>
      <c r="P53" s="153">
        <v>388</v>
      </c>
      <c r="Q53" s="58">
        <v>391</v>
      </c>
      <c r="R53" s="153"/>
      <c r="S53" s="153"/>
    </row>
    <row r="54" spans="1:19" s="58" customFormat="1" ht="18" customHeight="1">
      <c r="A54" s="153">
        <v>75</v>
      </c>
      <c r="B54" s="153" t="s">
        <v>987</v>
      </c>
      <c r="C54" s="153" t="s">
        <v>2333</v>
      </c>
      <c r="D54" s="168">
        <v>3</v>
      </c>
      <c r="E54" s="153" t="s">
        <v>2245</v>
      </c>
      <c r="F54" s="153" t="s">
        <v>619</v>
      </c>
      <c r="G54" s="153" t="s">
        <v>2333</v>
      </c>
      <c r="H54" s="153" t="s">
        <v>2331</v>
      </c>
      <c r="I54" s="153"/>
      <c r="J54" s="153" t="s">
        <v>351</v>
      </c>
      <c r="K54" s="153" t="s">
        <v>353</v>
      </c>
      <c r="L54" s="153" t="s">
        <v>987</v>
      </c>
      <c r="M54" s="153" t="s">
        <v>2333</v>
      </c>
      <c r="N54" s="153" t="s">
        <v>2755</v>
      </c>
      <c r="O54" s="58" t="s">
        <v>2979</v>
      </c>
      <c r="P54" s="153">
        <v>389</v>
      </c>
      <c r="Q54" s="58">
        <v>392</v>
      </c>
      <c r="R54" s="153"/>
      <c r="S54" s="153"/>
    </row>
    <row r="55" spans="1:19" s="58" customFormat="1" ht="18" customHeight="1">
      <c r="A55" s="153">
        <v>79</v>
      </c>
      <c r="B55" s="153" t="s">
        <v>356</v>
      </c>
      <c r="C55" s="153" t="s">
        <v>357</v>
      </c>
      <c r="D55" s="168">
        <v>1</v>
      </c>
      <c r="E55" s="153" t="s">
        <v>120</v>
      </c>
      <c r="F55" s="153"/>
      <c r="G55" s="153" t="s">
        <v>357</v>
      </c>
      <c r="H55" s="153" t="s">
        <v>1604</v>
      </c>
      <c r="I55" s="153" t="s">
        <v>2646</v>
      </c>
      <c r="J55" s="153" t="s">
        <v>351</v>
      </c>
      <c r="K55" s="153" t="s">
        <v>353</v>
      </c>
      <c r="L55" s="153" t="s">
        <v>356</v>
      </c>
      <c r="M55" s="153" t="s">
        <v>357</v>
      </c>
      <c r="N55" s="153" t="s">
        <v>2756</v>
      </c>
      <c r="O55" s="58" t="s">
        <v>2903</v>
      </c>
      <c r="P55" s="153">
        <v>5</v>
      </c>
      <c r="Q55" s="58">
        <v>393</v>
      </c>
      <c r="R55" s="153"/>
      <c r="S55" s="153"/>
    </row>
    <row r="56" spans="1:19" s="58" customFormat="1" ht="18" customHeight="1">
      <c r="A56" s="153">
        <v>80</v>
      </c>
      <c r="B56" s="153" t="s">
        <v>356</v>
      </c>
      <c r="C56" s="153" t="s">
        <v>1335</v>
      </c>
      <c r="D56" s="168">
        <v>2</v>
      </c>
      <c r="E56" s="153" t="s">
        <v>120</v>
      </c>
      <c r="F56" s="153"/>
      <c r="G56" s="153" t="s">
        <v>1335</v>
      </c>
      <c r="H56" s="153" t="s">
        <v>1604</v>
      </c>
      <c r="I56" s="153" t="s">
        <v>2646</v>
      </c>
      <c r="J56" s="153" t="s">
        <v>351</v>
      </c>
      <c r="K56" s="153" t="s">
        <v>353</v>
      </c>
      <c r="L56" s="153" t="s">
        <v>356</v>
      </c>
      <c r="M56" s="153" t="s">
        <v>1335</v>
      </c>
      <c r="N56" s="153" t="s">
        <v>2756</v>
      </c>
      <c r="O56" s="58" t="s">
        <v>2903</v>
      </c>
      <c r="P56" s="153">
        <v>174</v>
      </c>
      <c r="Q56" s="58">
        <v>394</v>
      </c>
      <c r="R56" s="153"/>
      <c r="S56" s="153"/>
    </row>
    <row r="57" spans="1:19" s="58" customFormat="1" ht="18" customHeight="1">
      <c r="A57" s="153">
        <v>81</v>
      </c>
      <c r="B57" s="153" t="s">
        <v>356</v>
      </c>
      <c r="C57" s="153" t="s">
        <v>607</v>
      </c>
      <c r="D57" s="168">
        <v>3</v>
      </c>
      <c r="E57" s="153" t="s">
        <v>120</v>
      </c>
      <c r="F57" s="153"/>
      <c r="G57" s="153" t="s">
        <v>607</v>
      </c>
      <c r="H57" s="153" t="s">
        <v>1604</v>
      </c>
      <c r="I57" s="153" t="s">
        <v>2646</v>
      </c>
      <c r="J57" s="153" t="s">
        <v>351</v>
      </c>
      <c r="K57" s="153" t="s">
        <v>353</v>
      </c>
      <c r="L57" s="153" t="s">
        <v>356</v>
      </c>
      <c r="M57" s="153" t="s">
        <v>607</v>
      </c>
      <c r="N57" s="153" t="s">
        <v>2756</v>
      </c>
      <c r="O57" s="58" t="s">
        <v>2903</v>
      </c>
      <c r="P57" s="153">
        <v>318</v>
      </c>
      <c r="Q57" s="58">
        <v>395</v>
      </c>
      <c r="R57" s="153"/>
      <c r="S57" s="153"/>
    </row>
    <row r="58" spans="1:19" s="58" customFormat="1" ht="18" customHeight="1">
      <c r="A58" s="153">
        <v>82</v>
      </c>
      <c r="B58" s="153" t="s">
        <v>356</v>
      </c>
      <c r="C58" s="153" t="s">
        <v>199</v>
      </c>
      <c r="D58" s="168">
        <v>4</v>
      </c>
      <c r="E58" s="153" t="s">
        <v>120</v>
      </c>
      <c r="F58" s="153"/>
      <c r="G58" s="153" t="s">
        <v>199</v>
      </c>
      <c r="H58" s="153" t="s">
        <v>1604</v>
      </c>
      <c r="I58" s="153" t="s">
        <v>2646</v>
      </c>
      <c r="J58" s="153" t="s">
        <v>351</v>
      </c>
      <c r="K58" s="153" t="s">
        <v>353</v>
      </c>
      <c r="L58" s="153" t="s">
        <v>356</v>
      </c>
      <c r="M58" s="153" t="s">
        <v>199</v>
      </c>
      <c r="N58" s="153" t="s">
        <v>2756</v>
      </c>
      <c r="O58" s="58" t="s">
        <v>2903</v>
      </c>
      <c r="P58" s="153">
        <v>8</v>
      </c>
      <c r="Q58" s="58">
        <v>396</v>
      </c>
      <c r="R58" s="153"/>
      <c r="S58" s="153"/>
    </row>
    <row r="59" spans="1:19" s="58" customFormat="1" ht="18" customHeight="1">
      <c r="A59" s="153">
        <v>83</v>
      </c>
      <c r="B59" s="153" t="s">
        <v>356</v>
      </c>
      <c r="C59" s="153" t="s">
        <v>209</v>
      </c>
      <c r="D59" s="168">
        <v>5</v>
      </c>
      <c r="E59" s="153" t="s">
        <v>120</v>
      </c>
      <c r="F59" s="153"/>
      <c r="G59" s="153" t="s">
        <v>209</v>
      </c>
      <c r="H59" s="153" t="s">
        <v>1604</v>
      </c>
      <c r="I59" s="153" t="s">
        <v>2646</v>
      </c>
      <c r="J59" s="153" t="s">
        <v>351</v>
      </c>
      <c r="K59" s="153" t="s">
        <v>353</v>
      </c>
      <c r="L59" s="153" t="s">
        <v>356</v>
      </c>
      <c r="M59" s="153" t="s">
        <v>209</v>
      </c>
      <c r="N59" s="153" t="s">
        <v>2756</v>
      </c>
      <c r="O59" s="58" t="s">
        <v>2903</v>
      </c>
      <c r="P59" s="153">
        <v>9</v>
      </c>
      <c r="Q59" s="58">
        <v>397</v>
      </c>
      <c r="R59" s="153"/>
      <c r="S59" s="153"/>
    </row>
    <row r="60" spans="1:19" s="58" customFormat="1" ht="18" customHeight="1">
      <c r="A60" s="153">
        <v>84</v>
      </c>
      <c r="B60" s="153" t="s">
        <v>356</v>
      </c>
      <c r="C60" s="153" t="s">
        <v>200</v>
      </c>
      <c r="D60" s="168">
        <v>6</v>
      </c>
      <c r="E60" s="153" t="s">
        <v>120</v>
      </c>
      <c r="F60" s="153"/>
      <c r="G60" s="153" t="s">
        <v>200</v>
      </c>
      <c r="H60" s="153" t="s">
        <v>1604</v>
      </c>
      <c r="I60" s="153" t="s">
        <v>2646</v>
      </c>
      <c r="J60" s="153" t="s">
        <v>351</v>
      </c>
      <c r="K60" s="153" t="s">
        <v>353</v>
      </c>
      <c r="L60" s="153" t="s">
        <v>356</v>
      </c>
      <c r="M60" s="153" t="s">
        <v>200</v>
      </c>
      <c r="N60" s="153" t="s">
        <v>2756</v>
      </c>
      <c r="O60" s="58" t="s">
        <v>2903</v>
      </c>
      <c r="P60" s="153">
        <v>10</v>
      </c>
      <c r="Q60" s="58">
        <v>399</v>
      </c>
      <c r="R60" s="153"/>
      <c r="S60" s="153"/>
    </row>
    <row r="61" spans="1:19" s="58" customFormat="1" ht="18" customHeight="1">
      <c r="A61" s="153">
        <v>85</v>
      </c>
      <c r="B61" s="153" t="s">
        <v>356</v>
      </c>
      <c r="C61" s="153" t="s">
        <v>358</v>
      </c>
      <c r="D61" s="168">
        <v>6</v>
      </c>
      <c r="E61" s="153" t="s">
        <v>120</v>
      </c>
      <c r="F61" s="153" t="s">
        <v>619</v>
      </c>
      <c r="G61" s="153" t="s">
        <v>483</v>
      </c>
      <c r="H61" s="153" t="s">
        <v>1823</v>
      </c>
      <c r="I61" s="153" t="s">
        <v>2646</v>
      </c>
      <c r="J61" s="153" t="s">
        <v>351</v>
      </c>
      <c r="K61" s="153" t="s">
        <v>353</v>
      </c>
      <c r="L61" s="153" t="s">
        <v>356</v>
      </c>
      <c r="M61" s="153" t="s">
        <v>358</v>
      </c>
      <c r="N61" s="153" t="s">
        <v>2756</v>
      </c>
      <c r="O61" s="58" t="s">
        <v>2903</v>
      </c>
      <c r="P61" s="153">
        <v>6</v>
      </c>
      <c r="Q61" s="58">
        <v>398</v>
      </c>
      <c r="R61" s="153"/>
      <c r="S61" s="153"/>
    </row>
    <row r="62" spans="1:19" s="58" customFormat="1" ht="18" customHeight="1">
      <c r="A62" s="153">
        <v>96</v>
      </c>
      <c r="B62" s="153" t="s">
        <v>767</v>
      </c>
      <c r="C62" s="153" t="s">
        <v>839</v>
      </c>
      <c r="D62" s="168">
        <v>2</v>
      </c>
      <c r="E62" s="153" t="s">
        <v>750</v>
      </c>
      <c r="F62" s="153"/>
      <c r="G62" s="153" t="s">
        <v>839</v>
      </c>
      <c r="H62" s="153" t="s">
        <v>1605</v>
      </c>
      <c r="I62" s="153" t="s">
        <v>2614</v>
      </c>
      <c r="J62" s="153" t="s">
        <v>359</v>
      </c>
      <c r="K62" s="153" t="s">
        <v>353</v>
      </c>
      <c r="L62" s="153" t="s">
        <v>767</v>
      </c>
      <c r="M62" s="153" t="s">
        <v>839</v>
      </c>
      <c r="N62" s="153" t="s">
        <v>2757</v>
      </c>
      <c r="O62" s="58" t="s">
        <v>2905</v>
      </c>
      <c r="P62" s="153">
        <v>400</v>
      </c>
      <c r="Q62" s="58">
        <v>404</v>
      </c>
      <c r="R62" s="153"/>
      <c r="S62" s="153"/>
    </row>
    <row r="63" spans="1:19" s="58" customFormat="1" ht="18" customHeight="1">
      <c r="A63" s="153">
        <v>97</v>
      </c>
      <c r="B63" s="153" t="s">
        <v>767</v>
      </c>
      <c r="C63" s="153" t="s">
        <v>840</v>
      </c>
      <c r="D63" s="168">
        <v>3</v>
      </c>
      <c r="E63" s="153" t="s">
        <v>750</v>
      </c>
      <c r="F63" s="153"/>
      <c r="G63" s="153" t="s">
        <v>840</v>
      </c>
      <c r="H63" s="153" t="s">
        <v>1605</v>
      </c>
      <c r="I63" s="153" t="s">
        <v>2614</v>
      </c>
      <c r="J63" s="153" t="s">
        <v>359</v>
      </c>
      <c r="K63" s="153" t="s">
        <v>353</v>
      </c>
      <c r="L63" s="153" t="s">
        <v>767</v>
      </c>
      <c r="M63" s="153" t="s">
        <v>840</v>
      </c>
      <c r="N63" s="153" t="s">
        <v>2757</v>
      </c>
      <c r="O63" s="58" t="s">
        <v>2905</v>
      </c>
      <c r="P63" s="153">
        <v>401</v>
      </c>
      <c r="Q63" s="58">
        <v>405</v>
      </c>
      <c r="R63" s="153"/>
      <c r="S63" s="153"/>
    </row>
    <row r="64" spans="1:19" s="58" customFormat="1" ht="18" customHeight="1">
      <c r="A64" s="153">
        <v>98</v>
      </c>
      <c r="B64" s="153" t="s">
        <v>767</v>
      </c>
      <c r="C64" s="153" t="s">
        <v>841</v>
      </c>
      <c r="D64" s="168">
        <v>4</v>
      </c>
      <c r="E64" s="153" t="s">
        <v>750</v>
      </c>
      <c r="F64" s="153"/>
      <c r="G64" s="153" t="s">
        <v>841</v>
      </c>
      <c r="H64" s="153" t="s">
        <v>1605</v>
      </c>
      <c r="I64" s="153" t="s">
        <v>2614</v>
      </c>
      <c r="J64" s="153" t="s">
        <v>359</v>
      </c>
      <c r="K64" s="153" t="s">
        <v>353</v>
      </c>
      <c r="L64" s="153" t="s">
        <v>767</v>
      </c>
      <c r="M64" s="153" t="s">
        <v>841</v>
      </c>
      <c r="N64" s="153" t="s">
        <v>2757</v>
      </c>
      <c r="O64" s="58" t="s">
        <v>2905</v>
      </c>
      <c r="P64" s="153">
        <v>402</v>
      </c>
      <c r="Q64" s="58">
        <v>406</v>
      </c>
      <c r="R64" s="153"/>
      <c r="S64" s="153"/>
    </row>
    <row r="65" spans="1:19" s="58" customFormat="1" ht="18" customHeight="1">
      <c r="A65" s="153">
        <v>99</v>
      </c>
      <c r="B65" s="153" t="s">
        <v>767</v>
      </c>
      <c r="C65" s="153" t="s">
        <v>554</v>
      </c>
      <c r="D65" s="168">
        <v>5</v>
      </c>
      <c r="E65" s="153" t="s">
        <v>750</v>
      </c>
      <c r="F65" s="153"/>
      <c r="G65" s="153" t="s">
        <v>554</v>
      </c>
      <c r="H65" s="153" t="s">
        <v>1605</v>
      </c>
      <c r="I65" s="153" t="s">
        <v>2614</v>
      </c>
      <c r="J65" s="153" t="s">
        <v>359</v>
      </c>
      <c r="K65" s="153" t="s">
        <v>353</v>
      </c>
      <c r="L65" s="153" t="s">
        <v>767</v>
      </c>
      <c r="M65" s="153" t="s">
        <v>554</v>
      </c>
      <c r="N65" s="153" t="s">
        <v>2757</v>
      </c>
      <c r="O65" s="58" t="s">
        <v>2905</v>
      </c>
      <c r="P65" s="153">
        <v>403</v>
      </c>
      <c r="Q65" s="58">
        <v>407</v>
      </c>
      <c r="R65" s="153"/>
      <c r="S65" s="153"/>
    </row>
    <row r="66" spans="1:19" s="58" customFormat="1" ht="18" customHeight="1">
      <c r="A66" s="153">
        <v>100</v>
      </c>
      <c r="B66" s="153" t="s">
        <v>185</v>
      </c>
      <c r="C66" s="153" t="s">
        <v>1343</v>
      </c>
      <c r="D66" s="168">
        <v>0</v>
      </c>
      <c r="E66" s="153" t="s">
        <v>96</v>
      </c>
      <c r="F66" s="153"/>
      <c r="G66" s="153" t="s">
        <v>1343</v>
      </c>
      <c r="H66" s="153" t="s">
        <v>1606</v>
      </c>
      <c r="I66" s="153" t="s">
        <v>2615</v>
      </c>
      <c r="J66" s="153" t="s">
        <v>359</v>
      </c>
      <c r="K66" s="153" t="s">
        <v>353</v>
      </c>
      <c r="L66" s="153" t="s">
        <v>185</v>
      </c>
      <c r="M66" s="153" t="s">
        <v>1343</v>
      </c>
      <c r="N66" s="153" t="s">
        <v>2758</v>
      </c>
      <c r="P66" s="153">
        <v>53</v>
      </c>
      <c r="R66" s="153"/>
      <c r="S66" s="153"/>
    </row>
    <row r="67" spans="1:19" s="58" customFormat="1" ht="18" customHeight="1">
      <c r="A67" s="153">
        <v>101</v>
      </c>
      <c r="B67" s="153" t="s">
        <v>185</v>
      </c>
      <c r="C67" s="153" t="s">
        <v>1344</v>
      </c>
      <c r="D67" s="168">
        <v>0</v>
      </c>
      <c r="E67" s="153" t="s">
        <v>96</v>
      </c>
      <c r="F67" s="153"/>
      <c r="G67" s="153" t="s">
        <v>1344</v>
      </c>
      <c r="H67" s="153" t="s">
        <v>1606</v>
      </c>
      <c r="I67" s="153" t="s">
        <v>2615</v>
      </c>
      <c r="J67" s="153" t="s">
        <v>359</v>
      </c>
      <c r="K67" s="153" t="s">
        <v>353</v>
      </c>
      <c r="L67" s="153" t="s">
        <v>185</v>
      </c>
      <c r="M67" s="153" t="s">
        <v>1344</v>
      </c>
      <c r="N67" s="153" t="s">
        <v>2758</v>
      </c>
      <c r="P67" s="153">
        <v>54</v>
      </c>
      <c r="R67" s="153"/>
      <c r="S67" s="153"/>
    </row>
    <row r="68" spans="1:19" s="58" customFormat="1" ht="18" customHeight="1">
      <c r="A68" s="153">
        <v>102</v>
      </c>
      <c r="B68" s="153" t="s">
        <v>185</v>
      </c>
      <c r="C68" s="153" t="s">
        <v>1345</v>
      </c>
      <c r="D68" s="168">
        <v>0</v>
      </c>
      <c r="E68" s="153" t="s">
        <v>96</v>
      </c>
      <c r="F68" s="153"/>
      <c r="G68" s="153" t="s">
        <v>1345</v>
      </c>
      <c r="H68" s="153" t="s">
        <v>1606</v>
      </c>
      <c r="I68" s="153" t="s">
        <v>2615</v>
      </c>
      <c r="J68" s="153" t="s">
        <v>359</v>
      </c>
      <c r="K68" s="153" t="s">
        <v>353</v>
      </c>
      <c r="L68" s="153" t="s">
        <v>185</v>
      </c>
      <c r="M68" s="153" t="s">
        <v>1345</v>
      </c>
      <c r="N68" s="153" t="s">
        <v>2758</v>
      </c>
      <c r="P68" s="153">
        <v>55</v>
      </c>
      <c r="R68" s="153"/>
      <c r="S68" s="153"/>
    </row>
    <row r="69" spans="1:19" s="58" customFormat="1" ht="18" customHeight="1">
      <c r="A69" s="153">
        <v>341</v>
      </c>
      <c r="B69" s="153" t="s">
        <v>2284</v>
      </c>
      <c r="C69" s="153" t="s">
        <v>2322</v>
      </c>
      <c r="D69" s="168">
        <v>1</v>
      </c>
      <c r="E69" s="153" t="s">
        <v>2243</v>
      </c>
      <c r="F69" s="153" t="s">
        <v>619</v>
      </c>
      <c r="G69" s="153" t="s">
        <v>2322</v>
      </c>
      <c r="H69" s="153" t="s">
        <v>2323</v>
      </c>
      <c r="I69" s="153"/>
      <c r="J69" s="153" t="s">
        <v>351</v>
      </c>
      <c r="K69" s="153" t="s">
        <v>353</v>
      </c>
      <c r="L69" s="153" t="s">
        <v>2284</v>
      </c>
      <c r="M69" s="153" t="s">
        <v>2322</v>
      </c>
      <c r="N69" s="153" t="s">
        <v>2759</v>
      </c>
      <c r="O69" s="58" t="s">
        <v>2908</v>
      </c>
      <c r="P69" s="153">
        <v>417</v>
      </c>
      <c r="Q69" s="58">
        <v>420</v>
      </c>
      <c r="R69" s="153"/>
      <c r="S69" s="153"/>
    </row>
    <row r="70" spans="1:19" s="58" customFormat="1" ht="18" customHeight="1">
      <c r="A70" s="153">
        <v>342</v>
      </c>
      <c r="B70" s="153" t="s">
        <v>2284</v>
      </c>
      <c r="C70" s="153" t="s">
        <v>2324</v>
      </c>
      <c r="D70" s="168">
        <v>2</v>
      </c>
      <c r="E70" s="153" t="s">
        <v>2243</v>
      </c>
      <c r="F70" s="153" t="s">
        <v>619</v>
      </c>
      <c r="G70" s="153" t="s">
        <v>2324</v>
      </c>
      <c r="H70" s="153" t="s">
        <v>2323</v>
      </c>
      <c r="I70" s="153"/>
      <c r="J70" s="153" t="s">
        <v>351</v>
      </c>
      <c r="K70" s="153" t="s">
        <v>353</v>
      </c>
      <c r="L70" s="153" t="s">
        <v>2284</v>
      </c>
      <c r="M70" s="153" t="s">
        <v>2324</v>
      </c>
      <c r="N70" s="153" t="s">
        <v>2759</v>
      </c>
      <c r="O70" s="58" t="s">
        <v>2908</v>
      </c>
      <c r="P70" s="153">
        <v>418</v>
      </c>
      <c r="Q70" s="58">
        <v>421</v>
      </c>
      <c r="R70" s="153"/>
      <c r="S70" s="153"/>
    </row>
    <row r="71" spans="1:19" s="58" customFormat="1" ht="18" customHeight="1">
      <c r="A71" s="153">
        <v>343</v>
      </c>
      <c r="B71" s="153" t="s">
        <v>2284</v>
      </c>
      <c r="C71" s="153" t="s">
        <v>2325</v>
      </c>
      <c r="D71" s="168">
        <v>3</v>
      </c>
      <c r="E71" s="153" t="s">
        <v>2243</v>
      </c>
      <c r="F71" s="153" t="s">
        <v>619</v>
      </c>
      <c r="G71" s="153" t="s">
        <v>2325</v>
      </c>
      <c r="H71" s="153" t="s">
        <v>2323</v>
      </c>
      <c r="I71" s="153"/>
      <c r="J71" s="153" t="s">
        <v>351</v>
      </c>
      <c r="K71" s="153" t="s">
        <v>353</v>
      </c>
      <c r="L71" s="153" t="s">
        <v>2284</v>
      </c>
      <c r="M71" s="153" t="s">
        <v>2325</v>
      </c>
      <c r="N71" s="153" t="s">
        <v>2759</v>
      </c>
      <c r="O71" s="58" t="s">
        <v>2908</v>
      </c>
      <c r="P71" s="153">
        <v>419</v>
      </c>
      <c r="Q71" s="58">
        <v>422</v>
      </c>
      <c r="R71" s="153"/>
      <c r="S71" s="153"/>
    </row>
    <row r="72" spans="1:19" s="58" customFormat="1" ht="18" customHeight="1">
      <c r="A72" s="153">
        <v>344</v>
      </c>
      <c r="B72" s="153" t="s">
        <v>184</v>
      </c>
      <c r="C72" s="153" t="s">
        <v>208</v>
      </c>
      <c r="D72" s="168">
        <v>0</v>
      </c>
      <c r="E72" s="153" t="s">
        <v>92</v>
      </c>
      <c r="F72" s="153"/>
      <c r="G72" s="153" t="s">
        <v>208</v>
      </c>
      <c r="H72" s="153" t="s">
        <v>1611</v>
      </c>
      <c r="I72" s="153" t="s">
        <v>2646</v>
      </c>
      <c r="J72" s="153" t="s">
        <v>351</v>
      </c>
      <c r="K72" s="153" t="s">
        <v>353</v>
      </c>
      <c r="L72" s="153" t="s">
        <v>184</v>
      </c>
      <c r="M72" s="153" t="s">
        <v>208</v>
      </c>
      <c r="N72" s="153" t="s">
        <v>2760</v>
      </c>
      <c r="P72" s="153">
        <v>57</v>
      </c>
      <c r="R72" s="153"/>
      <c r="S72" s="153"/>
    </row>
    <row r="73" spans="1:19" s="58" customFormat="1" ht="18" customHeight="1">
      <c r="A73" s="153">
        <v>345</v>
      </c>
      <c r="B73" s="153" t="s">
        <v>184</v>
      </c>
      <c r="C73" s="153" t="s">
        <v>204</v>
      </c>
      <c r="D73" s="168">
        <v>0</v>
      </c>
      <c r="E73" s="153" t="s">
        <v>92</v>
      </c>
      <c r="F73" s="153"/>
      <c r="G73" s="153" t="s">
        <v>204</v>
      </c>
      <c r="H73" s="153" t="s">
        <v>1611</v>
      </c>
      <c r="I73" s="153" t="s">
        <v>2646</v>
      </c>
      <c r="J73" s="153" t="s">
        <v>351</v>
      </c>
      <c r="K73" s="153" t="s">
        <v>353</v>
      </c>
      <c r="L73" s="153" t="s">
        <v>184</v>
      </c>
      <c r="M73" s="153" t="s">
        <v>204</v>
      </c>
      <c r="N73" s="153" t="s">
        <v>2760</v>
      </c>
      <c r="P73" s="153">
        <v>58</v>
      </c>
      <c r="R73" s="153"/>
      <c r="S73" s="153"/>
    </row>
    <row r="74" spans="1:19" s="58" customFormat="1" ht="18" customHeight="1">
      <c r="A74" s="153">
        <v>346</v>
      </c>
      <c r="B74" s="153" t="s">
        <v>184</v>
      </c>
      <c r="C74" s="153" t="s">
        <v>210</v>
      </c>
      <c r="D74" s="168">
        <v>0</v>
      </c>
      <c r="E74" s="153" t="s">
        <v>92</v>
      </c>
      <c r="F74" s="153"/>
      <c r="G74" s="153" t="s">
        <v>210</v>
      </c>
      <c r="H74" s="153" t="s">
        <v>1611</v>
      </c>
      <c r="I74" s="153" t="s">
        <v>2646</v>
      </c>
      <c r="J74" s="153" t="s">
        <v>351</v>
      </c>
      <c r="K74" s="153" t="s">
        <v>353</v>
      </c>
      <c r="L74" s="153" t="s">
        <v>184</v>
      </c>
      <c r="M74" s="153" t="s">
        <v>210</v>
      </c>
      <c r="N74" s="153" t="s">
        <v>2760</v>
      </c>
      <c r="P74" s="153">
        <v>59</v>
      </c>
      <c r="R74" s="153"/>
      <c r="S74" s="153"/>
    </row>
    <row r="75" spans="1:19" s="58" customFormat="1" ht="18" customHeight="1">
      <c r="A75" s="153">
        <v>347</v>
      </c>
      <c r="B75" s="153" t="s">
        <v>184</v>
      </c>
      <c r="C75" s="153" t="s">
        <v>553</v>
      </c>
      <c r="D75" s="168">
        <v>0</v>
      </c>
      <c r="E75" s="153" t="s">
        <v>92</v>
      </c>
      <c r="F75" s="153"/>
      <c r="G75" s="153" t="s">
        <v>553</v>
      </c>
      <c r="H75" s="153" t="s">
        <v>1611</v>
      </c>
      <c r="I75" s="153" t="s">
        <v>2646</v>
      </c>
      <c r="J75" s="153" t="s">
        <v>351</v>
      </c>
      <c r="K75" s="153" t="s">
        <v>353</v>
      </c>
      <c r="L75" s="153" t="s">
        <v>184</v>
      </c>
      <c r="M75" s="153" t="s">
        <v>553</v>
      </c>
      <c r="N75" s="153" t="s">
        <v>2760</v>
      </c>
      <c r="P75" s="153">
        <v>60</v>
      </c>
      <c r="R75" s="153"/>
      <c r="S75" s="153"/>
    </row>
    <row r="76" spans="1:19" s="58" customFormat="1" ht="18" customHeight="1">
      <c r="A76" s="153">
        <v>741</v>
      </c>
      <c r="B76" s="153" t="s">
        <v>1221</v>
      </c>
      <c r="C76" s="153" t="s">
        <v>362</v>
      </c>
      <c r="D76" s="168">
        <v>0</v>
      </c>
      <c r="E76" s="153" t="s">
        <v>118</v>
      </c>
      <c r="F76" s="153"/>
      <c r="G76" s="153" t="s">
        <v>362</v>
      </c>
      <c r="H76" s="153" t="s">
        <v>1436</v>
      </c>
      <c r="I76" s="153" t="s">
        <v>2632</v>
      </c>
      <c r="J76" s="153" t="s">
        <v>359</v>
      </c>
      <c r="K76" s="153" t="s">
        <v>353</v>
      </c>
      <c r="L76" s="153" t="s">
        <v>1221</v>
      </c>
      <c r="M76" s="153" t="s">
        <v>362</v>
      </c>
      <c r="N76" s="153" t="s">
        <v>2761</v>
      </c>
      <c r="O76" s="58" t="s">
        <v>2815</v>
      </c>
      <c r="P76" s="153">
        <v>317</v>
      </c>
      <c r="Q76" s="58">
        <v>549</v>
      </c>
      <c r="R76" s="153"/>
      <c r="S76" s="153"/>
    </row>
    <row r="77" spans="1:19" s="58" customFormat="1" ht="18" customHeight="1">
      <c r="A77" s="153">
        <v>742</v>
      </c>
      <c r="B77" s="153" t="s">
        <v>1221</v>
      </c>
      <c r="C77" s="153" t="s">
        <v>201</v>
      </c>
      <c r="D77" s="168">
        <v>0</v>
      </c>
      <c r="E77" s="153" t="s">
        <v>118</v>
      </c>
      <c r="F77" s="153"/>
      <c r="G77" s="153" t="s">
        <v>201</v>
      </c>
      <c r="H77" s="153" t="s">
        <v>1436</v>
      </c>
      <c r="I77" s="153" t="s">
        <v>2632</v>
      </c>
      <c r="J77" s="153" t="s">
        <v>359</v>
      </c>
      <c r="K77" s="153" t="s">
        <v>353</v>
      </c>
      <c r="L77" s="153" t="s">
        <v>1221</v>
      </c>
      <c r="M77" s="153" t="s">
        <v>201</v>
      </c>
      <c r="N77" s="153" t="s">
        <v>2761</v>
      </c>
      <c r="O77" s="58" t="s">
        <v>2815</v>
      </c>
      <c r="P77" s="153">
        <v>115</v>
      </c>
      <c r="Q77" s="58">
        <v>550</v>
      </c>
      <c r="R77" s="153"/>
      <c r="S77" s="153"/>
    </row>
    <row r="78" spans="1:19" s="58" customFormat="1" ht="18" customHeight="1">
      <c r="A78" s="153">
        <v>743</v>
      </c>
      <c r="B78" s="153" t="s">
        <v>1221</v>
      </c>
      <c r="C78" s="153" t="s">
        <v>205</v>
      </c>
      <c r="D78" s="168">
        <v>0</v>
      </c>
      <c r="E78" s="153" t="s">
        <v>118</v>
      </c>
      <c r="F78" s="153"/>
      <c r="G78" s="153" t="s">
        <v>205</v>
      </c>
      <c r="H78" s="153" t="s">
        <v>1436</v>
      </c>
      <c r="I78" s="153" t="s">
        <v>2632</v>
      </c>
      <c r="J78" s="153" t="s">
        <v>359</v>
      </c>
      <c r="K78" s="153" t="s">
        <v>353</v>
      </c>
      <c r="L78" s="153" t="s">
        <v>1221</v>
      </c>
      <c r="M78" s="153" t="s">
        <v>205</v>
      </c>
      <c r="N78" s="153" t="s">
        <v>2761</v>
      </c>
      <c r="O78" s="58" t="s">
        <v>2815</v>
      </c>
      <c r="P78" s="153">
        <v>315</v>
      </c>
      <c r="Q78" s="58">
        <v>551</v>
      </c>
      <c r="R78" s="153"/>
      <c r="S78" s="153"/>
    </row>
    <row r="79" spans="1:19" s="58" customFormat="1" ht="18" customHeight="1">
      <c r="A79" s="153">
        <v>744</v>
      </c>
      <c r="B79" s="153" t="s">
        <v>1221</v>
      </c>
      <c r="C79" s="153" t="s">
        <v>361</v>
      </c>
      <c r="D79" s="168">
        <v>0</v>
      </c>
      <c r="E79" s="153" t="s">
        <v>118</v>
      </c>
      <c r="F79" s="153"/>
      <c r="G79" s="153" t="s">
        <v>361</v>
      </c>
      <c r="H79" s="153" t="s">
        <v>1436</v>
      </c>
      <c r="I79" s="153" t="s">
        <v>2632</v>
      </c>
      <c r="J79" s="153" t="s">
        <v>359</v>
      </c>
      <c r="K79" s="153" t="s">
        <v>353</v>
      </c>
      <c r="L79" s="153" t="s">
        <v>1221</v>
      </c>
      <c r="M79" s="153" t="s">
        <v>842</v>
      </c>
      <c r="N79" s="153" t="s">
        <v>2761</v>
      </c>
      <c r="O79" s="58" t="s">
        <v>2815</v>
      </c>
      <c r="P79" s="153">
        <v>114</v>
      </c>
      <c r="Q79" s="58">
        <v>553</v>
      </c>
      <c r="R79" s="153"/>
      <c r="S79" s="153"/>
    </row>
    <row r="80" spans="1:19" s="58" customFormat="1" ht="18" customHeight="1">
      <c r="A80" s="153">
        <v>745</v>
      </c>
      <c r="B80" s="153" t="s">
        <v>1221</v>
      </c>
      <c r="C80" s="153" t="s">
        <v>203</v>
      </c>
      <c r="D80" s="168">
        <v>0</v>
      </c>
      <c r="E80" s="153" t="s">
        <v>118</v>
      </c>
      <c r="F80" s="153"/>
      <c r="G80" s="153" t="s">
        <v>203</v>
      </c>
      <c r="H80" s="153" t="s">
        <v>1436</v>
      </c>
      <c r="I80" s="153" t="s">
        <v>2632</v>
      </c>
      <c r="J80" s="153" t="s">
        <v>359</v>
      </c>
      <c r="K80" s="153" t="s">
        <v>353</v>
      </c>
      <c r="L80" s="153" t="s">
        <v>1221</v>
      </c>
      <c r="M80" s="153" t="s">
        <v>203</v>
      </c>
      <c r="N80" s="153" t="s">
        <v>2761</v>
      </c>
      <c r="O80" s="58" t="s">
        <v>2815</v>
      </c>
      <c r="P80" s="153">
        <v>116</v>
      </c>
      <c r="Q80" s="58">
        <v>554</v>
      </c>
      <c r="R80" s="153"/>
      <c r="S80" s="153"/>
    </row>
    <row r="81" spans="1:19" s="58" customFormat="1" ht="18" customHeight="1">
      <c r="A81" s="153">
        <v>746</v>
      </c>
      <c r="B81" s="153" t="s">
        <v>1221</v>
      </c>
      <c r="C81" s="153" t="s">
        <v>554</v>
      </c>
      <c r="D81" s="168">
        <v>0</v>
      </c>
      <c r="E81" s="153" t="s">
        <v>118</v>
      </c>
      <c r="F81" s="153"/>
      <c r="G81" s="153" t="s">
        <v>554</v>
      </c>
      <c r="H81" s="153" t="s">
        <v>1436</v>
      </c>
      <c r="I81" s="153" t="s">
        <v>2632</v>
      </c>
      <c r="J81" s="153" t="s">
        <v>359</v>
      </c>
      <c r="K81" s="153" t="s">
        <v>353</v>
      </c>
      <c r="L81" s="153" t="s">
        <v>1221</v>
      </c>
      <c r="M81" s="153" t="s">
        <v>554</v>
      </c>
      <c r="N81" s="153" t="s">
        <v>2761</v>
      </c>
      <c r="O81" s="58" t="s">
        <v>2815</v>
      </c>
      <c r="P81" s="153">
        <v>186</v>
      </c>
      <c r="Q81" s="58">
        <v>552</v>
      </c>
      <c r="R81" s="153"/>
      <c r="S81" s="153"/>
    </row>
    <row r="82" spans="1:19" s="58" customFormat="1" ht="18" customHeight="1">
      <c r="A82" s="153">
        <v>747</v>
      </c>
      <c r="B82" s="153" t="s">
        <v>1221</v>
      </c>
      <c r="C82" s="153" t="s">
        <v>207</v>
      </c>
      <c r="D82" s="168"/>
      <c r="E82" s="153" t="s">
        <v>118</v>
      </c>
      <c r="F82" s="153" t="s">
        <v>619</v>
      </c>
      <c r="G82" s="153" t="s">
        <v>207</v>
      </c>
      <c r="H82" s="153" t="s">
        <v>1811</v>
      </c>
      <c r="I82" s="153" t="s">
        <v>2632</v>
      </c>
      <c r="J82" s="153" t="s">
        <v>359</v>
      </c>
      <c r="K82" s="153" t="s">
        <v>353</v>
      </c>
      <c r="L82" s="153" t="s">
        <v>1221</v>
      </c>
      <c r="M82" s="153" t="s">
        <v>207</v>
      </c>
      <c r="N82" s="153" t="s">
        <v>2761</v>
      </c>
      <c r="O82" s="58" t="s">
        <v>2815</v>
      </c>
      <c r="P82" s="153">
        <v>316</v>
      </c>
      <c r="Q82" s="58">
        <v>548</v>
      </c>
      <c r="R82" s="153"/>
      <c r="S82" s="153"/>
    </row>
    <row r="83" spans="1:19" s="58" customFormat="1" ht="18" customHeight="1">
      <c r="A83" s="153">
        <v>348</v>
      </c>
      <c r="B83" s="153" t="s">
        <v>449</v>
      </c>
      <c r="C83" s="153" t="s">
        <v>202</v>
      </c>
      <c r="D83" s="168">
        <v>1</v>
      </c>
      <c r="E83" s="153" t="s">
        <v>147</v>
      </c>
      <c r="F83" s="153"/>
      <c r="G83" s="153" t="s">
        <v>202</v>
      </c>
      <c r="H83" s="153" t="s">
        <v>1612</v>
      </c>
      <c r="I83" s="153" t="s">
        <v>2618</v>
      </c>
      <c r="J83" s="153" t="s">
        <v>359</v>
      </c>
      <c r="K83" s="153" t="s">
        <v>353</v>
      </c>
      <c r="L83" s="153" t="s">
        <v>449</v>
      </c>
      <c r="M83" s="153" t="s">
        <v>202</v>
      </c>
      <c r="N83" s="153" t="s">
        <v>2762</v>
      </c>
      <c r="P83" s="153">
        <v>151</v>
      </c>
      <c r="R83" s="153"/>
      <c r="S83" s="153"/>
    </row>
    <row r="84" spans="1:19" s="58" customFormat="1" ht="18" customHeight="1">
      <c r="A84" s="153">
        <v>349</v>
      </c>
      <c r="B84" s="153" t="s">
        <v>449</v>
      </c>
      <c r="C84" s="153" t="s">
        <v>198</v>
      </c>
      <c r="D84" s="168">
        <v>2</v>
      </c>
      <c r="E84" s="153" t="s">
        <v>147</v>
      </c>
      <c r="F84" s="153"/>
      <c r="G84" s="153" t="s">
        <v>198</v>
      </c>
      <c r="H84" s="153" t="s">
        <v>1612</v>
      </c>
      <c r="I84" s="153" t="s">
        <v>2618</v>
      </c>
      <c r="J84" s="153" t="s">
        <v>359</v>
      </c>
      <c r="K84" s="153" t="s">
        <v>353</v>
      </c>
      <c r="L84" s="153" t="s">
        <v>449</v>
      </c>
      <c r="M84" s="153" t="s">
        <v>198</v>
      </c>
      <c r="N84" s="153" t="s">
        <v>2762</v>
      </c>
      <c r="P84" s="153">
        <v>152</v>
      </c>
      <c r="R84" s="153"/>
      <c r="S84" s="153"/>
    </row>
    <row r="85" spans="1:19" s="58" customFormat="1" ht="18" customHeight="1">
      <c r="A85" s="153">
        <v>350</v>
      </c>
      <c r="B85" s="153" t="s">
        <v>449</v>
      </c>
      <c r="C85" s="153" t="s">
        <v>554</v>
      </c>
      <c r="D85" s="168">
        <v>3</v>
      </c>
      <c r="E85" s="153" t="s">
        <v>147</v>
      </c>
      <c r="F85" s="153"/>
      <c r="G85" s="153" t="s">
        <v>554</v>
      </c>
      <c r="H85" s="153" t="s">
        <v>1612</v>
      </c>
      <c r="I85" s="153" t="s">
        <v>2618</v>
      </c>
      <c r="J85" s="153" t="s">
        <v>359</v>
      </c>
      <c r="K85" s="153" t="s">
        <v>353</v>
      </c>
      <c r="L85" s="153" t="s">
        <v>449</v>
      </c>
      <c r="M85" s="153" t="s">
        <v>554</v>
      </c>
      <c r="N85" s="153" t="s">
        <v>2762</v>
      </c>
      <c r="P85" s="153">
        <v>194</v>
      </c>
      <c r="R85" s="153"/>
      <c r="S85" s="153"/>
    </row>
    <row r="86" spans="1:19" s="58" customFormat="1" ht="18" customHeight="1">
      <c r="A86" s="153">
        <v>351</v>
      </c>
      <c r="B86" s="153" t="s">
        <v>449</v>
      </c>
      <c r="C86" s="153" t="s">
        <v>197</v>
      </c>
      <c r="D86" s="168">
        <v>3</v>
      </c>
      <c r="E86" s="153" t="s">
        <v>147</v>
      </c>
      <c r="F86" s="153"/>
      <c r="G86" s="153" t="s">
        <v>197</v>
      </c>
      <c r="H86" s="153" t="s">
        <v>1612</v>
      </c>
      <c r="I86" s="153" t="s">
        <v>2618</v>
      </c>
      <c r="J86" s="153" t="s">
        <v>359</v>
      </c>
      <c r="K86" s="153" t="s">
        <v>353</v>
      </c>
      <c r="L86" s="153" t="s">
        <v>449</v>
      </c>
      <c r="M86" s="153" t="s">
        <v>197</v>
      </c>
      <c r="N86" s="153" t="s">
        <v>2762</v>
      </c>
      <c r="P86" s="153">
        <v>153</v>
      </c>
      <c r="R86" s="153"/>
      <c r="S86" s="153"/>
    </row>
    <row r="87" spans="1:19" s="58" customFormat="1" ht="18" customHeight="1">
      <c r="A87" s="153">
        <v>352</v>
      </c>
      <c r="B87" s="153" t="s">
        <v>453</v>
      </c>
      <c r="C87" s="153" t="s">
        <v>202</v>
      </c>
      <c r="D87" s="168">
        <v>1</v>
      </c>
      <c r="E87" s="153" t="s">
        <v>148</v>
      </c>
      <c r="F87" s="153"/>
      <c r="G87" s="153" t="s">
        <v>202</v>
      </c>
      <c r="H87" s="153" t="s">
        <v>1612</v>
      </c>
      <c r="I87" s="153" t="s">
        <v>2618</v>
      </c>
      <c r="J87" s="153" t="s">
        <v>359</v>
      </c>
      <c r="K87" s="153" t="s">
        <v>353</v>
      </c>
      <c r="L87" s="153" t="s">
        <v>453</v>
      </c>
      <c r="M87" s="153" t="s">
        <v>202</v>
      </c>
      <c r="N87" s="153" t="s">
        <v>2763</v>
      </c>
      <c r="P87" s="153">
        <v>154</v>
      </c>
      <c r="R87" s="153"/>
      <c r="S87" s="153"/>
    </row>
    <row r="88" spans="1:19" s="58" customFormat="1" ht="18" customHeight="1">
      <c r="A88" s="153">
        <v>353</v>
      </c>
      <c r="B88" s="153" t="s">
        <v>453</v>
      </c>
      <c r="C88" s="153" t="s">
        <v>198</v>
      </c>
      <c r="D88" s="168">
        <v>2</v>
      </c>
      <c r="E88" s="153" t="s">
        <v>148</v>
      </c>
      <c r="F88" s="153"/>
      <c r="G88" s="153" t="s">
        <v>198</v>
      </c>
      <c r="H88" s="153" t="s">
        <v>1612</v>
      </c>
      <c r="I88" s="153" t="s">
        <v>2618</v>
      </c>
      <c r="J88" s="153" t="s">
        <v>359</v>
      </c>
      <c r="K88" s="153" t="s">
        <v>353</v>
      </c>
      <c r="L88" s="153" t="s">
        <v>453</v>
      </c>
      <c r="M88" s="153" t="s">
        <v>198</v>
      </c>
      <c r="N88" s="153" t="s">
        <v>2763</v>
      </c>
      <c r="P88" s="153">
        <v>155</v>
      </c>
      <c r="R88" s="153"/>
      <c r="S88" s="153"/>
    </row>
    <row r="89" spans="1:19" s="58" customFormat="1" ht="18" customHeight="1">
      <c r="A89" s="153">
        <v>354</v>
      </c>
      <c r="B89" s="153" t="s">
        <v>453</v>
      </c>
      <c r="C89" s="153" t="s">
        <v>554</v>
      </c>
      <c r="D89" s="168">
        <v>3</v>
      </c>
      <c r="E89" s="153" t="s">
        <v>148</v>
      </c>
      <c r="F89" s="153"/>
      <c r="G89" s="153" t="s">
        <v>554</v>
      </c>
      <c r="H89" s="153" t="s">
        <v>1612</v>
      </c>
      <c r="I89" s="153" t="s">
        <v>2618</v>
      </c>
      <c r="J89" s="153" t="s">
        <v>359</v>
      </c>
      <c r="K89" s="153" t="s">
        <v>353</v>
      </c>
      <c r="L89" s="153" t="s">
        <v>453</v>
      </c>
      <c r="M89" s="153" t="s">
        <v>554</v>
      </c>
      <c r="N89" s="153" t="s">
        <v>2763</v>
      </c>
      <c r="P89" s="153">
        <v>195</v>
      </c>
      <c r="R89" s="153"/>
      <c r="S89" s="153"/>
    </row>
    <row r="90" spans="1:19" s="58" customFormat="1" ht="18" customHeight="1">
      <c r="A90" s="153">
        <v>355</v>
      </c>
      <c r="B90" s="153" t="s">
        <v>453</v>
      </c>
      <c r="C90" s="153" t="s">
        <v>197</v>
      </c>
      <c r="D90" s="168">
        <v>3</v>
      </c>
      <c r="E90" s="153" t="s">
        <v>148</v>
      </c>
      <c r="F90" s="153"/>
      <c r="G90" s="153" t="s">
        <v>197</v>
      </c>
      <c r="H90" s="153" t="s">
        <v>1612</v>
      </c>
      <c r="I90" s="153" t="s">
        <v>2618</v>
      </c>
      <c r="J90" s="153" t="s">
        <v>359</v>
      </c>
      <c r="K90" s="153" t="s">
        <v>353</v>
      </c>
      <c r="L90" s="153" t="s">
        <v>453</v>
      </c>
      <c r="M90" s="153" t="s">
        <v>197</v>
      </c>
      <c r="N90" s="153" t="s">
        <v>2763</v>
      </c>
      <c r="P90" s="153">
        <v>156</v>
      </c>
      <c r="R90" s="153"/>
      <c r="S90" s="153"/>
    </row>
    <row r="91" spans="1:19" s="58" customFormat="1" ht="18" customHeight="1">
      <c r="A91" s="153">
        <v>356</v>
      </c>
      <c r="B91" s="153" t="s">
        <v>450</v>
      </c>
      <c r="C91" s="153" t="s">
        <v>202</v>
      </c>
      <c r="D91" s="168">
        <v>1</v>
      </c>
      <c r="E91" s="153" t="s">
        <v>149</v>
      </c>
      <c r="F91" s="153"/>
      <c r="G91" s="153" t="s">
        <v>202</v>
      </c>
      <c r="H91" s="153" t="s">
        <v>1612</v>
      </c>
      <c r="I91" s="153" t="s">
        <v>2618</v>
      </c>
      <c r="J91" s="153" t="s">
        <v>359</v>
      </c>
      <c r="K91" s="153" t="s">
        <v>353</v>
      </c>
      <c r="L91" s="153" t="s">
        <v>450</v>
      </c>
      <c r="M91" s="153" t="s">
        <v>202</v>
      </c>
      <c r="N91" s="153" t="s">
        <v>2764</v>
      </c>
      <c r="P91" s="153">
        <v>157</v>
      </c>
      <c r="R91" s="153"/>
      <c r="S91" s="153"/>
    </row>
    <row r="92" spans="1:19" s="58" customFormat="1" ht="18" customHeight="1">
      <c r="A92" s="153">
        <v>357</v>
      </c>
      <c r="B92" s="153" t="s">
        <v>450</v>
      </c>
      <c r="C92" s="153" t="s">
        <v>198</v>
      </c>
      <c r="D92" s="168">
        <v>2</v>
      </c>
      <c r="E92" s="153" t="s">
        <v>149</v>
      </c>
      <c r="F92" s="153"/>
      <c r="G92" s="153" t="s">
        <v>198</v>
      </c>
      <c r="H92" s="153" t="s">
        <v>1612</v>
      </c>
      <c r="I92" s="153" t="s">
        <v>2618</v>
      </c>
      <c r="J92" s="153" t="s">
        <v>359</v>
      </c>
      <c r="K92" s="153" t="s">
        <v>353</v>
      </c>
      <c r="L92" s="153" t="s">
        <v>450</v>
      </c>
      <c r="M92" s="153" t="s">
        <v>198</v>
      </c>
      <c r="N92" s="153" t="s">
        <v>2764</v>
      </c>
      <c r="P92" s="153">
        <v>158</v>
      </c>
      <c r="R92" s="153"/>
      <c r="S92" s="153"/>
    </row>
    <row r="93" spans="1:19" s="58" customFormat="1" ht="18" customHeight="1">
      <c r="A93" s="153">
        <v>358</v>
      </c>
      <c r="B93" s="153" t="s">
        <v>450</v>
      </c>
      <c r="C93" s="153" t="s">
        <v>554</v>
      </c>
      <c r="D93" s="168">
        <v>3</v>
      </c>
      <c r="E93" s="153" t="s">
        <v>149</v>
      </c>
      <c r="F93" s="153"/>
      <c r="G93" s="153" t="s">
        <v>554</v>
      </c>
      <c r="H93" s="153" t="s">
        <v>1612</v>
      </c>
      <c r="I93" s="153" t="s">
        <v>2618</v>
      </c>
      <c r="J93" s="153" t="s">
        <v>359</v>
      </c>
      <c r="K93" s="153" t="s">
        <v>353</v>
      </c>
      <c r="L93" s="153" t="s">
        <v>450</v>
      </c>
      <c r="M93" s="153" t="s">
        <v>554</v>
      </c>
      <c r="N93" s="153" t="s">
        <v>2764</v>
      </c>
      <c r="P93" s="153">
        <v>196</v>
      </c>
      <c r="R93" s="153"/>
      <c r="S93" s="153"/>
    </row>
    <row r="94" spans="1:19" s="58" customFormat="1" ht="18" customHeight="1">
      <c r="A94" s="153">
        <v>359</v>
      </c>
      <c r="B94" s="153" t="s">
        <v>450</v>
      </c>
      <c r="C94" s="153" t="s">
        <v>197</v>
      </c>
      <c r="D94" s="168">
        <v>3</v>
      </c>
      <c r="E94" s="153" t="s">
        <v>149</v>
      </c>
      <c r="F94" s="153"/>
      <c r="G94" s="153" t="s">
        <v>197</v>
      </c>
      <c r="H94" s="153" t="s">
        <v>1612</v>
      </c>
      <c r="I94" s="153" t="s">
        <v>2618</v>
      </c>
      <c r="J94" s="153" t="s">
        <v>359</v>
      </c>
      <c r="K94" s="153" t="s">
        <v>353</v>
      </c>
      <c r="L94" s="153" t="s">
        <v>450</v>
      </c>
      <c r="M94" s="153" t="s">
        <v>197</v>
      </c>
      <c r="N94" s="153" t="s">
        <v>2764</v>
      </c>
      <c r="P94" s="153">
        <v>159</v>
      </c>
      <c r="R94" s="153"/>
      <c r="S94" s="153"/>
    </row>
    <row r="95" spans="1:19" s="58" customFormat="1" ht="18" customHeight="1">
      <c r="A95" s="153">
        <v>360</v>
      </c>
      <c r="B95" s="153" t="s">
        <v>555</v>
      </c>
      <c r="C95" s="153" t="s">
        <v>202</v>
      </c>
      <c r="D95" s="168">
        <v>1</v>
      </c>
      <c r="E95" s="153" t="s">
        <v>150</v>
      </c>
      <c r="F95" s="153"/>
      <c r="G95" s="153" t="s">
        <v>202</v>
      </c>
      <c r="H95" s="153" t="s">
        <v>1612</v>
      </c>
      <c r="I95" s="153" t="s">
        <v>2618</v>
      </c>
      <c r="J95" s="153" t="s">
        <v>359</v>
      </c>
      <c r="K95" s="153" t="s">
        <v>353</v>
      </c>
      <c r="L95" s="153" t="s">
        <v>555</v>
      </c>
      <c r="M95" s="153" t="s">
        <v>202</v>
      </c>
      <c r="N95" s="153" t="s">
        <v>2765</v>
      </c>
      <c r="P95" s="153">
        <v>160</v>
      </c>
      <c r="R95" s="153"/>
      <c r="S95" s="153"/>
    </row>
    <row r="96" spans="1:19" s="58" customFormat="1" ht="18" customHeight="1">
      <c r="A96" s="153">
        <v>361</v>
      </c>
      <c r="B96" s="153" t="s">
        <v>555</v>
      </c>
      <c r="C96" s="153" t="s">
        <v>198</v>
      </c>
      <c r="D96" s="168">
        <v>2</v>
      </c>
      <c r="E96" s="153" t="s">
        <v>150</v>
      </c>
      <c r="F96" s="153"/>
      <c r="G96" s="153" t="s">
        <v>198</v>
      </c>
      <c r="H96" s="153" t="s">
        <v>1612</v>
      </c>
      <c r="I96" s="153" t="s">
        <v>2618</v>
      </c>
      <c r="J96" s="153" t="s">
        <v>359</v>
      </c>
      <c r="K96" s="153" t="s">
        <v>353</v>
      </c>
      <c r="L96" s="153" t="s">
        <v>555</v>
      </c>
      <c r="M96" s="153" t="s">
        <v>198</v>
      </c>
      <c r="N96" s="153" t="s">
        <v>2765</v>
      </c>
      <c r="P96" s="153">
        <v>161</v>
      </c>
      <c r="R96" s="153"/>
      <c r="S96" s="153"/>
    </row>
    <row r="97" spans="1:19" s="58" customFormat="1" ht="18" customHeight="1">
      <c r="A97" s="153">
        <v>362</v>
      </c>
      <c r="B97" s="153" t="s">
        <v>555</v>
      </c>
      <c r="C97" s="153" t="s">
        <v>554</v>
      </c>
      <c r="D97" s="168">
        <v>3</v>
      </c>
      <c r="E97" s="153" t="s">
        <v>150</v>
      </c>
      <c r="F97" s="153"/>
      <c r="G97" s="153" t="s">
        <v>554</v>
      </c>
      <c r="H97" s="153" t="s">
        <v>1612</v>
      </c>
      <c r="I97" s="153" t="s">
        <v>2618</v>
      </c>
      <c r="J97" s="153" t="s">
        <v>359</v>
      </c>
      <c r="K97" s="153" t="s">
        <v>353</v>
      </c>
      <c r="L97" s="153" t="s">
        <v>555</v>
      </c>
      <c r="M97" s="153" t="s">
        <v>554</v>
      </c>
      <c r="N97" s="153" t="s">
        <v>2765</v>
      </c>
      <c r="P97" s="153">
        <v>199</v>
      </c>
      <c r="R97" s="153"/>
      <c r="S97" s="153"/>
    </row>
    <row r="98" spans="1:19" s="58" customFormat="1" ht="18" customHeight="1">
      <c r="A98" s="153">
        <v>363</v>
      </c>
      <c r="B98" s="153" t="s">
        <v>555</v>
      </c>
      <c r="C98" s="153" t="s">
        <v>197</v>
      </c>
      <c r="D98" s="168">
        <v>3</v>
      </c>
      <c r="E98" s="153" t="s">
        <v>150</v>
      </c>
      <c r="F98" s="153"/>
      <c r="G98" s="153" t="s">
        <v>197</v>
      </c>
      <c r="H98" s="153" t="s">
        <v>1612</v>
      </c>
      <c r="I98" s="153" t="s">
        <v>2618</v>
      </c>
      <c r="J98" s="153" t="s">
        <v>359</v>
      </c>
      <c r="K98" s="153" t="s">
        <v>353</v>
      </c>
      <c r="L98" s="153" t="s">
        <v>555</v>
      </c>
      <c r="M98" s="153" t="s">
        <v>197</v>
      </c>
      <c r="N98" s="153" t="s">
        <v>2765</v>
      </c>
      <c r="P98" s="153">
        <v>162</v>
      </c>
      <c r="R98" s="153"/>
      <c r="S98" s="153"/>
    </row>
    <row r="99" spans="1:19" s="58" customFormat="1" ht="18" customHeight="1">
      <c r="A99" s="153">
        <v>364</v>
      </c>
      <c r="B99" s="153" t="s">
        <v>451</v>
      </c>
      <c r="C99" s="153" t="s">
        <v>202</v>
      </c>
      <c r="D99" s="168">
        <v>1</v>
      </c>
      <c r="E99" s="153" t="s">
        <v>151</v>
      </c>
      <c r="F99" s="153"/>
      <c r="G99" s="153" t="s">
        <v>202</v>
      </c>
      <c r="H99" s="153" t="s">
        <v>1612</v>
      </c>
      <c r="I99" s="153" t="s">
        <v>2618</v>
      </c>
      <c r="J99" s="153" t="s">
        <v>359</v>
      </c>
      <c r="K99" s="153" t="s">
        <v>353</v>
      </c>
      <c r="L99" s="153" t="s">
        <v>451</v>
      </c>
      <c r="M99" s="153" t="s">
        <v>202</v>
      </c>
      <c r="N99" s="153" t="s">
        <v>2766</v>
      </c>
      <c r="P99" s="153">
        <v>163</v>
      </c>
      <c r="R99" s="153"/>
      <c r="S99" s="153"/>
    </row>
    <row r="100" spans="1:19" s="58" customFormat="1" ht="18" customHeight="1">
      <c r="A100" s="153">
        <v>365</v>
      </c>
      <c r="B100" s="153" t="s">
        <v>451</v>
      </c>
      <c r="C100" s="153" t="s">
        <v>198</v>
      </c>
      <c r="D100" s="168">
        <v>2</v>
      </c>
      <c r="E100" s="153" t="s">
        <v>151</v>
      </c>
      <c r="F100" s="153"/>
      <c r="G100" s="153" t="s">
        <v>198</v>
      </c>
      <c r="H100" s="153" t="s">
        <v>1612</v>
      </c>
      <c r="I100" s="153" t="s">
        <v>2618</v>
      </c>
      <c r="J100" s="153" t="s">
        <v>359</v>
      </c>
      <c r="K100" s="153" t="s">
        <v>353</v>
      </c>
      <c r="L100" s="153" t="s">
        <v>451</v>
      </c>
      <c r="M100" s="153" t="s">
        <v>198</v>
      </c>
      <c r="N100" s="153" t="s">
        <v>2766</v>
      </c>
      <c r="P100" s="153">
        <v>164</v>
      </c>
      <c r="R100" s="153"/>
      <c r="S100" s="153"/>
    </row>
    <row r="101" spans="1:19" s="58" customFormat="1" ht="18" customHeight="1">
      <c r="A101" s="153">
        <v>366</v>
      </c>
      <c r="B101" s="153" t="s">
        <v>451</v>
      </c>
      <c r="C101" s="153" t="s">
        <v>554</v>
      </c>
      <c r="D101" s="168">
        <v>3</v>
      </c>
      <c r="E101" s="153" t="s">
        <v>151</v>
      </c>
      <c r="F101" s="153"/>
      <c r="G101" s="153" t="s">
        <v>554</v>
      </c>
      <c r="H101" s="153" t="s">
        <v>1612</v>
      </c>
      <c r="I101" s="153" t="s">
        <v>2618</v>
      </c>
      <c r="J101" s="153" t="s">
        <v>359</v>
      </c>
      <c r="K101" s="153" t="s">
        <v>353</v>
      </c>
      <c r="L101" s="153" t="s">
        <v>451</v>
      </c>
      <c r="M101" s="153" t="s">
        <v>554</v>
      </c>
      <c r="N101" s="153" t="s">
        <v>2766</v>
      </c>
      <c r="P101" s="153">
        <v>215</v>
      </c>
      <c r="R101" s="153"/>
      <c r="S101" s="153"/>
    </row>
    <row r="102" spans="1:19" s="58" customFormat="1" ht="18" customHeight="1">
      <c r="A102" s="153">
        <v>367</v>
      </c>
      <c r="B102" s="153" t="s">
        <v>451</v>
      </c>
      <c r="C102" s="153" t="s">
        <v>197</v>
      </c>
      <c r="D102" s="168">
        <v>3</v>
      </c>
      <c r="E102" s="153" t="s">
        <v>151</v>
      </c>
      <c r="F102" s="153"/>
      <c r="G102" s="153" t="s">
        <v>197</v>
      </c>
      <c r="H102" s="153" t="s">
        <v>1612</v>
      </c>
      <c r="I102" s="153" t="s">
        <v>2618</v>
      </c>
      <c r="J102" s="153" t="s">
        <v>359</v>
      </c>
      <c r="K102" s="153" t="s">
        <v>353</v>
      </c>
      <c r="L102" s="153" t="s">
        <v>451</v>
      </c>
      <c r="M102" s="153" t="s">
        <v>197</v>
      </c>
      <c r="N102" s="153" t="s">
        <v>2766</v>
      </c>
      <c r="P102" s="153">
        <v>165</v>
      </c>
      <c r="R102" s="153"/>
      <c r="S102" s="153"/>
    </row>
    <row r="103" spans="1:19" s="58" customFormat="1" ht="18" customHeight="1">
      <c r="A103" s="153">
        <v>368</v>
      </c>
      <c r="B103" s="153" t="s">
        <v>452</v>
      </c>
      <c r="C103" s="153" t="s">
        <v>202</v>
      </c>
      <c r="D103" s="168">
        <v>1</v>
      </c>
      <c r="E103" s="153" t="s">
        <v>152</v>
      </c>
      <c r="F103" s="153"/>
      <c r="G103" s="153" t="s">
        <v>202</v>
      </c>
      <c r="H103" s="153" t="s">
        <v>1612</v>
      </c>
      <c r="I103" s="153" t="s">
        <v>2618</v>
      </c>
      <c r="J103" s="153" t="s">
        <v>359</v>
      </c>
      <c r="K103" s="153" t="s">
        <v>353</v>
      </c>
      <c r="L103" s="153" t="s">
        <v>452</v>
      </c>
      <c r="M103" s="153" t="s">
        <v>202</v>
      </c>
      <c r="N103" s="153" t="s">
        <v>2767</v>
      </c>
      <c r="P103" s="153">
        <v>166</v>
      </c>
      <c r="R103" s="153"/>
      <c r="S103" s="153"/>
    </row>
    <row r="104" spans="1:19" s="58" customFormat="1" ht="18" customHeight="1">
      <c r="A104" s="153">
        <v>369</v>
      </c>
      <c r="B104" s="153" t="s">
        <v>452</v>
      </c>
      <c r="C104" s="153" t="s">
        <v>198</v>
      </c>
      <c r="D104" s="168">
        <v>2</v>
      </c>
      <c r="E104" s="153" t="s">
        <v>152</v>
      </c>
      <c r="F104" s="153"/>
      <c r="G104" s="153" t="s">
        <v>198</v>
      </c>
      <c r="H104" s="153" t="s">
        <v>1612</v>
      </c>
      <c r="I104" s="153" t="s">
        <v>2618</v>
      </c>
      <c r="J104" s="153" t="s">
        <v>359</v>
      </c>
      <c r="K104" s="153" t="s">
        <v>353</v>
      </c>
      <c r="L104" s="153" t="s">
        <v>452</v>
      </c>
      <c r="M104" s="153" t="s">
        <v>198</v>
      </c>
      <c r="N104" s="153" t="s">
        <v>2767</v>
      </c>
      <c r="P104" s="153">
        <v>167</v>
      </c>
      <c r="R104" s="153"/>
      <c r="S104" s="153"/>
    </row>
    <row r="105" spans="1:19" s="58" customFormat="1" ht="18" customHeight="1">
      <c r="A105" s="153">
        <v>370</v>
      </c>
      <c r="B105" s="153" t="s">
        <v>452</v>
      </c>
      <c r="C105" s="153" t="s">
        <v>554</v>
      </c>
      <c r="D105" s="168">
        <v>3</v>
      </c>
      <c r="E105" s="153" t="s">
        <v>152</v>
      </c>
      <c r="F105" s="153"/>
      <c r="G105" s="153" t="s">
        <v>554</v>
      </c>
      <c r="H105" s="153" t="s">
        <v>1612</v>
      </c>
      <c r="I105" s="153" t="s">
        <v>2618</v>
      </c>
      <c r="J105" s="153" t="s">
        <v>359</v>
      </c>
      <c r="K105" s="153" t="s">
        <v>353</v>
      </c>
      <c r="L105" s="153" t="s">
        <v>452</v>
      </c>
      <c r="M105" s="153" t="s">
        <v>554</v>
      </c>
      <c r="N105" s="153" t="s">
        <v>2767</v>
      </c>
      <c r="P105" s="153">
        <v>198</v>
      </c>
      <c r="R105" s="153"/>
      <c r="S105" s="153"/>
    </row>
    <row r="106" spans="1:19" s="58" customFormat="1" ht="18" customHeight="1">
      <c r="A106" s="153">
        <v>371</v>
      </c>
      <c r="B106" s="153" t="s">
        <v>452</v>
      </c>
      <c r="C106" s="153" t="s">
        <v>197</v>
      </c>
      <c r="D106" s="168">
        <v>3</v>
      </c>
      <c r="E106" s="153" t="s">
        <v>152</v>
      </c>
      <c r="F106" s="153"/>
      <c r="G106" s="153" t="s">
        <v>197</v>
      </c>
      <c r="H106" s="153" t="s">
        <v>1612</v>
      </c>
      <c r="I106" s="153" t="s">
        <v>2618</v>
      </c>
      <c r="J106" s="153" t="s">
        <v>359</v>
      </c>
      <c r="K106" s="153" t="s">
        <v>353</v>
      </c>
      <c r="L106" s="153" t="s">
        <v>452</v>
      </c>
      <c r="M106" s="153" t="s">
        <v>197</v>
      </c>
      <c r="N106" s="153" t="s">
        <v>2767</v>
      </c>
      <c r="P106" s="153">
        <v>168</v>
      </c>
      <c r="R106" s="153"/>
      <c r="S106" s="153"/>
    </row>
    <row r="107" spans="1:19" s="58" customFormat="1" ht="18" customHeight="1">
      <c r="A107" s="153">
        <v>372</v>
      </c>
      <c r="B107" s="153" t="s">
        <v>448</v>
      </c>
      <c r="C107" s="153" t="s">
        <v>202</v>
      </c>
      <c r="D107" s="168">
        <v>1</v>
      </c>
      <c r="E107" s="153" t="s">
        <v>153</v>
      </c>
      <c r="F107" s="153"/>
      <c r="G107" s="153" t="s">
        <v>202</v>
      </c>
      <c r="H107" s="153" t="s">
        <v>1612</v>
      </c>
      <c r="I107" s="153" t="s">
        <v>2618</v>
      </c>
      <c r="J107" s="153" t="s">
        <v>359</v>
      </c>
      <c r="K107" s="153" t="s">
        <v>353</v>
      </c>
      <c r="L107" s="153" t="s">
        <v>448</v>
      </c>
      <c r="M107" s="153" t="s">
        <v>202</v>
      </c>
      <c r="N107" s="153" t="s">
        <v>2768</v>
      </c>
      <c r="P107" s="153">
        <v>169</v>
      </c>
      <c r="R107" s="153"/>
      <c r="S107" s="153"/>
    </row>
    <row r="108" spans="1:19" s="58" customFormat="1" ht="18" customHeight="1">
      <c r="A108" s="153">
        <v>373</v>
      </c>
      <c r="B108" s="153" t="s">
        <v>448</v>
      </c>
      <c r="C108" s="153" t="s">
        <v>198</v>
      </c>
      <c r="D108" s="168">
        <v>2</v>
      </c>
      <c r="E108" s="153" t="s">
        <v>153</v>
      </c>
      <c r="F108" s="153"/>
      <c r="G108" s="153" t="s">
        <v>198</v>
      </c>
      <c r="H108" s="153" t="s">
        <v>1612</v>
      </c>
      <c r="I108" s="153" t="s">
        <v>2618</v>
      </c>
      <c r="J108" s="153" t="s">
        <v>359</v>
      </c>
      <c r="K108" s="153" t="s">
        <v>353</v>
      </c>
      <c r="L108" s="153" t="s">
        <v>448</v>
      </c>
      <c r="M108" s="153" t="s">
        <v>198</v>
      </c>
      <c r="N108" s="153" t="s">
        <v>2768</v>
      </c>
      <c r="P108" s="153">
        <v>170</v>
      </c>
      <c r="R108" s="153"/>
      <c r="S108" s="153"/>
    </row>
    <row r="109" spans="1:19" s="58" customFormat="1" ht="18" customHeight="1">
      <c r="A109" s="153">
        <v>374</v>
      </c>
      <c r="B109" s="153" t="s">
        <v>448</v>
      </c>
      <c r="C109" s="153" t="s">
        <v>554</v>
      </c>
      <c r="D109" s="168">
        <v>3</v>
      </c>
      <c r="E109" s="153" t="s">
        <v>153</v>
      </c>
      <c r="F109" s="153"/>
      <c r="G109" s="153" t="s">
        <v>554</v>
      </c>
      <c r="H109" s="153" t="s">
        <v>1612</v>
      </c>
      <c r="I109" s="153" t="s">
        <v>2618</v>
      </c>
      <c r="J109" s="153" t="s">
        <v>359</v>
      </c>
      <c r="K109" s="153" t="s">
        <v>353</v>
      </c>
      <c r="L109" s="153" t="s">
        <v>448</v>
      </c>
      <c r="M109" s="153" t="s">
        <v>554</v>
      </c>
      <c r="N109" s="153" t="s">
        <v>2768</v>
      </c>
      <c r="P109" s="153">
        <v>197</v>
      </c>
      <c r="R109" s="153"/>
      <c r="S109" s="153"/>
    </row>
    <row r="110" spans="1:19" s="58" customFormat="1" ht="18" customHeight="1">
      <c r="A110" s="153">
        <v>375</v>
      </c>
      <c r="B110" s="153" t="s">
        <v>448</v>
      </c>
      <c r="C110" s="153" t="s">
        <v>197</v>
      </c>
      <c r="D110" s="168">
        <v>3</v>
      </c>
      <c r="E110" s="153" t="s">
        <v>153</v>
      </c>
      <c r="F110" s="153"/>
      <c r="G110" s="153" t="s">
        <v>197</v>
      </c>
      <c r="H110" s="153" t="s">
        <v>1612</v>
      </c>
      <c r="I110" s="153" t="s">
        <v>2618</v>
      </c>
      <c r="J110" s="153" t="s">
        <v>359</v>
      </c>
      <c r="K110" s="153" t="s">
        <v>353</v>
      </c>
      <c r="L110" s="153" t="s">
        <v>448</v>
      </c>
      <c r="M110" s="153" t="s">
        <v>197</v>
      </c>
      <c r="N110" s="153" t="s">
        <v>2768</v>
      </c>
      <c r="P110" s="153">
        <v>171</v>
      </c>
      <c r="R110" s="153"/>
      <c r="S110" s="153"/>
    </row>
    <row r="111" spans="1:19" s="58" customFormat="1" ht="18" customHeight="1">
      <c r="A111" s="153">
        <v>718</v>
      </c>
      <c r="B111" s="153" t="s">
        <v>772</v>
      </c>
      <c r="C111" s="153" t="s">
        <v>874</v>
      </c>
      <c r="D111" s="168">
        <v>1</v>
      </c>
      <c r="E111" s="153" t="s">
        <v>760</v>
      </c>
      <c r="F111" s="153"/>
      <c r="G111" s="153" t="s">
        <v>874</v>
      </c>
      <c r="H111" s="153" t="s">
        <v>1419</v>
      </c>
      <c r="I111" s="153" t="s">
        <v>3000</v>
      </c>
      <c r="J111" s="153" t="s">
        <v>359</v>
      </c>
      <c r="K111" s="153" t="s">
        <v>84</v>
      </c>
      <c r="L111" s="153" t="s">
        <v>772</v>
      </c>
      <c r="M111" s="153" t="s">
        <v>874</v>
      </c>
      <c r="N111" s="153"/>
      <c r="O111" s="58" t="s">
        <v>2909</v>
      </c>
      <c r="P111" s="153"/>
      <c r="Q111" s="58">
        <v>525</v>
      </c>
      <c r="R111" s="153"/>
      <c r="S111" s="153"/>
    </row>
    <row r="112" spans="1:19" s="58" customFormat="1" ht="18" customHeight="1">
      <c r="A112" s="153">
        <v>719</v>
      </c>
      <c r="B112" s="153" t="s">
        <v>772</v>
      </c>
      <c r="C112" s="153" t="s">
        <v>622</v>
      </c>
      <c r="D112" s="168">
        <v>2</v>
      </c>
      <c r="E112" s="153" t="s">
        <v>760</v>
      </c>
      <c r="F112" s="153"/>
      <c r="G112" s="153" t="s">
        <v>622</v>
      </c>
      <c r="H112" s="153" t="s">
        <v>1419</v>
      </c>
      <c r="I112" s="153" t="s">
        <v>3000</v>
      </c>
      <c r="J112" s="153" t="s">
        <v>359</v>
      </c>
      <c r="K112" s="153" t="s">
        <v>84</v>
      </c>
      <c r="L112" s="153" t="s">
        <v>772</v>
      </c>
      <c r="M112" s="153" t="s">
        <v>622</v>
      </c>
      <c r="N112" s="153"/>
      <c r="O112" s="58" t="s">
        <v>2909</v>
      </c>
      <c r="P112" s="153"/>
      <c r="Q112" s="58">
        <v>526</v>
      </c>
      <c r="R112" s="153"/>
      <c r="S112" s="153"/>
    </row>
    <row r="113" spans="1:19" s="58" customFormat="1" ht="18" customHeight="1">
      <c r="A113" s="153">
        <v>720</v>
      </c>
      <c r="B113" s="153" t="s">
        <v>772</v>
      </c>
      <c r="C113" s="153" t="s">
        <v>621</v>
      </c>
      <c r="D113" s="168">
        <v>3</v>
      </c>
      <c r="E113" s="153" t="s">
        <v>760</v>
      </c>
      <c r="F113" s="153"/>
      <c r="G113" s="153" t="s">
        <v>621</v>
      </c>
      <c r="H113" s="153" t="s">
        <v>1419</v>
      </c>
      <c r="I113" s="153" t="s">
        <v>3000</v>
      </c>
      <c r="J113" s="153" t="s">
        <v>359</v>
      </c>
      <c r="K113" s="153" t="s">
        <v>84</v>
      </c>
      <c r="L113" s="153" t="s">
        <v>772</v>
      </c>
      <c r="M113" s="153" t="s">
        <v>621</v>
      </c>
      <c r="N113" s="153"/>
      <c r="O113" s="58" t="s">
        <v>2909</v>
      </c>
      <c r="P113" s="153"/>
      <c r="Q113" s="58">
        <v>527</v>
      </c>
      <c r="R113" s="153"/>
      <c r="S113" s="153"/>
    </row>
    <row r="114" spans="1:19" s="58" customFormat="1" ht="18" customHeight="1">
      <c r="A114" s="153">
        <v>721</v>
      </c>
      <c r="B114" s="153" t="s">
        <v>772</v>
      </c>
      <c r="C114" s="153" t="s">
        <v>620</v>
      </c>
      <c r="D114" s="168">
        <v>4</v>
      </c>
      <c r="E114" s="153" t="s">
        <v>760</v>
      </c>
      <c r="F114" s="153"/>
      <c r="G114" s="153" t="s">
        <v>620</v>
      </c>
      <c r="H114" s="153" t="s">
        <v>1419</v>
      </c>
      <c r="I114" s="153" t="s">
        <v>3000</v>
      </c>
      <c r="J114" s="153" t="s">
        <v>359</v>
      </c>
      <c r="K114" s="153" t="s">
        <v>84</v>
      </c>
      <c r="L114" s="153" t="s">
        <v>772</v>
      </c>
      <c r="M114" s="153" t="s">
        <v>620</v>
      </c>
      <c r="N114" s="153"/>
      <c r="O114" s="58" t="s">
        <v>2909</v>
      </c>
      <c r="P114" s="153"/>
      <c r="Q114" s="58">
        <v>528</v>
      </c>
      <c r="R114" s="153"/>
      <c r="S114" s="153"/>
    </row>
    <row r="115" spans="1:19" s="58" customFormat="1" ht="18" customHeight="1">
      <c r="A115" s="153">
        <v>722</v>
      </c>
      <c r="B115" s="153" t="s">
        <v>772</v>
      </c>
      <c r="C115" s="153" t="s">
        <v>1420</v>
      </c>
      <c r="D115" s="168">
        <v>5</v>
      </c>
      <c r="E115" s="153" t="s">
        <v>760</v>
      </c>
      <c r="F115" s="153"/>
      <c r="G115" s="153" t="s">
        <v>1420</v>
      </c>
      <c r="H115" s="153" t="s">
        <v>1419</v>
      </c>
      <c r="I115" s="153" t="s">
        <v>3000</v>
      </c>
      <c r="J115" s="153" t="s">
        <v>359</v>
      </c>
      <c r="K115" s="153" t="s">
        <v>84</v>
      </c>
      <c r="L115" s="153" t="s">
        <v>772</v>
      </c>
      <c r="M115" s="153" t="s">
        <v>1420</v>
      </c>
      <c r="N115" s="153"/>
      <c r="O115" s="58" t="s">
        <v>2909</v>
      </c>
      <c r="P115" s="153"/>
      <c r="Q115" s="58">
        <v>530</v>
      </c>
      <c r="R115" s="153"/>
      <c r="S115" s="153"/>
    </row>
    <row r="116" spans="1:19" s="58" customFormat="1" ht="18" customHeight="1">
      <c r="A116" s="153">
        <v>723</v>
      </c>
      <c r="B116" s="153" t="s">
        <v>772</v>
      </c>
      <c r="C116" s="153" t="s">
        <v>554</v>
      </c>
      <c r="D116" s="168">
        <v>5</v>
      </c>
      <c r="E116" s="153" t="s">
        <v>760</v>
      </c>
      <c r="F116" s="153"/>
      <c r="G116" s="153" t="s">
        <v>554</v>
      </c>
      <c r="H116" s="153" t="s">
        <v>1419</v>
      </c>
      <c r="I116" s="153" t="s">
        <v>3000</v>
      </c>
      <c r="J116" s="153" t="s">
        <v>359</v>
      </c>
      <c r="K116" s="153" t="s">
        <v>84</v>
      </c>
      <c r="L116" s="153" t="s">
        <v>772</v>
      </c>
      <c r="M116" s="153" t="s">
        <v>554</v>
      </c>
      <c r="N116" s="153"/>
      <c r="O116" s="58" t="s">
        <v>2909</v>
      </c>
      <c r="P116" s="153"/>
      <c r="Q116" s="58">
        <v>529</v>
      </c>
      <c r="R116" s="153"/>
      <c r="S116" s="153"/>
    </row>
    <row r="117" spans="1:19" s="58" customFormat="1" ht="18" customHeight="1">
      <c r="A117" s="153">
        <v>378</v>
      </c>
      <c r="B117" s="153" t="s">
        <v>1358</v>
      </c>
      <c r="C117" s="153" t="s">
        <v>1359</v>
      </c>
      <c r="D117" s="168"/>
      <c r="E117" s="153" t="s">
        <v>156</v>
      </c>
      <c r="F117" s="153"/>
      <c r="G117" s="153" t="s">
        <v>1359</v>
      </c>
      <c r="H117" s="153" t="s">
        <v>1608</v>
      </c>
      <c r="I117" s="153" t="s">
        <v>2619</v>
      </c>
      <c r="J117" s="153" t="s">
        <v>359</v>
      </c>
      <c r="K117" s="153" t="s">
        <v>79</v>
      </c>
      <c r="L117" s="153" t="s">
        <v>1358</v>
      </c>
      <c r="M117" s="153" t="s">
        <v>1359</v>
      </c>
      <c r="N117" s="153" t="s">
        <v>2769</v>
      </c>
      <c r="P117" s="153">
        <v>424</v>
      </c>
      <c r="R117" s="153"/>
      <c r="S117" s="153"/>
    </row>
    <row r="118" spans="1:19" s="58" customFormat="1" ht="18" customHeight="1">
      <c r="A118" s="153">
        <v>379</v>
      </c>
      <c r="B118" s="153" t="s">
        <v>1358</v>
      </c>
      <c r="C118" s="153" t="s">
        <v>1360</v>
      </c>
      <c r="D118" s="168"/>
      <c r="E118" s="153" t="s">
        <v>156</v>
      </c>
      <c r="F118" s="153"/>
      <c r="G118" s="153" t="s">
        <v>1360</v>
      </c>
      <c r="H118" s="153" t="s">
        <v>1608</v>
      </c>
      <c r="I118" s="153" t="s">
        <v>2619</v>
      </c>
      <c r="J118" s="153" t="s">
        <v>359</v>
      </c>
      <c r="K118" s="153" t="s">
        <v>79</v>
      </c>
      <c r="L118" s="153" t="s">
        <v>1358</v>
      </c>
      <c r="M118" s="153" t="s">
        <v>1360</v>
      </c>
      <c r="N118" s="153" t="s">
        <v>2769</v>
      </c>
      <c r="P118" s="153">
        <v>426</v>
      </c>
      <c r="R118" s="153"/>
      <c r="S118" s="153"/>
    </row>
    <row r="119" spans="1:19" s="58" customFormat="1" ht="18" customHeight="1">
      <c r="A119" s="153">
        <v>380</v>
      </c>
      <c r="B119" s="153" t="s">
        <v>1358</v>
      </c>
      <c r="C119" s="153" t="s">
        <v>1361</v>
      </c>
      <c r="D119" s="168"/>
      <c r="E119" s="153" t="s">
        <v>156</v>
      </c>
      <c r="F119" s="153"/>
      <c r="G119" s="153" t="s">
        <v>1361</v>
      </c>
      <c r="H119" s="153" t="s">
        <v>1608</v>
      </c>
      <c r="I119" s="153" t="s">
        <v>2619</v>
      </c>
      <c r="J119" s="153" t="s">
        <v>359</v>
      </c>
      <c r="K119" s="153" t="s">
        <v>79</v>
      </c>
      <c r="L119" s="153" t="s">
        <v>1358</v>
      </c>
      <c r="M119" s="153" t="s">
        <v>1361</v>
      </c>
      <c r="N119" s="153" t="s">
        <v>2769</v>
      </c>
      <c r="P119" s="153">
        <v>425</v>
      </c>
      <c r="R119" s="153"/>
      <c r="S119" s="153"/>
    </row>
    <row r="120" spans="1:19" s="58" customFormat="1" ht="18" customHeight="1">
      <c r="A120" s="153">
        <v>381</v>
      </c>
      <c r="B120" s="153" t="s">
        <v>1358</v>
      </c>
      <c r="C120" s="153" t="s">
        <v>1362</v>
      </c>
      <c r="D120" s="168"/>
      <c r="E120" s="153" t="s">
        <v>156</v>
      </c>
      <c r="F120" s="153"/>
      <c r="G120" s="153" t="s">
        <v>1362</v>
      </c>
      <c r="H120" s="153" t="s">
        <v>1608</v>
      </c>
      <c r="I120" s="153" t="s">
        <v>2619</v>
      </c>
      <c r="J120" s="153" t="s">
        <v>359</v>
      </c>
      <c r="K120" s="153" t="s">
        <v>79</v>
      </c>
      <c r="L120" s="153" t="s">
        <v>1358</v>
      </c>
      <c r="M120" s="153" t="s">
        <v>1362</v>
      </c>
      <c r="N120" s="153" t="s">
        <v>2769</v>
      </c>
      <c r="P120" s="153">
        <v>427</v>
      </c>
      <c r="R120" s="153"/>
      <c r="S120" s="153"/>
    </row>
    <row r="121" spans="1:19" s="58" customFormat="1" ht="18" customHeight="1">
      <c r="A121" s="153">
        <v>382</v>
      </c>
      <c r="B121" s="153" t="s">
        <v>1358</v>
      </c>
      <c r="C121" s="153" t="s">
        <v>1363</v>
      </c>
      <c r="D121" s="168"/>
      <c r="E121" s="153" t="s">
        <v>156</v>
      </c>
      <c r="F121" s="153"/>
      <c r="G121" s="153" t="s">
        <v>1363</v>
      </c>
      <c r="H121" s="153" t="s">
        <v>1608</v>
      </c>
      <c r="I121" s="153" t="s">
        <v>2619</v>
      </c>
      <c r="J121" s="153" t="s">
        <v>359</v>
      </c>
      <c r="K121" s="153" t="s">
        <v>79</v>
      </c>
      <c r="L121" s="153" t="s">
        <v>1358</v>
      </c>
      <c r="M121" s="153" t="s">
        <v>1363</v>
      </c>
      <c r="N121" s="153" t="s">
        <v>2769</v>
      </c>
      <c r="P121" s="153">
        <v>423</v>
      </c>
      <c r="R121" s="153"/>
      <c r="S121" s="153"/>
    </row>
    <row r="122" spans="1:19" s="58" customFormat="1" ht="18" customHeight="1">
      <c r="A122" s="153">
        <v>383</v>
      </c>
      <c r="B122" s="153" t="s">
        <v>1358</v>
      </c>
      <c r="C122" s="153" t="s">
        <v>554</v>
      </c>
      <c r="D122" s="168"/>
      <c r="E122" s="153" t="s">
        <v>156</v>
      </c>
      <c r="F122" s="153"/>
      <c r="G122" s="153" t="s">
        <v>554</v>
      </c>
      <c r="H122" s="153" t="s">
        <v>1608</v>
      </c>
      <c r="I122" s="153" t="s">
        <v>2619</v>
      </c>
      <c r="J122" s="153" t="s">
        <v>359</v>
      </c>
      <c r="K122" s="153" t="s">
        <v>79</v>
      </c>
      <c r="L122" s="153" t="s">
        <v>1358</v>
      </c>
      <c r="M122" s="153" t="s">
        <v>554</v>
      </c>
      <c r="N122" s="153" t="s">
        <v>2769</v>
      </c>
      <c r="P122" s="153">
        <v>428</v>
      </c>
      <c r="R122" s="153"/>
      <c r="S122" s="153"/>
    </row>
    <row r="123" spans="1:19" s="58" customFormat="1" ht="18" customHeight="1">
      <c r="A123" s="153">
        <v>384</v>
      </c>
      <c r="B123" s="153" t="s">
        <v>186</v>
      </c>
      <c r="C123" s="153" t="s">
        <v>554</v>
      </c>
      <c r="D123" s="168">
        <v>0</v>
      </c>
      <c r="E123" s="153" t="s">
        <v>98</v>
      </c>
      <c r="F123" s="153"/>
      <c r="G123" s="153" t="s">
        <v>554</v>
      </c>
      <c r="H123" s="153" t="s">
        <v>3001</v>
      </c>
      <c r="I123" s="153" t="s">
        <v>2646</v>
      </c>
      <c r="J123" s="153" t="s">
        <v>351</v>
      </c>
      <c r="K123" s="153" t="s">
        <v>79</v>
      </c>
      <c r="L123" s="153" t="s">
        <v>186</v>
      </c>
      <c r="M123" s="153" t="s">
        <v>554</v>
      </c>
      <c r="N123" s="153" t="s">
        <v>2770</v>
      </c>
      <c r="P123" s="153">
        <v>429</v>
      </c>
      <c r="R123" s="153"/>
      <c r="S123" s="153"/>
    </row>
    <row r="124" spans="1:19" s="58" customFormat="1" ht="18" customHeight="1">
      <c r="A124" s="153">
        <v>385</v>
      </c>
      <c r="B124" s="153" t="s">
        <v>186</v>
      </c>
      <c r="C124" s="153" t="s">
        <v>818</v>
      </c>
      <c r="D124" s="168">
        <v>10</v>
      </c>
      <c r="E124" s="153" t="s">
        <v>98</v>
      </c>
      <c r="F124" s="153"/>
      <c r="G124" s="153" t="s">
        <v>818</v>
      </c>
      <c r="H124" s="153" t="s">
        <v>3001</v>
      </c>
      <c r="I124" s="153" t="s">
        <v>2646</v>
      </c>
      <c r="J124" s="153" t="s">
        <v>351</v>
      </c>
      <c r="K124" s="153" t="s">
        <v>79</v>
      </c>
      <c r="L124" s="153" t="s">
        <v>186</v>
      </c>
      <c r="M124" s="153" t="s">
        <v>818</v>
      </c>
      <c r="N124" s="153" t="s">
        <v>2770</v>
      </c>
      <c r="P124" s="153">
        <v>61</v>
      </c>
      <c r="R124" s="153"/>
      <c r="S124" s="153"/>
    </row>
    <row r="125" spans="1:19" s="58" customFormat="1" ht="18" customHeight="1">
      <c r="A125" s="153">
        <v>386</v>
      </c>
      <c r="B125" s="153" t="s">
        <v>186</v>
      </c>
      <c r="C125" s="153" t="s">
        <v>817</v>
      </c>
      <c r="D125" s="168">
        <v>20</v>
      </c>
      <c r="E125" s="153" t="s">
        <v>98</v>
      </c>
      <c r="F125" s="153"/>
      <c r="G125" s="153" t="s">
        <v>817</v>
      </c>
      <c r="H125" s="153" t="s">
        <v>3001</v>
      </c>
      <c r="I125" s="153" t="s">
        <v>2646</v>
      </c>
      <c r="J125" s="153" t="s">
        <v>351</v>
      </c>
      <c r="K125" s="153" t="s">
        <v>79</v>
      </c>
      <c r="L125" s="153" t="s">
        <v>186</v>
      </c>
      <c r="M125" s="153" t="s">
        <v>817</v>
      </c>
      <c r="N125" s="153" t="s">
        <v>2770</v>
      </c>
      <c r="P125" s="153">
        <v>62</v>
      </c>
      <c r="R125" s="153"/>
      <c r="S125" s="153"/>
    </row>
    <row r="126" spans="1:19" s="58" customFormat="1" ht="18" customHeight="1">
      <c r="A126" s="153">
        <v>387</v>
      </c>
      <c r="B126" s="153" t="s">
        <v>186</v>
      </c>
      <c r="C126" s="153" t="s">
        <v>824</v>
      </c>
      <c r="D126" s="168">
        <v>30</v>
      </c>
      <c r="E126" s="153" t="s">
        <v>98</v>
      </c>
      <c r="F126" s="153"/>
      <c r="G126" s="153" t="s">
        <v>824</v>
      </c>
      <c r="H126" s="153" t="s">
        <v>3001</v>
      </c>
      <c r="I126" s="153" t="s">
        <v>2646</v>
      </c>
      <c r="J126" s="153" t="s">
        <v>351</v>
      </c>
      <c r="K126" s="153" t="s">
        <v>79</v>
      </c>
      <c r="L126" s="153" t="s">
        <v>186</v>
      </c>
      <c r="M126" s="153" t="s">
        <v>824</v>
      </c>
      <c r="N126" s="153" t="s">
        <v>2770</v>
      </c>
      <c r="P126" s="153">
        <v>63</v>
      </c>
      <c r="R126" s="153"/>
      <c r="S126" s="153"/>
    </row>
    <row r="127" spans="1:19" s="58" customFormat="1" ht="18" customHeight="1">
      <c r="A127" s="153">
        <v>388</v>
      </c>
      <c r="B127" s="153" t="s">
        <v>186</v>
      </c>
      <c r="C127" s="153" t="s">
        <v>559</v>
      </c>
      <c r="D127" s="168">
        <v>40</v>
      </c>
      <c r="E127" s="153" t="s">
        <v>98</v>
      </c>
      <c r="F127" s="153"/>
      <c r="G127" s="153" t="s">
        <v>559</v>
      </c>
      <c r="H127" s="153" t="s">
        <v>3001</v>
      </c>
      <c r="I127" s="153" t="s">
        <v>2646</v>
      </c>
      <c r="J127" s="153" t="s">
        <v>351</v>
      </c>
      <c r="K127" s="153" t="s">
        <v>79</v>
      </c>
      <c r="L127" s="153" t="s">
        <v>186</v>
      </c>
      <c r="M127" s="153" t="s">
        <v>559</v>
      </c>
      <c r="N127" s="153" t="s">
        <v>2770</v>
      </c>
      <c r="P127" s="153">
        <v>430</v>
      </c>
      <c r="R127" s="153"/>
      <c r="S127" s="153"/>
    </row>
    <row r="128" spans="1:19" s="58" customFormat="1" ht="18" customHeight="1">
      <c r="A128" s="153">
        <v>389</v>
      </c>
      <c r="B128" s="153" t="s">
        <v>186</v>
      </c>
      <c r="C128" s="153" t="s">
        <v>821</v>
      </c>
      <c r="D128" s="168">
        <v>50</v>
      </c>
      <c r="E128" s="153" t="s">
        <v>98</v>
      </c>
      <c r="F128" s="153"/>
      <c r="G128" s="153" t="s">
        <v>821</v>
      </c>
      <c r="H128" s="153" t="s">
        <v>3001</v>
      </c>
      <c r="I128" s="153" t="s">
        <v>2646</v>
      </c>
      <c r="J128" s="153" t="s">
        <v>351</v>
      </c>
      <c r="K128" s="153" t="s">
        <v>79</v>
      </c>
      <c r="L128" s="153" t="s">
        <v>186</v>
      </c>
      <c r="M128" s="153" t="s">
        <v>821</v>
      </c>
      <c r="N128" s="153" t="s">
        <v>2770</v>
      </c>
      <c r="P128" s="153">
        <v>64</v>
      </c>
      <c r="R128" s="153"/>
      <c r="S128" s="153"/>
    </row>
    <row r="129" spans="1:19" s="58" customFormat="1" ht="18" customHeight="1">
      <c r="A129" s="153">
        <v>390</v>
      </c>
      <c r="B129" s="153" t="s">
        <v>186</v>
      </c>
      <c r="C129" s="153" t="s">
        <v>1364</v>
      </c>
      <c r="D129" s="168">
        <v>60</v>
      </c>
      <c r="E129" s="153" t="s">
        <v>98</v>
      </c>
      <c r="F129" s="153"/>
      <c r="G129" s="153" t="s">
        <v>1364</v>
      </c>
      <c r="H129" s="153" t="s">
        <v>3001</v>
      </c>
      <c r="I129" s="153" t="s">
        <v>2646</v>
      </c>
      <c r="J129" s="153" t="s">
        <v>351</v>
      </c>
      <c r="K129" s="153" t="s">
        <v>79</v>
      </c>
      <c r="L129" s="153" t="s">
        <v>186</v>
      </c>
      <c r="M129" s="153" t="s">
        <v>1364</v>
      </c>
      <c r="N129" s="153" t="s">
        <v>2770</v>
      </c>
      <c r="P129" s="153">
        <v>65</v>
      </c>
      <c r="R129" s="153"/>
      <c r="S129" s="153"/>
    </row>
    <row r="130" spans="1:19" s="58" customFormat="1" ht="18" customHeight="1">
      <c r="A130" s="153">
        <v>391</v>
      </c>
      <c r="B130" s="153" t="s">
        <v>186</v>
      </c>
      <c r="C130" s="153" t="s">
        <v>1365</v>
      </c>
      <c r="D130" s="168">
        <v>70</v>
      </c>
      <c r="E130" s="153" t="s">
        <v>98</v>
      </c>
      <c r="F130" s="153"/>
      <c r="G130" s="153" t="s">
        <v>1365</v>
      </c>
      <c r="H130" s="153" t="s">
        <v>3001</v>
      </c>
      <c r="I130" s="153" t="s">
        <v>2646</v>
      </c>
      <c r="J130" s="153" t="s">
        <v>351</v>
      </c>
      <c r="K130" s="153" t="s">
        <v>79</v>
      </c>
      <c r="L130" s="153" t="s">
        <v>186</v>
      </c>
      <c r="M130" s="153" t="s">
        <v>1365</v>
      </c>
      <c r="N130" s="153" t="s">
        <v>2770</v>
      </c>
      <c r="P130" s="153">
        <v>66</v>
      </c>
      <c r="R130" s="153"/>
      <c r="S130" s="153"/>
    </row>
    <row r="131" spans="1:19" s="58" customFormat="1" ht="18" customHeight="1">
      <c r="A131" s="153">
        <v>392</v>
      </c>
      <c r="B131" s="153" t="s">
        <v>187</v>
      </c>
      <c r="C131" s="153" t="s">
        <v>554</v>
      </c>
      <c r="D131" s="168">
        <v>0</v>
      </c>
      <c r="E131" s="153" t="s">
        <v>99</v>
      </c>
      <c r="F131" s="153"/>
      <c r="G131" s="153" t="s">
        <v>565</v>
      </c>
      <c r="H131" s="153" t="s">
        <v>3002</v>
      </c>
      <c r="I131" s="153" t="s">
        <v>2646</v>
      </c>
      <c r="J131" s="153" t="s">
        <v>351</v>
      </c>
      <c r="K131" s="153" t="s">
        <v>79</v>
      </c>
      <c r="L131" s="153" t="s">
        <v>187</v>
      </c>
      <c r="M131" s="153" t="s">
        <v>565</v>
      </c>
      <c r="N131" s="153" t="s">
        <v>2771</v>
      </c>
      <c r="P131" s="153"/>
      <c r="R131" s="153"/>
      <c r="S131" s="153"/>
    </row>
    <row r="132" spans="1:19" s="58" customFormat="1" ht="18" customHeight="1">
      <c r="A132" s="153">
        <v>393</v>
      </c>
      <c r="B132" s="153" t="s">
        <v>187</v>
      </c>
      <c r="C132" s="153" t="s">
        <v>822</v>
      </c>
      <c r="D132" s="168">
        <v>10</v>
      </c>
      <c r="E132" s="153" t="s">
        <v>99</v>
      </c>
      <c r="F132" s="153"/>
      <c r="G132" s="153" t="s">
        <v>561</v>
      </c>
      <c r="H132" s="153" t="s">
        <v>3002</v>
      </c>
      <c r="I132" s="153" t="s">
        <v>2646</v>
      </c>
      <c r="J132" s="153" t="s">
        <v>351</v>
      </c>
      <c r="K132" s="153" t="s">
        <v>79</v>
      </c>
      <c r="L132" s="153" t="s">
        <v>187</v>
      </c>
      <c r="M132" s="153" t="s">
        <v>822</v>
      </c>
      <c r="N132" s="153" t="s">
        <v>2771</v>
      </c>
      <c r="P132" s="153">
        <v>69</v>
      </c>
      <c r="R132" s="153"/>
      <c r="S132" s="153"/>
    </row>
    <row r="133" spans="1:19" s="58" customFormat="1" ht="18" customHeight="1">
      <c r="A133" s="153">
        <v>394</v>
      </c>
      <c r="B133" s="153" t="s">
        <v>187</v>
      </c>
      <c r="C133" s="153" t="s">
        <v>826</v>
      </c>
      <c r="D133" s="168">
        <v>20</v>
      </c>
      <c r="E133" s="153" t="s">
        <v>99</v>
      </c>
      <c r="F133" s="153"/>
      <c r="G133" s="153" t="s">
        <v>562</v>
      </c>
      <c r="H133" s="153" t="s">
        <v>3002</v>
      </c>
      <c r="I133" s="153" t="s">
        <v>2646</v>
      </c>
      <c r="J133" s="153" t="s">
        <v>351</v>
      </c>
      <c r="K133" s="153" t="s">
        <v>79</v>
      </c>
      <c r="L133" s="153" t="s">
        <v>187</v>
      </c>
      <c r="M133" s="153" t="s">
        <v>826</v>
      </c>
      <c r="N133" s="153" t="s">
        <v>2771</v>
      </c>
      <c r="P133" s="153">
        <v>70</v>
      </c>
      <c r="R133" s="153"/>
      <c r="S133" s="153"/>
    </row>
    <row r="134" spans="1:19" s="58" customFormat="1" ht="18" customHeight="1">
      <c r="A134" s="153">
        <v>395</v>
      </c>
      <c r="B134" s="153" t="s">
        <v>187</v>
      </c>
      <c r="C134" s="153" t="s">
        <v>563</v>
      </c>
      <c r="D134" s="168">
        <v>30</v>
      </c>
      <c r="E134" s="153" t="s">
        <v>99</v>
      </c>
      <c r="F134" s="153"/>
      <c r="G134" s="153" t="s">
        <v>563</v>
      </c>
      <c r="H134" s="153" t="s">
        <v>3002</v>
      </c>
      <c r="I134" s="153" t="s">
        <v>2646</v>
      </c>
      <c r="J134" s="153" t="s">
        <v>351</v>
      </c>
      <c r="K134" s="153" t="s">
        <v>79</v>
      </c>
      <c r="L134" s="153" t="s">
        <v>187</v>
      </c>
      <c r="M134" s="153" t="s">
        <v>563</v>
      </c>
      <c r="N134" s="153" t="s">
        <v>2771</v>
      </c>
      <c r="P134" s="153">
        <v>71</v>
      </c>
      <c r="R134" s="153"/>
      <c r="S134" s="153"/>
    </row>
    <row r="135" spans="1:19" s="58" customFormat="1" ht="18" customHeight="1">
      <c r="A135" s="153">
        <v>396</v>
      </c>
      <c r="B135" s="153" t="s">
        <v>187</v>
      </c>
      <c r="C135" s="153" t="s">
        <v>825</v>
      </c>
      <c r="D135" s="168">
        <v>40</v>
      </c>
      <c r="E135" s="153" t="s">
        <v>99</v>
      </c>
      <c r="F135" s="153"/>
      <c r="G135" s="153" t="s">
        <v>566</v>
      </c>
      <c r="H135" s="153" t="s">
        <v>3002</v>
      </c>
      <c r="I135" s="153" t="s">
        <v>2646</v>
      </c>
      <c r="J135" s="153" t="s">
        <v>351</v>
      </c>
      <c r="K135" s="153" t="s">
        <v>79</v>
      </c>
      <c r="L135" s="153" t="s">
        <v>187</v>
      </c>
      <c r="M135" s="153" t="s">
        <v>566</v>
      </c>
      <c r="N135" s="153" t="s">
        <v>2771</v>
      </c>
      <c r="P135" s="153">
        <v>72</v>
      </c>
      <c r="R135" s="153"/>
      <c r="S135" s="153"/>
    </row>
    <row r="136" spans="1:19" s="58" customFormat="1" ht="18" customHeight="1">
      <c r="A136" s="153">
        <v>397</v>
      </c>
      <c r="B136" s="153" t="s">
        <v>187</v>
      </c>
      <c r="C136" s="153" t="s">
        <v>560</v>
      </c>
      <c r="D136" s="168">
        <v>50</v>
      </c>
      <c r="E136" s="153" t="s">
        <v>99</v>
      </c>
      <c r="F136" s="153"/>
      <c r="G136" s="153" t="s">
        <v>560</v>
      </c>
      <c r="H136" s="153" t="s">
        <v>3002</v>
      </c>
      <c r="I136" s="153" t="s">
        <v>2646</v>
      </c>
      <c r="J136" s="153" t="s">
        <v>351</v>
      </c>
      <c r="K136" s="153" t="s">
        <v>79</v>
      </c>
      <c r="L136" s="153" t="s">
        <v>187</v>
      </c>
      <c r="M136" s="153" t="s">
        <v>560</v>
      </c>
      <c r="N136" s="153" t="s">
        <v>2771</v>
      </c>
      <c r="P136" s="153">
        <v>73</v>
      </c>
      <c r="R136" s="153"/>
      <c r="S136" s="153"/>
    </row>
    <row r="137" spans="1:19" s="58" customFormat="1" ht="18" customHeight="1">
      <c r="A137" s="153">
        <v>398</v>
      </c>
      <c r="B137" s="153" t="s">
        <v>187</v>
      </c>
      <c r="C137" s="153" t="s">
        <v>567</v>
      </c>
      <c r="D137" s="168">
        <v>60</v>
      </c>
      <c r="E137" s="153" t="s">
        <v>99</v>
      </c>
      <c r="F137" s="153"/>
      <c r="G137" s="153" t="s">
        <v>567</v>
      </c>
      <c r="H137" s="153" t="s">
        <v>3002</v>
      </c>
      <c r="I137" s="153" t="s">
        <v>2646</v>
      </c>
      <c r="J137" s="153" t="s">
        <v>351</v>
      </c>
      <c r="K137" s="153" t="s">
        <v>79</v>
      </c>
      <c r="L137" s="153" t="s">
        <v>187</v>
      </c>
      <c r="M137" s="153" t="s">
        <v>567</v>
      </c>
      <c r="N137" s="153" t="s">
        <v>2771</v>
      </c>
      <c r="P137" s="153">
        <v>74</v>
      </c>
      <c r="R137" s="153"/>
      <c r="S137" s="153"/>
    </row>
    <row r="138" spans="1:19" s="58" customFormat="1" ht="18" customHeight="1">
      <c r="A138" s="153">
        <v>399</v>
      </c>
      <c r="B138" s="153" t="s">
        <v>187</v>
      </c>
      <c r="C138" s="153" t="s">
        <v>564</v>
      </c>
      <c r="D138" s="168">
        <v>70</v>
      </c>
      <c r="E138" s="153" t="s">
        <v>99</v>
      </c>
      <c r="F138" s="153"/>
      <c r="G138" s="153" t="s">
        <v>564</v>
      </c>
      <c r="H138" s="153" t="s">
        <v>3002</v>
      </c>
      <c r="I138" s="153" t="s">
        <v>2646</v>
      </c>
      <c r="J138" s="153" t="s">
        <v>351</v>
      </c>
      <c r="K138" s="153" t="s">
        <v>79</v>
      </c>
      <c r="L138" s="153" t="s">
        <v>187</v>
      </c>
      <c r="M138" s="153" t="s">
        <v>564</v>
      </c>
      <c r="N138" s="153" t="s">
        <v>2771</v>
      </c>
      <c r="P138" s="153">
        <v>75</v>
      </c>
      <c r="R138" s="153"/>
      <c r="S138" s="153"/>
    </row>
    <row r="139" spans="1:19" s="58" customFormat="1" ht="18" customHeight="1">
      <c r="A139" s="153">
        <v>400</v>
      </c>
      <c r="B139" s="153" t="s">
        <v>187</v>
      </c>
      <c r="C139" s="153" t="s">
        <v>1366</v>
      </c>
      <c r="D139" s="168">
        <v>80</v>
      </c>
      <c r="E139" s="153" t="s">
        <v>99</v>
      </c>
      <c r="F139" s="153"/>
      <c r="G139" s="153" t="s">
        <v>565</v>
      </c>
      <c r="H139" s="153" t="s">
        <v>3002</v>
      </c>
      <c r="I139" s="153" t="s">
        <v>2646</v>
      </c>
      <c r="J139" s="153" t="s">
        <v>351</v>
      </c>
      <c r="K139" s="153" t="s">
        <v>79</v>
      </c>
      <c r="L139" s="153" t="s">
        <v>187</v>
      </c>
      <c r="M139" s="153" t="s">
        <v>1366</v>
      </c>
      <c r="N139" s="153" t="s">
        <v>2771</v>
      </c>
      <c r="P139" s="153">
        <v>177</v>
      </c>
      <c r="R139" s="153"/>
      <c r="S139" s="153"/>
    </row>
    <row r="140" spans="1:19" s="58" customFormat="1" ht="18" customHeight="1">
      <c r="A140" s="153">
        <v>401</v>
      </c>
      <c r="B140" s="153" t="s">
        <v>188</v>
      </c>
      <c r="C140" s="153" t="s">
        <v>554</v>
      </c>
      <c r="D140" s="168">
        <v>0</v>
      </c>
      <c r="E140" s="153" t="s">
        <v>100</v>
      </c>
      <c r="F140" s="153"/>
      <c r="G140" s="153" t="s">
        <v>570</v>
      </c>
      <c r="H140" s="153" t="s">
        <v>3003</v>
      </c>
      <c r="I140" s="153" t="s">
        <v>2646</v>
      </c>
      <c r="J140" s="153" t="s">
        <v>351</v>
      </c>
      <c r="K140" s="153" t="s">
        <v>79</v>
      </c>
      <c r="L140" s="153" t="s">
        <v>188</v>
      </c>
      <c r="M140" s="153" t="s">
        <v>554</v>
      </c>
      <c r="N140" s="153" t="s">
        <v>2772</v>
      </c>
      <c r="P140" s="153">
        <v>178</v>
      </c>
      <c r="R140" s="153"/>
      <c r="S140" s="153"/>
    </row>
    <row r="141" spans="1:19" s="58" customFormat="1" ht="18" customHeight="1">
      <c r="A141" s="153">
        <v>402</v>
      </c>
      <c r="B141" s="153" t="s">
        <v>188</v>
      </c>
      <c r="C141" s="153" t="s">
        <v>569</v>
      </c>
      <c r="D141" s="168">
        <v>10</v>
      </c>
      <c r="E141" s="153" t="s">
        <v>100</v>
      </c>
      <c r="F141" s="153"/>
      <c r="G141" s="153" t="s">
        <v>569</v>
      </c>
      <c r="H141" s="153" t="s">
        <v>3003</v>
      </c>
      <c r="I141" s="153" t="s">
        <v>2620</v>
      </c>
      <c r="J141" s="153" t="s">
        <v>359</v>
      </c>
      <c r="K141" s="153" t="s">
        <v>79</v>
      </c>
      <c r="L141" s="153" t="s">
        <v>188</v>
      </c>
      <c r="M141" s="153" t="s">
        <v>569</v>
      </c>
      <c r="N141" s="153" t="s">
        <v>2772</v>
      </c>
      <c r="P141" s="153">
        <v>77</v>
      </c>
      <c r="R141" s="153"/>
      <c r="S141" s="153"/>
    </row>
    <row r="142" spans="1:19" s="58" customFormat="1" ht="18" customHeight="1">
      <c r="A142" s="153">
        <v>403</v>
      </c>
      <c r="B142" s="153" t="s">
        <v>188</v>
      </c>
      <c r="C142" s="153" t="s">
        <v>568</v>
      </c>
      <c r="D142" s="168">
        <v>20</v>
      </c>
      <c r="E142" s="153" t="s">
        <v>100</v>
      </c>
      <c r="F142" s="153"/>
      <c r="G142" s="153" t="s">
        <v>568</v>
      </c>
      <c r="H142" s="153" t="s">
        <v>3003</v>
      </c>
      <c r="I142" s="153" t="s">
        <v>2620</v>
      </c>
      <c r="J142" s="153" t="s">
        <v>359</v>
      </c>
      <c r="K142" s="153" t="s">
        <v>79</v>
      </c>
      <c r="L142" s="153" t="s">
        <v>188</v>
      </c>
      <c r="M142" s="153" t="s">
        <v>568</v>
      </c>
      <c r="N142" s="153" t="s">
        <v>2772</v>
      </c>
      <c r="P142" s="153">
        <v>76</v>
      </c>
      <c r="R142" s="153"/>
      <c r="S142" s="153"/>
    </row>
    <row r="143" spans="1:19" s="58" customFormat="1" ht="18" customHeight="1">
      <c r="A143" s="153">
        <v>404</v>
      </c>
      <c r="B143" s="153" t="s">
        <v>188</v>
      </c>
      <c r="C143" s="153" t="s">
        <v>820</v>
      </c>
      <c r="D143" s="168">
        <v>20</v>
      </c>
      <c r="E143" s="153" t="s">
        <v>100</v>
      </c>
      <c r="F143" s="153"/>
      <c r="G143" s="153" t="s">
        <v>568</v>
      </c>
      <c r="H143" s="153" t="s">
        <v>3003</v>
      </c>
      <c r="I143" s="153" t="s">
        <v>2646</v>
      </c>
      <c r="J143" s="153" t="s">
        <v>351</v>
      </c>
      <c r="K143" s="153" t="s">
        <v>79</v>
      </c>
      <c r="L143" s="153" t="s">
        <v>188</v>
      </c>
      <c r="M143" s="153" t="s">
        <v>820</v>
      </c>
      <c r="N143" s="153" t="s">
        <v>2772</v>
      </c>
      <c r="P143" s="153">
        <v>320</v>
      </c>
      <c r="R143" s="153"/>
      <c r="S143" s="153"/>
    </row>
    <row r="144" spans="1:19" s="58" customFormat="1" ht="18" customHeight="1">
      <c r="A144" s="153">
        <v>405</v>
      </c>
      <c r="B144" s="153" t="s">
        <v>188</v>
      </c>
      <c r="C144" s="153" t="s">
        <v>570</v>
      </c>
      <c r="D144" s="168">
        <v>30</v>
      </c>
      <c r="E144" s="153" t="s">
        <v>100</v>
      </c>
      <c r="F144" s="153"/>
      <c r="G144" s="153" t="s">
        <v>570</v>
      </c>
      <c r="H144" s="153" t="s">
        <v>3003</v>
      </c>
      <c r="I144" s="153" t="s">
        <v>2620</v>
      </c>
      <c r="J144" s="153" t="s">
        <v>359</v>
      </c>
      <c r="K144" s="153" t="s">
        <v>79</v>
      </c>
      <c r="L144" s="153" t="s">
        <v>188</v>
      </c>
      <c r="M144" s="153" t="s">
        <v>570</v>
      </c>
      <c r="N144" s="153" t="s">
        <v>2772</v>
      </c>
      <c r="P144" s="153">
        <v>78</v>
      </c>
      <c r="R144" s="153"/>
      <c r="S144" s="153"/>
    </row>
    <row r="145" spans="1:19" s="58" customFormat="1" ht="18" customHeight="1">
      <c r="A145" s="153">
        <v>406</v>
      </c>
      <c r="B145" s="153" t="s">
        <v>189</v>
      </c>
      <c r="C145" s="153" t="s">
        <v>554</v>
      </c>
      <c r="D145" s="168">
        <v>0</v>
      </c>
      <c r="E145" s="153" t="s">
        <v>101</v>
      </c>
      <c r="F145" s="153"/>
      <c r="G145" s="153" t="s">
        <v>578</v>
      </c>
      <c r="H145" s="153" t="s">
        <v>3004</v>
      </c>
      <c r="I145" s="153" t="s">
        <v>2646</v>
      </c>
      <c r="J145" s="153" t="s">
        <v>351</v>
      </c>
      <c r="K145" s="153" t="s">
        <v>79</v>
      </c>
      <c r="L145" s="153" t="s">
        <v>189</v>
      </c>
      <c r="M145" s="153" t="s">
        <v>578</v>
      </c>
      <c r="N145" s="153" t="s">
        <v>2773</v>
      </c>
      <c r="P145" s="153"/>
      <c r="R145" s="153"/>
      <c r="S145" s="153"/>
    </row>
    <row r="146" spans="1:19" s="58" customFormat="1" ht="18" customHeight="1">
      <c r="A146" s="153">
        <v>407</v>
      </c>
      <c r="B146" s="153" t="s">
        <v>189</v>
      </c>
      <c r="C146" s="153" t="s">
        <v>576</v>
      </c>
      <c r="D146" s="168">
        <v>10</v>
      </c>
      <c r="E146" s="153" t="s">
        <v>101</v>
      </c>
      <c r="F146" s="153"/>
      <c r="G146" s="153" t="s">
        <v>576</v>
      </c>
      <c r="H146" s="153" t="s">
        <v>3004</v>
      </c>
      <c r="I146" s="153" t="s">
        <v>2646</v>
      </c>
      <c r="J146" s="153" t="s">
        <v>351</v>
      </c>
      <c r="K146" s="153" t="s">
        <v>79</v>
      </c>
      <c r="L146" s="153" t="s">
        <v>189</v>
      </c>
      <c r="M146" s="153" t="s">
        <v>576</v>
      </c>
      <c r="N146" s="153" t="s">
        <v>2773</v>
      </c>
      <c r="P146" s="153">
        <v>80</v>
      </c>
      <c r="R146" s="153"/>
      <c r="S146" s="153"/>
    </row>
    <row r="147" spans="1:19" s="58" customFormat="1" ht="18" customHeight="1">
      <c r="A147" s="153">
        <v>408</v>
      </c>
      <c r="B147" s="153" t="s">
        <v>189</v>
      </c>
      <c r="C147" s="153" t="s">
        <v>843</v>
      </c>
      <c r="D147" s="168">
        <v>20</v>
      </c>
      <c r="E147" s="153" t="s">
        <v>101</v>
      </c>
      <c r="F147" s="153"/>
      <c r="G147" s="153" t="s">
        <v>572</v>
      </c>
      <c r="H147" s="153" t="s">
        <v>3004</v>
      </c>
      <c r="I147" s="153" t="s">
        <v>2646</v>
      </c>
      <c r="J147" s="153" t="s">
        <v>351</v>
      </c>
      <c r="K147" s="153" t="s">
        <v>79</v>
      </c>
      <c r="L147" s="153" t="s">
        <v>189</v>
      </c>
      <c r="M147" s="153" t="s">
        <v>843</v>
      </c>
      <c r="N147" s="153" t="s">
        <v>2773</v>
      </c>
      <c r="P147" s="153">
        <v>81</v>
      </c>
      <c r="R147" s="153"/>
      <c r="S147" s="153"/>
    </row>
    <row r="148" spans="1:19" s="58" customFormat="1" ht="18" customHeight="1">
      <c r="A148" s="153">
        <v>409</v>
      </c>
      <c r="B148" s="153" t="s">
        <v>189</v>
      </c>
      <c r="C148" s="153" t="s">
        <v>575</v>
      </c>
      <c r="D148" s="168">
        <v>30</v>
      </c>
      <c r="E148" s="153" t="s">
        <v>101</v>
      </c>
      <c r="F148" s="153"/>
      <c r="G148" s="153" t="s">
        <v>575</v>
      </c>
      <c r="H148" s="153" t="s">
        <v>3004</v>
      </c>
      <c r="I148" s="153" t="s">
        <v>2646</v>
      </c>
      <c r="J148" s="153" t="s">
        <v>351</v>
      </c>
      <c r="K148" s="153" t="s">
        <v>79</v>
      </c>
      <c r="L148" s="153" t="s">
        <v>189</v>
      </c>
      <c r="M148" s="153" t="s">
        <v>575</v>
      </c>
      <c r="N148" s="153" t="s">
        <v>2773</v>
      </c>
      <c r="P148" s="153">
        <v>82</v>
      </c>
      <c r="R148" s="153"/>
      <c r="S148" s="153"/>
    </row>
    <row r="149" spans="1:19" s="58" customFormat="1" ht="18" customHeight="1">
      <c r="A149" s="153">
        <v>410</v>
      </c>
      <c r="B149" s="153" t="s">
        <v>189</v>
      </c>
      <c r="C149" s="153" t="s">
        <v>844</v>
      </c>
      <c r="D149" s="168">
        <v>40</v>
      </c>
      <c r="E149" s="153" t="s">
        <v>101</v>
      </c>
      <c r="F149" s="153"/>
      <c r="G149" s="153" t="s">
        <v>577</v>
      </c>
      <c r="H149" s="153" t="s">
        <v>3004</v>
      </c>
      <c r="I149" s="153" t="s">
        <v>2646</v>
      </c>
      <c r="J149" s="153" t="s">
        <v>351</v>
      </c>
      <c r="K149" s="153" t="s">
        <v>79</v>
      </c>
      <c r="L149" s="153" t="s">
        <v>189</v>
      </c>
      <c r="M149" s="153" t="s">
        <v>844</v>
      </c>
      <c r="N149" s="153" t="s">
        <v>2773</v>
      </c>
      <c r="P149" s="153">
        <v>83</v>
      </c>
      <c r="R149" s="153"/>
      <c r="S149" s="153"/>
    </row>
    <row r="150" spans="1:19" s="58" customFormat="1" ht="18" customHeight="1">
      <c r="A150" s="153">
        <v>411</v>
      </c>
      <c r="B150" s="153" t="s">
        <v>189</v>
      </c>
      <c r="C150" s="153" t="s">
        <v>579</v>
      </c>
      <c r="D150" s="168">
        <v>50</v>
      </c>
      <c r="E150" s="153" t="s">
        <v>101</v>
      </c>
      <c r="F150" s="153"/>
      <c r="G150" s="153" t="s">
        <v>579</v>
      </c>
      <c r="H150" s="153" t="s">
        <v>3004</v>
      </c>
      <c r="I150" s="153" t="s">
        <v>2646</v>
      </c>
      <c r="J150" s="153" t="s">
        <v>351</v>
      </c>
      <c r="K150" s="153" t="s">
        <v>79</v>
      </c>
      <c r="L150" s="153" t="s">
        <v>189</v>
      </c>
      <c r="M150" s="153" t="s">
        <v>579</v>
      </c>
      <c r="N150" s="153" t="s">
        <v>2773</v>
      </c>
      <c r="P150" s="153">
        <v>84</v>
      </c>
      <c r="R150" s="153"/>
      <c r="S150" s="153"/>
    </row>
    <row r="151" spans="1:19" s="58" customFormat="1" ht="18" customHeight="1">
      <c r="A151" s="153">
        <v>412</v>
      </c>
      <c r="B151" s="153" t="s">
        <v>189</v>
      </c>
      <c r="C151" s="153" t="s">
        <v>819</v>
      </c>
      <c r="D151" s="168">
        <v>60</v>
      </c>
      <c r="E151" s="153" t="s">
        <v>101</v>
      </c>
      <c r="F151" s="153"/>
      <c r="G151" s="153" t="s">
        <v>573</v>
      </c>
      <c r="H151" s="153" t="s">
        <v>3004</v>
      </c>
      <c r="I151" s="153" t="s">
        <v>2646</v>
      </c>
      <c r="J151" s="153" t="s">
        <v>351</v>
      </c>
      <c r="K151" s="153" t="s">
        <v>79</v>
      </c>
      <c r="L151" s="153" t="s">
        <v>189</v>
      </c>
      <c r="M151" s="153" t="s">
        <v>819</v>
      </c>
      <c r="N151" s="153" t="s">
        <v>2773</v>
      </c>
      <c r="P151" s="153">
        <v>85</v>
      </c>
      <c r="R151" s="153"/>
      <c r="S151" s="153"/>
    </row>
    <row r="152" spans="1:19" s="58" customFormat="1" ht="18" customHeight="1">
      <c r="A152" s="153">
        <v>413</v>
      </c>
      <c r="B152" s="153" t="s">
        <v>189</v>
      </c>
      <c r="C152" s="153" t="s">
        <v>574</v>
      </c>
      <c r="D152" s="168">
        <v>70</v>
      </c>
      <c r="E152" s="153" t="s">
        <v>101</v>
      </c>
      <c r="F152" s="153"/>
      <c r="G152" s="153" t="s">
        <v>574</v>
      </c>
      <c r="H152" s="153" t="s">
        <v>3004</v>
      </c>
      <c r="I152" s="153" t="s">
        <v>2646</v>
      </c>
      <c r="J152" s="153" t="s">
        <v>351</v>
      </c>
      <c r="K152" s="153" t="s">
        <v>79</v>
      </c>
      <c r="L152" s="153" t="s">
        <v>189</v>
      </c>
      <c r="M152" s="153" t="s">
        <v>574</v>
      </c>
      <c r="N152" s="153" t="s">
        <v>2773</v>
      </c>
      <c r="P152" s="153">
        <v>306</v>
      </c>
      <c r="R152" s="153"/>
      <c r="S152" s="153"/>
    </row>
    <row r="153" spans="1:19" s="58" customFormat="1" ht="18" customHeight="1">
      <c r="A153" s="153">
        <v>414</v>
      </c>
      <c r="B153" s="153" t="s">
        <v>189</v>
      </c>
      <c r="C153" s="153" t="s">
        <v>578</v>
      </c>
      <c r="D153" s="168">
        <v>80</v>
      </c>
      <c r="E153" s="153" t="s">
        <v>101</v>
      </c>
      <c r="F153" s="153"/>
      <c r="G153" s="153" t="s">
        <v>578</v>
      </c>
      <c r="H153" s="153" t="s">
        <v>3004</v>
      </c>
      <c r="I153" s="153" t="s">
        <v>2646</v>
      </c>
      <c r="J153" s="153" t="s">
        <v>351</v>
      </c>
      <c r="K153" s="153" t="s">
        <v>79</v>
      </c>
      <c r="L153" s="153" t="s">
        <v>189</v>
      </c>
      <c r="M153" s="153" t="s">
        <v>578</v>
      </c>
      <c r="N153" s="153" t="s">
        <v>2773</v>
      </c>
      <c r="P153" s="153">
        <v>307</v>
      </c>
      <c r="R153" s="153"/>
      <c r="S153" s="153"/>
    </row>
    <row r="154" spans="1:19" s="58" customFormat="1" ht="18" customHeight="1">
      <c r="A154" s="153">
        <v>415</v>
      </c>
      <c r="B154" s="153" t="s">
        <v>189</v>
      </c>
      <c r="C154" s="153" t="s">
        <v>823</v>
      </c>
      <c r="D154" s="168">
        <v>90</v>
      </c>
      <c r="E154" s="153" t="s">
        <v>101</v>
      </c>
      <c r="F154" s="153"/>
      <c r="G154" s="153" t="s">
        <v>578</v>
      </c>
      <c r="H154" s="153" t="s">
        <v>3004</v>
      </c>
      <c r="I154" s="153" t="s">
        <v>2646</v>
      </c>
      <c r="J154" s="153" t="s">
        <v>351</v>
      </c>
      <c r="K154" s="153" t="s">
        <v>79</v>
      </c>
      <c r="L154" s="153" t="s">
        <v>189</v>
      </c>
      <c r="M154" s="153" t="s">
        <v>823</v>
      </c>
      <c r="N154" s="153" t="s">
        <v>2773</v>
      </c>
      <c r="P154" s="153">
        <v>308</v>
      </c>
      <c r="R154" s="153"/>
      <c r="S154" s="153"/>
    </row>
    <row r="155" spans="1:19" s="58" customFormat="1" ht="18" customHeight="1">
      <c r="A155" s="153">
        <v>416</v>
      </c>
      <c r="B155" s="153" t="s">
        <v>189</v>
      </c>
      <c r="C155" s="153" t="s">
        <v>571</v>
      </c>
      <c r="D155" s="168">
        <v>100</v>
      </c>
      <c r="E155" s="153" t="s">
        <v>101</v>
      </c>
      <c r="F155" s="153"/>
      <c r="G155" s="153" t="s">
        <v>1367</v>
      </c>
      <c r="H155" s="153" t="s">
        <v>3004</v>
      </c>
      <c r="I155" s="153" t="s">
        <v>2646</v>
      </c>
      <c r="J155" s="153" t="s">
        <v>351</v>
      </c>
      <c r="K155" s="153" t="s">
        <v>79</v>
      </c>
      <c r="L155" s="153" t="s">
        <v>189</v>
      </c>
      <c r="M155" s="153" t="s">
        <v>571</v>
      </c>
      <c r="N155" s="153" t="s">
        <v>2773</v>
      </c>
      <c r="P155" s="153">
        <v>309</v>
      </c>
      <c r="R155" s="153"/>
      <c r="S155" s="153"/>
    </row>
    <row r="156" spans="1:19" s="58" customFormat="1" ht="18" customHeight="1">
      <c r="A156" s="153">
        <v>417</v>
      </c>
      <c r="B156" s="153" t="s">
        <v>1222</v>
      </c>
      <c r="C156" s="153" t="s">
        <v>192</v>
      </c>
      <c r="D156" s="168">
        <v>1</v>
      </c>
      <c r="E156" s="153" t="s">
        <v>1207</v>
      </c>
      <c r="F156" s="153"/>
      <c r="G156" s="153" t="s">
        <v>192</v>
      </c>
      <c r="H156" s="153" t="s">
        <v>1609</v>
      </c>
      <c r="I156" s="153" t="s">
        <v>2646</v>
      </c>
      <c r="J156" s="153" t="s">
        <v>351</v>
      </c>
      <c r="K156" s="153" t="s">
        <v>84</v>
      </c>
      <c r="L156" s="153" t="s">
        <v>1222</v>
      </c>
      <c r="M156" s="153" t="s">
        <v>192</v>
      </c>
      <c r="N156" s="153"/>
      <c r="O156" s="58" t="s">
        <v>2910</v>
      </c>
      <c r="P156" s="153"/>
      <c r="Q156" s="58">
        <v>431</v>
      </c>
      <c r="R156" s="153"/>
      <c r="S156" s="153"/>
    </row>
    <row r="157" spans="1:19" s="58" customFormat="1" ht="18" customHeight="1">
      <c r="A157" s="153">
        <v>418</v>
      </c>
      <c r="B157" s="153" t="s">
        <v>1222</v>
      </c>
      <c r="C157" s="153" t="s">
        <v>199</v>
      </c>
      <c r="D157" s="168">
        <v>2</v>
      </c>
      <c r="E157" s="153" t="s">
        <v>1207</v>
      </c>
      <c r="F157" s="153"/>
      <c r="G157" s="153" t="s">
        <v>1323</v>
      </c>
      <c r="H157" s="153" t="s">
        <v>1609</v>
      </c>
      <c r="I157" s="153" t="s">
        <v>2646</v>
      </c>
      <c r="J157" s="153" t="s">
        <v>351</v>
      </c>
      <c r="K157" s="153" t="s">
        <v>84</v>
      </c>
      <c r="L157" s="153" t="s">
        <v>1222</v>
      </c>
      <c r="M157" s="153" t="s">
        <v>199</v>
      </c>
      <c r="N157" s="153"/>
      <c r="O157" s="58" t="s">
        <v>2910</v>
      </c>
      <c r="P157" s="153"/>
      <c r="Q157" s="58">
        <v>432</v>
      </c>
      <c r="R157" s="153"/>
      <c r="S157" s="153"/>
    </row>
    <row r="158" spans="1:19" s="58" customFormat="1" ht="18" customHeight="1">
      <c r="A158" s="153">
        <v>419</v>
      </c>
      <c r="B158" s="153" t="s">
        <v>1222</v>
      </c>
      <c r="C158" s="153" t="s">
        <v>2090</v>
      </c>
      <c r="D158" s="168">
        <v>3</v>
      </c>
      <c r="E158" s="153" t="s">
        <v>1207</v>
      </c>
      <c r="F158" s="153"/>
      <c r="G158" s="153" t="s">
        <v>1324</v>
      </c>
      <c r="H158" s="153" t="s">
        <v>1609</v>
      </c>
      <c r="I158" s="153" t="s">
        <v>2646</v>
      </c>
      <c r="J158" s="153" t="s">
        <v>351</v>
      </c>
      <c r="K158" s="153" t="s">
        <v>84</v>
      </c>
      <c r="L158" s="153" t="s">
        <v>1222</v>
      </c>
      <c r="M158" s="153" t="s">
        <v>2090</v>
      </c>
      <c r="N158" s="153"/>
      <c r="O158" s="58" t="s">
        <v>2910</v>
      </c>
      <c r="P158" s="153"/>
      <c r="Q158" s="58">
        <v>433</v>
      </c>
      <c r="R158" s="153"/>
      <c r="S158" s="153"/>
    </row>
    <row r="159" spans="1:19" s="58" customFormat="1" ht="18" customHeight="1">
      <c r="A159" s="153">
        <v>420</v>
      </c>
      <c r="B159" s="153" t="s">
        <v>1222</v>
      </c>
      <c r="C159" s="153" t="s">
        <v>1325</v>
      </c>
      <c r="D159" s="168">
        <v>4</v>
      </c>
      <c r="E159" s="153" t="s">
        <v>1207</v>
      </c>
      <c r="F159" s="153"/>
      <c r="G159" s="153" t="s">
        <v>1325</v>
      </c>
      <c r="H159" s="153" t="s">
        <v>1609</v>
      </c>
      <c r="I159" s="153" t="s">
        <v>2646</v>
      </c>
      <c r="J159" s="153" t="s">
        <v>351</v>
      </c>
      <c r="K159" s="153" t="s">
        <v>84</v>
      </c>
      <c r="L159" s="153" t="s">
        <v>1222</v>
      </c>
      <c r="M159" s="153" t="s">
        <v>1325</v>
      </c>
      <c r="N159" s="153"/>
      <c r="O159" s="58" t="s">
        <v>2910</v>
      </c>
      <c r="P159" s="153"/>
      <c r="Q159" s="58">
        <v>435</v>
      </c>
      <c r="R159" s="153"/>
      <c r="S159" s="153"/>
    </row>
    <row r="160" spans="1:19" s="58" customFormat="1" ht="18" customHeight="1">
      <c r="A160" s="153">
        <v>421</v>
      </c>
      <c r="B160" s="153" t="s">
        <v>1222</v>
      </c>
      <c r="C160" s="153" t="s">
        <v>1369</v>
      </c>
      <c r="D160" s="168">
        <v>4</v>
      </c>
      <c r="E160" s="153" t="s">
        <v>1207</v>
      </c>
      <c r="F160" s="153"/>
      <c r="G160" s="153" t="s">
        <v>1369</v>
      </c>
      <c r="H160" s="153" t="s">
        <v>1609</v>
      </c>
      <c r="I160" s="153" t="s">
        <v>2646</v>
      </c>
      <c r="J160" s="153" t="s">
        <v>351</v>
      </c>
      <c r="K160" s="153" t="s">
        <v>84</v>
      </c>
      <c r="L160" s="153" t="s">
        <v>1222</v>
      </c>
      <c r="M160" s="153" t="s">
        <v>1369</v>
      </c>
      <c r="N160" s="153"/>
      <c r="O160" s="58" t="s">
        <v>2910</v>
      </c>
      <c r="P160" s="153"/>
      <c r="Q160" s="58">
        <v>434</v>
      </c>
      <c r="R160" s="153"/>
      <c r="S160" s="153"/>
    </row>
    <row r="161" spans="1:19" s="58" customFormat="1" ht="18" customHeight="1">
      <c r="A161" s="153">
        <v>448</v>
      </c>
      <c r="B161" s="153" t="s">
        <v>808</v>
      </c>
      <c r="C161" s="153" t="s">
        <v>845</v>
      </c>
      <c r="D161" s="168">
        <v>1</v>
      </c>
      <c r="E161" s="153" t="s">
        <v>758</v>
      </c>
      <c r="F161" s="153"/>
      <c r="G161" s="153" t="s">
        <v>845</v>
      </c>
      <c r="H161" s="153" t="s">
        <v>1613</v>
      </c>
      <c r="I161" s="153" t="s">
        <v>846</v>
      </c>
      <c r="J161" s="153" t="s">
        <v>351</v>
      </c>
      <c r="K161" s="153" t="s">
        <v>84</v>
      </c>
      <c r="L161" s="153" t="s">
        <v>808</v>
      </c>
      <c r="M161" s="153" t="s">
        <v>845</v>
      </c>
      <c r="N161" s="153"/>
      <c r="O161" s="58" t="s">
        <v>2912</v>
      </c>
      <c r="P161" s="153"/>
      <c r="Q161" s="58">
        <v>444</v>
      </c>
      <c r="R161" s="153"/>
      <c r="S161" s="153"/>
    </row>
    <row r="162" spans="1:19" s="58" customFormat="1" ht="18" customHeight="1">
      <c r="A162" s="153">
        <v>449</v>
      </c>
      <c r="B162" s="153" t="s">
        <v>808</v>
      </c>
      <c r="C162" s="153" t="s">
        <v>847</v>
      </c>
      <c r="D162" s="168">
        <v>2</v>
      </c>
      <c r="E162" s="153" t="s">
        <v>758</v>
      </c>
      <c r="F162" s="153"/>
      <c r="G162" s="153" t="s">
        <v>847</v>
      </c>
      <c r="H162" s="153" t="s">
        <v>1613</v>
      </c>
      <c r="I162" s="153" t="s">
        <v>848</v>
      </c>
      <c r="J162" s="153" t="s">
        <v>351</v>
      </c>
      <c r="K162" s="153" t="s">
        <v>84</v>
      </c>
      <c r="L162" s="153" t="s">
        <v>808</v>
      </c>
      <c r="M162" s="153" t="s">
        <v>847</v>
      </c>
      <c r="N162" s="153"/>
      <c r="O162" s="58" t="s">
        <v>2912</v>
      </c>
      <c r="P162" s="153"/>
      <c r="Q162" s="58">
        <v>445</v>
      </c>
      <c r="R162" s="153"/>
      <c r="S162" s="153"/>
    </row>
    <row r="163" spans="1:19" s="58" customFormat="1" ht="18" customHeight="1">
      <c r="A163" s="153">
        <v>450</v>
      </c>
      <c r="B163" s="153" t="s">
        <v>808</v>
      </c>
      <c r="C163" s="153" t="s">
        <v>849</v>
      </c>
      <c r="D163" s="168">
        <v>3</v>
      </c>
      <c r="E163" s="153" t="s">
        <v>758</v>
      </c>
      <c r="F163" s="153"/>
      <c r="G163" s="153" t="s">
        <v>849</v>
      </c>
      <c r="H163" s="153" t="s">
        <v>1613</v>
      </c>
      <c r="I163" s="153" t="s">
        <v>850</v>
      </c>
      <c r="J163" s="153" t="s">
        <v>351</v>
      </c>
      <c r="K163" s="153" t="s">
        <v>84</v>
      </c>
      <c r="L163" s="153" t="s">
        <v>808</v>
      </c>
      <c r="M163" s="153" t="s">
        <v>849</v>
      </c>
      <c r="N163" s="153"/>
      <c r="O163" s="58" t="s">
        <v>2912</v>
      </c>
      <c r="P163" s="153"/>
      <c r="Q163" s="58">
        <v>446</v>
      </c>
      <c r="R163" s="153"/>
      <c r="S163" s="153"/>
    </row>
    <row r="164" spans="1:19" s="58" customFormat="1" ht="18" customHeight="1">
      <c r="A164" s="153">
        <v>451</v>
      </c>
      <c r="B164" s="153" t="s">
        <v>808</v>
      </c>
      <c r="C164" s="153" t="s">
        <v>332</v>
      </c>
      <c r="D164" s="168"/>
      <c r="E164" s="153" t="s">
        <v>758</v>
      </c>
      <c r="F164" s="153"/>
      <c r="G164" s="153" t="s">
        <v>332</v>
      </c>
      <c r="H164" s="153" t="s">
        <v>1613</v>
      </c>
      <c r="I164" s="153" t="s">
        <v>851</v>
      </c>
      <c r="J164" s="153" t="s">
        <v>351</v>
      </c>
      <c r="K164" s="153" t="s">
        <v>84</v>
      </c>
      <c r="L164" s="153" t="s">
        <v>808</v>
      </c>
      <c r="M164" s="153" t="s">
        <v>332</v>
      </c>
      <c r="N164" s="153"/>
      <c r="O164" s="58" t="s">
        <v>2912</v>
      </c>
      <c r="P164" s="153"/>
      <c r="Q164" s="58">
        <v>440</v>
      </c>
      <c r="R164" s="153"/>
      <c r="S164" s="153"/>
    </row>
    <row r="165" spans="1:19" s="58" customFormat="1" ht="18" customHeight="1">
      <c r="A165" s="153">
        <v>452</v>
      </c>
      <c r="B165" s="153" t="s">
        <v>808</v>
      </c>
      <c r="C165" s="153" t="s">
        <v>852</v>
      </c>
      <c r="D165" s="168"/>
      <c r="E165" s="153" t="s">
        <v>758</v>
      </c>
      <c r="F165" s="153"/>
      <c r="G165" s="153" t="s">
        <v>852</v>
      </c>
      <c r="H165" s="153" t="s">
        <v>1613</v>
      </c>
      <c r="I165" s="153" t="s">
        <v>853</v>
      </c>
      <c r="J165" s="153" t="s">
        <v>351</v>
      </c>
      <c r="K165" s="153" t="s">
        <v>84</v>
      </c>
      <c r="L165" s="153" t="s">
        <v>808</v>
      </c>
      <c r="M165" s="153" t="s">
        <v>852</v>
      </c>
      <c r="N165" s="153"/>
      <c r="O165" s="58" t="s">
        <v>2912</v>
      </c>
      <c r="P165" s="153"/>
      <c r="Q165" s="58">
        <v>441</v>
      </c>
      <c r="R165" s="153"/>
      <c r="S165" s="153"/>
    </row>
    <row r="166" spans="1:19" s="58" customFormat="1" ht="18" customHeight="1">
      <c r="A166" s="153">
        <v>453</v>
      </c>
      <c r="B166" s="153" t="s">
        <v>808</v>
      </c>
      <c r="C166" s="153" t="s">
        <v>854</v>
      </c>
      <c r="D166" s="168"/>
      <c r="E166" s="153" t="s">
        <v>758</v>
      </c>
      <c r="F166" s="153"/>
      <c r="G166" s="153" t="s">
        <v>854</v>
      </c>
      <c r="H166" s="153" t="s">
        <v>1613</v>
      </c>
      <c r="I166" s="153" t="s">
        <v>855</v>
      </c>
      <c r="J166" s="153" t="s">
        <v>351</v>
      </c>
      <c r="K166" s="153" t="s">
        <v>84</v>
      </c>
      <c r="L166" s="153" t="s">
        <v>808</v>
      </c>
      <c r="M166" s="153" t="s">
        <v>854</v>
      </c>
      <c r="N166" s="153"/>
      <c r="O166" s="58" t="s">
        <v>2912</v>
      </c>
      <c r="P166" s="153"/>
      <c r="Q166" s="58">
        <v>443</v>
      </c>
      <c r="R166" s="153"/>
      <c r="S166" s="153"/>
    </row>
    <row r="167" spans="1:19" s="58" customFormat="1" ht="18" customHeight="1">
      <c r="A167" s="153">
        <v>454</v>
      </c>
      <c r="B167" s="153" t="s">
        <v>808</v>
      </c>
      <c r="C167" s="153" t="s">
        <v>856</v>
      </c>
      <c r="D167" s="168"/>
      <c r="E167" s="153" t="s">
        <v>758</v>
      </c>
      <c r="F167" s="153"/>
      <c r="G167" s="153" t="s">
        <v>856</v>
      </c>
      <c r="H167" s="153" t="s">
        <v>1613</v>
      </c>
      <c r="I167" s="153" t="s">
        <v>857</v>
      </c>
      <c r="J167" s="153" t="s">
        <v>351</v>
      </c>
      <c r="K167" s="153" t="s">
        <v>84</v>
      </c>
      <c r="L167" s="153" t="s">
        <v>808</v>
      </c>
      <c r="M167" s="153" t="s">
        <v>856</v>
      </c>
      <c r="N167" s="153"/>
      <c r="O167" s="58" t="s">
        <v>2912</v>
      </c>
      <c r="P167" s="153"/>
      <c r="Q167" s="58">
        <v>436</v>
      </c>
      <c r="R167" s="153"/>
      <c r="S167" s="153"/>
    </row>
    <row r="168" spans="1:19" s="58" customFormat="1" ht="18" customHeight="1">
      <c r="A168" s="153">
        <v>455</v>
      </c>
      <c r="B168" s="153" t="s">
        <v>808</v>
      </c>
      <c r="C168" s="153" t="s">
        <v>858</v>
      </c>
      <c r="D168" s="168"/>
      <c r="E168" s="153" t="s">
        <v>758</v>
      </c>
      <c r="F168" s="153"/>
      <c r="G168" s="153" t="s">
        <v>858</v>
      </c>
      <c r="H168" s="153" t="s">
        <v>1613</v>
      </c>
      <c r="I168" s="153" t="s">
        <v>859</v>
      </c>
      <c r="J168" s="153" t="s">
        <v>351</v>
      </c>
      <c r="K168" s="153" t="s">
        <v>84</v>
      </c>
      <c r="L168" s="153" t="s">
        <v>808</v>
      </c>
      <c r="M168" s="153" t="s">
        <v>858</v>
      </c>
      <c r="N168" s="153"/>
      <c r="O168" s="58" t="s">
        <v>2912</v>
      </c>
      <c r="P168" s="153"/>
      <c r="Q168" s="58">
        <v>442</v>
      </c>
      <c r="R168" s="153"/>
      <c r="S168" s="153"/>
    </row>
    <row r="169" spans="1:19" s="58" customFormat="1" ht="18" customHeight="1">
      <c r="A169" s="153">
        <v>456</v>
      </c>
      <c r="B169" s="153" t="s">
        <v>808</v>
      </c>
      <c r="C169" s="153" t="s">
        <v>860</v>
      </c>
      <c r="D169" s="168"/>
      <c r="E169" s="153" t="s">
        <v>758</v>
      </c>
      <c r="F169" s="153"/>
      <c r="G169" s="153" t="s">
        <v>860</v>
      </c>
      <c r="H169" s="153" t="s">
        <v>1613</v>
      </c>
      <c r="I169" s="153" t="s">
        <v>2623</v>
      </c>
      <c r="J169" s="153" t="s">
        <v>359</v>
      </c>
      <c r="K169" s="153" t="s">
        <v>84</v>
      </c>
      <c r="L169" s="153" t="s">
        <v>808</v>
      </c>
      <c r="M169" s="153" t="s">
        <v>860</v>
      </c>
      <c r="N169" s="153"/>
      <c r="O169" s="58" t="s">
        <v>2912</v>
      </c>
      <c r="P169" s="153"/>
      <c r="Q169" s="58">
        <v>439</v>
      </c>
      <c r="R169" s="153"/>
      <c r="S169" s="153"/>
    </row>
    <row r="170" spans="1:19" s="58" customFormat="1" ht="18" customHeight="1">
      <c r="A170" s="153">
        <v>457</v>
      </c>
      <c r="B170" s="153" t="s">
        <v>808</v>
      </c>
      <c r="C170" s="153" t="s">
        <v>649</v>
      </c>
      <c r="D170" s="168"/>
      <c r="E170" s="153" t="s">
        <v>758</v>
      </c>
      <c r="F170" s="153"/>
      <c r="G170" s="153" t="s">
        <v>649</v>
      </c>
      <c r="H170" s="153" t="s">
        <v>1613</v>
      </c>
      <c r="I170" s="153" t="s">
        <v>861</v>
      </c>
      <c r="J170" s="153" t="s">
        <v>351</v>
      </c>
      <c r="K170" s="153" t="s">
        <v>84</v>
      </c>
      <c r="L170" s="153" t="s">
        <v>808</v>
      </c>
      <c r="M170" s="153" t="s">
        <v>649</v>
      </c>
      <c r="N170" s="153"/>
      <c r="O170" s="58" t="s">
        <v>2912</v>
      </c>
      <c r="P170" s="153"/>
      <c r="Q170" s="58">
        <v>437</v>
      </c>
      <c r="R170" s="153"/>
      <c r="S170" s="153"/>
    </row>
    <row r="171" spans="1:19" s="58" customFormat="1" ht="18" customHeight="1">
      <c r="A171" s="153">
        <v>458</v>
      </c>
      <c r="B171" s="153" t="s">
        <v>808</v>
      </c>
      <c r="C171" s="153" t="s">
        <v>862</v>
      </c>
      <c r="D171" s="168"/>
      <c r="E171" s="153" t="s">
        <v>758</v>
      </c>
      <c r="F171" s="153"/>
      <c r="G171" s="153" t="s">
        <v>862</v>
      </c>
      <c r="H171" s="153" t="s">
        <v>1613</v>
      </c>
      <c r="I171" s="153" t="s">
        <v>863</v>
      </c>
      <c r="J171" s="153" t="s">
        <v>351</v>
      </c>
      <c r="K171" s="153" t="s">
        <v>84</v>
      </c>
      <c r="L171" s="153" t="s">
        <v>808</v>
      </c>
      <c r="M171" s="153" t="s">
        <v>862</v>
      </c>
      <c r="N171" s="153"/>
      <c r="O171" s="58" t="s">
        <v>2912</v>
      </c>
      <c r="P171" s="153"/>
      <c r="Q171" s="58">
        <v>438</v>
      </c>
      <c r="R171" s="153"/>
      <c r="S171" s="153"/>
    </row>
    <row r="172" spans="1:19" s="58" customFormat="1" ht="18" customHeight="1">
      <c r="A172" s="153">
        <v>459</v>
      </c>
      <c r="B172" s="153" t="s">
        <v>783</v>
      </c>
      <c r="C172" s="153" t="s">
        <v>1377</v>
      </c>
      <c r="D172" s="168"/>
      <c r="E172" s="153" t="s">
        <v>157</v>
      </c>
      <c r="F172" s="153"/>
      <c r="G172" s="153" t="s">
        <v>1377</v>
      </c>
      <c r="H172" s="153" t="s">
        <v>1608</v>
      </c>
      <c r="I172" s="153" t="s">
        <v>2624</v>
      </c>
      <c r="J172" s="153" t="s">
        <v>359</v>
      </c>
      <c r="K172" s="153" t="s">
        <v>79</v>
      </c>
      <c r="L172" s="153" t="s">
        <v>783</v>
      </c>
      <c r="M172" s="153" t="s">
        <v>1377</v>
      </c>
      <c r="N172" s="153" t="s">
        <v>2774</v>
      </c>
      <c r="P172" s="153">
        <v>448</v>
      </c>
      <c r="R172" s="153"/>
      <c r="S172" s="153"/>
    </row>
    <row r="173" spans="1:19" s="58" customFormat="1" ht="18" customHeight="1">
      <c r="A173" s="153">
        <v>460</v>
      </c>
      <c r="B173" s="153" t="s">
        <v>783</v>
      </c>
      <c r="C173" s="153" t="s">
        <v>1378</v>
      </c>
      <c r="D173" s="168"/>
      <c r="E173" s="153" t="s">
        <v>157</v>
      </c>
      <c r="F173" s="153"/>
      <c r="G173" s="153" t="s">
        <v>1378</v>
      </c>
      <c r="H173" s="153" t="s">
        <v>1608</v>
      </c>
      <c r="I173" s="153" t="s">
        <v>2624</v>
      </c>
      <c r="J173" s="153" t="s">
        <v>359</v>
      </c>
      <c r="K173" s="153" t="s">
        <v>79</v>
      </c>
      <c r="L173" s="153" t="s">
        <v>783</v>
      </c>
      <c r="M173" s="153" t="s">
        <v>1378</v>
      </c>
      <c r="N173" s="153" t="s">
        <v>2774</v>
      </c>
      <c r="P173" s="153">
        <v>449</v>
      </c>
      <c r="R173" s="153"/>
      <c r="S173" s="153"/>
    </row>
    <row r="174" spans="1:19" s="58" customFormat="1" ht="18" customHeight="1">
      <c r="A174" s="153">
        <v>461</v>
      </c>
      <c r="B174" s="153" t="s">
        <v>783</v>
      </c>
      <c r="C174" s="153" t="s">
        <v>1379</v>
      </c>
      <c r="D174" s="168"/>
      <c r="E174" s="153" t="s">
        <v>157</v>
      </c>
      <c r="F174" s="153"/>
      <c r="G174" s="153" t="s">
        <v>1379</v>
      </c>
      <c r="H174" s="153" t="s">
        <v>1608</v>
      </c>
      <c r="I174" s="153" t="s">
        <v>2624</v>
      </c>
      <c r="J174" s="153" t="s">
        <v>359</v>
      </c>
      <c r="K174" s="153" t="s">
        <v>79</v>
      </c>
      <c r="L174" s="153" t="s">
        <v>783</v>
      </c>
      <c r="M174" s="153" t="s">
        <v>1379</v>
      </c>
      <c r="N174" s="153" t="s">
        <v>2774</v>
      </c>
      <c r="P174" s="153">
        <v>450</v>
      </c>
      <c r="R174" s="153"/>
      <c r="S174" s="153"/>
    </row>
    <row r="175" spans="1:19" s="58" customFormat="1" ht="18" customHeight="1">
      <c r="A175" s="153">
        <v>462</v>
      </c>
      <c r="B175" s="153" t="s">
        <v>783</v>
      </c>
      <c r="C175" s="153" t="s">
        <v>1380</v>
      </c>
      <c r="D175" s="168"/>
      <c r="E175" s="153" t="s">
        <v>157</v>
      </c>
      <c r="F175" s="153"/>
      <c r="G175" s="153" t="s">
        <v>1380</v>
      </c>
      <c r="H175" s="153" t="s">
        <v>1608</v>
      </c>
      <c r="I175" s="153" t="s">
        <v>2624</v>
      </c>
      <c r="J175" s="153" t="s">
        <v>359</v>
      </c>
      <c r="K175" s="153" t="s">
        <v>79</v>
      </c>
      <c r="L175" s="153" t="s">
        <v>783</v>
      </c>
      <c r="M175" s="153" t="s">
        <v>1380</v>
      </c>
      <c r="N175" s="153" t="s">
        <v>2774</v>
      </c>
      <c r="P175" s="153">
        <v>451</v>
      </c>
      <c r="R175" s="153"/>
      <c r="S175" s="153"/>
    </row>
    <row r="176" spans="1:19" s="58" customFormat="1" ht="18" customHeight="1">
      <c r="A176" s="153">
        <v>463</v>
      </c>
      <c r="B176" s="153" t="s">
        <v>783</v>
      </c>
      <c r="C176" s="153" t="s">
        <v>1381</v>
      </c>
      <c r="D176" s="168"/>
      <c r="E176" s="153" t="s">
        <v>157</v>
      </c>
      <c r="F176" s="153"/>
      <c r="G176" s="153" t="s">
        <v>1381</v>
      </c>
      <c r="H176" s="153" t="s">
        <v>1608</v>
      </c>
      <c r="I176" s="153" t="s">
        <v>2624</v>
      </c>
      <c r="J176" s="153" t="s">
        <v>359</v>
      </c>
      <c r="K176" s="153" t="s">
        <v>79</v>
      </c>
      <c r="L176" s="153" t="s">
        <v>783</v>
      </c>
      <c r="M176" s="153" t="s">
        <v>1381</v>
      </c>
      <c r="N176" s="153" t="s">
        <v>2774</v>
      </c>
      <c r="P176" s="153">
        <v>447</v>
      </c>
      <c r="R176" s="153"/>
      <c r="S176" s="153"/>
    </row>
    <row r="177" spans="1:19" s="58" customFormat="1" ht="18" customHeight="1">
      <c r="A177" s="153">
        <v>464</v>
      </c>
      <c r="B177" s="153" t="s">
        <v>783</v>
      </c>
      <c r="C177" s="153" t="s">
        <v>554</v>
      </c>
      <c r="D177" s="168"/>
      <c r="E177" s="153" t="s">
        <v>157</v>
      </c>
      <c r="F177" s="153"/>
      <c r="G177" s="153" t="s">
        <v>554</v>
      </c>
      <c r="H177" s="153" t="s">
        <v>1608</v>
      </c>
      <c r="I177" s="153" t="s">
        <v>2624</v>
      </c>
      <c r="J177" s="153" t="s">
        <v>359</v>
      </c>
      <c r="K177" s="153" t="s">
        <v>79</v>
      </c>
      <c r="L177" s="153" t="s">
        <v>783</v>
      </c>
      <c r="M177" s="153" t="s">
        <v>554</v>
      </c>
      <c r="N177" s="153" t="s">
        <v>2774</v>
      </c>
      <c r="P177" s="153">
        <v>452</v>
      </c>
      <c r="R177" s="153"/>
      <c r="S177" s="153"/>
    </row>
    <row r="178" spans="1:19" s="58" customFormat="1" ht="18" customHeight="1">
      <c r="A178" s="153">
        <v>477</v>
      </c>
      <c r="B178" s="153" t="s">
        <v>785</v>
      </c>
      <c r="C178" s="153" t="s">
        <v>1382</v>
      </c>
      <c r="D178" s="168"/>
      <c r="E178" s="153" t="s">
        <v>160</v>
      </c>
      <c r="F178" s="153"/>
      <c r="G178" s="153" t="s">
        <v>1382</v>
      </c>
      <c r="H178" s="153" t="s">
        <v>1614</v>
      </c>
      <c r="I178" s="153" t="s">
        <v>2626</v>
      </c>
      <c r="J178" s="153" t="s">
        <v>359</v>
      </c>
      <c r="K178" s="153" t="s">
        <v>79</v>
      </c>
      <c r="L178" s="153" t="s">
        <v>785</v>
      </c>
      <c r="M178" s="153" t="s">
        <v>1382</v>
      </c>
      <c r="N178" s="153" t="s">
        <v>2775</v>
      </c>
      <c r="P178" s="153">
        <v>453</v>
      </c>
      <c r="R178" s="153"/>
      <c r="S178" s="153"/>
    </row>
    <row r="179" spans="1:19" s="58" customFormat="1" ht="18" customHeight="1">
      <c r="A179" s="153">
        <v>478</v>
      </c>
      <c r="B179" s="153" t="s">
        <v>785</v>
      </c>
      <c r="C179" s="153" t="s">
        <v>1383</v>
      </c>
      <c r="D179" s="168"/>
      <c r="E179" s="153" t="s">
        <v>160</v>
      </c>
      <c r="F179" s="153"/>
      <c r="G179" s="153" t="s">
        <v>1383</v>
      </c>
      <c r="H179" s="153" t="s">
        <v>1614</v>
      </c>
      <c r="I179" s="153" t="s">
        <v>2626</v>
      </c>
      <c r="J179" s="153" t="s">
        <v>359</v>
      </c>
      <c r="K179" s="153" t="s">
        <v>79</v>
      </c>
      <c r="L179" s="153" t="s">
        <v>785</v>
      </c>
      <c r="M179" s="153" t="s">
        <v>1383</v>
      </c>
      <c r="N179" s="153" t="s">
        <v>2775</v>
      </c>
      <c r="P179" s="153">
        <v>455</v>
      </c>
      <c r="R179" s="153"/>
      <c r="S179" s="153"/>
    </row>
    <row r="180" spans="1:19" s="58" customFormat="1" ht="18" customHeight="1">
      <c r="A180" s="153">
        <v>479</v>
      </c>
      <c r="B180" s="153" t="s">
        <v>785</v>
      </c>
      <c r="C180" s="153" t="s">
        <v>1384</v>
      </c>
      <c r="D180" s="168"/>
      <c r="E180" s="153" t="s">
        <v>160</v>
      </c>
      <c r="F180" s="153"/>
      <c r="G180" s="153" t="s">
        <v>1384</v>
      </c>
      <c r="H180" s="153" t="s">
        <v>1614</v>
      </c>
      <c r="I180" s="153" t="s">
        <v>2626</v>
      </c>
      <c r="J180" s="153" t="s">
        <v>359</v>
      </c>
      <c r="K180" s="153" t="s">
        <v>79</v>
      </c>
      <c r="L180" s="153" t="s">
        <v>785</v>
      </c>
      <c r="M180" s="153" t="s">
        <v>1384</v>
      </c>
      <c r="N180" s="153" t="s">
        <v>2775</v>
      </c>
      <c r="P180" s="153">
        <v>456</v>
      </c>
      <c r="R180" s="153"/>
      <c r="S180" s="153"/>
    </row>
    <row r="181" spans="1:19" s="58" customFormat="1" ht="18" customHeight="1">
      <c r="A181" s="153">
        <v>480</v>
      </c>
      <c r="B181" s="153" t="s">
        <v>785</v>
      </c>
      <c r="C181" s="153" t="s">
        <v>1385</v>
      </c>
      <c r="D181" s="168"/>
      <c r="E181" s="153" t="s">
        <v>160</v>
      </c>
      <c r="F181" s="153"/>
      <c r="G181" s="153" t="s">
        <v>1385</v>
      </c>
      <c r="H181" s="153" t="s">
        <v>1614</v>
      </c>
      <c r="I181" s="153" t="s">
        <v>2626</v>
      </c>
      <c r="J181" s="153" t="s">
        <v>359</v>
      </c>
      <c r="K181" s="153" t="s">
        <v>79</v>
      </c>
      <c r="L181" s="153" t="s">
        <v>785</v>
      </c>
      <c r="M181" s="153" t="s">
        <v>1385</v>
      </c>
      <c r="N181" s="153" t="s">
        <v>2775</v>
      </c>
      <c r="P181" s="153">
        <v>457</v>
      </c>
      <c r="R181" s="153"/>
      <c r="S181" s="153"/>
    </row>
    <row r="182" spans="1:19" s="58" customFormat="1" ht="18" customHeight="1">
      <c r="A182" s="153">
        <v>481</v>
      </c>
      <c r="B182" s="153" t="s">
        <v>785</v>
      </c>
      <c r="C182" s="153" t="s">
        <v>1386</v>
      </c>
      <c r="D182" s="168"/>
      <c r="E182" s="153" t="s">
        <v>160</v>
      </c>
      <c r="F182" s="153"/>
      <c r="G182" s="153" t="s">
        <v>1386</v>
      </c>
      <c r="H182" s="153" t="s">
        <v>1614</v>
      </c>
      <c r="I182" s="153" t="s">
        <v>2626</v>
      </c>
      <c r="J182" s="153" t="s">
        <v>359</v>
      </c>
      <c r="K182" s="153" t="s">
        <v>79</v>
      </c>
      <c r="L182" s="153" t="s">
        <v>785</v>
      </c>
      <c r="M182" s="153" t="s">
        <v>1386</v>
      </c>
      <c r="N182" s="153" t="s">
        <v>2775</v>
      </c>
      <c r="P182" s="153">
        <v>454</v>
      </c>
      <c r="R182" s="153"/>
      <c r="S182" s="153"/>
    </row>
    <row r="183" spans="1:19" s="58" customFormat="1" ht="18" customHeight="1">
      <c r="A183" s="153">
        <v>482</v>
      </c>
      <c r="B183" s="153" t="s">
        <v>785</v>
      </c>
      <c r="C183" s="153" t="s">
        <v>554</v>
      </c>
      <c r="D183" s="168"/>
      <c r="E183" s="153" t="s">
        <v>160</v>
      </c>
      <c r="F183" s="153"/>
      <c r="G183" s="153" t="s">
        <v>554</v>
      </c>
      <c r="H183" s="153" t="s">
        <v>1614</v>
      </c>
      <c r="I183" s="153" t="s">
        <v>2626</v>
      </c>
      <c r="J183" s="153" t="s">
        <v>359</v>
      </c>
      <c r="K183" s="153" t="s">
        <v>79</v>
      </c>
      <c r="L183" s="153" t="s">
        <v>785</v>
      </c>
      <c r="M183" s="153" t="s">
        <v>554</v>
      </c>
      <c r="N183" s="153" t="s">
        <v>2775</v>
      </c>
      <c r="P183" s="153">
        <v>458</v>
      </c>
      <c r="R183" s="153"/>
      <c r="S183" s="153"/>
    </row>
    <row r="184" spans="1:19" s="58" customFormat="1" ht="18" customHeight="1">
      <c r="A184" s="153">
        <v>493</v>
      </c>
      <c r="B184" s="153" t="s">
        <v>82</v>
      </c>
      <c r="C184" s="153" t="s">
        <v>603</v>
      </c>
      <c r="D184" s="168">
        <v>0</v>
      </c>
      <c r="E184" s="153" t="s">
        <v>116</v>
      </c>
      <c r="F184" s="153"/>
      <c r="G184" s="153" t="s">
        <v>603</v>
      </c>
      <c r="H184" s="153" t="s">
        <v>1387</v>
      </c>
      <c r="I184" s="153" t="s">
        <v>2627</v>
      </c>
      <c r="J184" s="153" t="s">
        <v>359</v>
      </c>
      <c r="K184" s="153" t="s">
        <v>79</v>
      </c>
      <c r="L184" s="153" t="s">
        <v>82</v>
      </c>
      <c r="M184" s="153" t="s">
        <v>603</v>
      </c>
      <c r="N184" s="153" t="s">
        <v>2776</v>
      </c>
      <c r="P184" s="153">
        <v>98</v>
      </c>
      <c r="R184" s="153"/>
      <c r="S184" s="153"/>
    </row>
    <row r="185" spans="1:19" s="58" customFormat="1" ht="18" customHeight="1">
      <c r="A185" s="153">
        <v>494</v>
      </c>
      <c r="B185" s="153" t="s">
        <v>82</v>
      </c>
      <c r="C185" s="153" t="s">
        <v>602</v>
      </c>
      <c r="D185" s="168">
        <v>0</v>
      </c>
      <c r="E185" s="153" t="s">
        <v>116</v>
      </c>
      <c r="F185" s="153"/>
      <c r="G185" s="153" t="s">
        <v>602</v>
      </c>
      <c r="H185" s="153" t="s">
        <v>1387</v>
      </c>
      <c r="I185" s="153" t="s">
        <v>2627</v>
      </c>
      <c r="J185" s="153" t="s">
        <v>359</v>
      </c>
      <c r="K185" s="153" t="s">
        <v>79</v>
      </c>
      <c r="L185" s="153" t="s">
        <v>82</v>
      </c>
      <c r="M185" s="153" t="s">
        <v>602</v>
      </c>
      <c r="N185" s="153" t="s">
        <v>2776</v>
      </c>
      <c r="P185" s="153">
        <v>97</v>
      </c>
      <c r="R185" s="153"/>
      <c r="S185" s="153"/>
    </row>
    <row r="186" spans="1:19" s="58" customFormat="1" ht="18" customHeight="1">
      <c r="A186" s="153">
        <v>495</v>
      </c>
      <c r="B186" s="153" t="s">
        <v>82</v>
      </c>
      <c r="C186" s="153" t="s">
        <v>601</v>
      </c>
      <c r="D186" s="168">
        <v>0</v>
      </c>
      <c r="E186" s="153" t="s">
        <v>116</v>
      </c>
      <c r="F186" s="153"/>
      <c r="G186" s="153" t="s">
        <v>601</v>
      </c>
      <c r="H186" s="153" t="s">
        <v>1387</v>
      </c>
      <c r="I186" s="153" t="s">
        <v>2627</v>
      </c>
      <c r="J186" s="153" t="s">
        <v>359</v>
      </c>
      <c r="K186" s="153" t="s">
        <v>79</v>
      </c>
      <c r="L186" s="153" t="s">
        <v>82</v>
      </c>
      <c r="M186" s="153" t="s">
        <v>601</v>
      </c>
      <c r="N186" s="153" t="s">
        <v>2776</v>
      </c>
      <c r="P186" s="153">
        <v>96</v>
      </c>
      <c r="R186" s="153"/>
      <c r="S186" s="153"/>
    </row>
    <row r="187" spans="1:19" s="58" customFormat="1" ht="18" customHeight="1">
      <c r="A187" s="153">
        <v>496</v>
      </c>
      <c r="B187" s="153" t="s">
        <v>82</v>
      </c>
      <c r="C187" s="153" t="s">
        <v>604</v>
      </c>
      <c r="D187" s="168">
        <v>0</v>
      </c>
      <c r="E187" s="153" t="s">
        <v>116</v>
      </c>
      <c r="F187" s="153"/>
      <c r="G187" s="153" t="s">
        <v>604</v>
      </c>
      <c r="H187" s="153" t="s">
        <v>1387</v>
      </c>
      <c r="I187" s="153" t="s">
        <v>2627</v>
      </c>
      <c r="J187" s="153" t="s">
        <v>359</v>
      </c>
      <c r="K187" s="153" t="s">
        <v>79</v>
      </c>
      <c r="L187" s="153" t="s">
        <v>82</v>
      </c>
      <c r="M187" s="153" t="s">
        <v>604</v>
      </c>
      <c r="N187" s="153" t="s">
        <v>2776</v>
      </c>
      <c r="P187" s="153">
        <v>99</v>
      </c>
      <c r="R187" s="153"/>
      <c r="S187" s="153"/>
    </row>
    <row r="188" spans="1:19" s="58" customFormat="1" ht="18" customHeight="1">
      <c r="A188" s="153">
        <v>511</v>
      </c>
      <c r="B188" s="153" t="s">
        <v>605</v>
      </c>
      <c r="C188" s="153" t="s">
        <v>209</v>
      </c>
      <c r="D188" s="168">
        <v>0</v>
      </c>
      <c r="E188" s="153" t="s">
        <v>166</v>
      </c>
      <c r="F188" s="153"/>
      <c r="G188" s="153" t="s">
        <v>209</v>
      </c>
      <c r="H188" s="153" t="s">
        <v>1617</v>
      </c>
      <c r="I188" s="153" t="s">
        <v>2646</v>
      </c>
      <c r="J188" s="153" t="s">
        <v>351</v>
      </c>
      <c r="K188" s="153" t="s">
        <v>79</v>
      </c>
      <c r="L188" s="153" t="s">
        <v>606</v>
      </c>
      <c r="M188" s="153" t="s">
        <v>209</v>
      </c>
      <c r="N188" s="153" t="s">
        <v>2777</v>
      </c>
      <c r="P188" s="153">
        <v>106</v>
      </c>
      <c r="R188" s="153"/>
      <c r="S188" s="153"/>
    </row>
    <row r="189" spans="1:19" s="58" customFormat="1" ht="18" customHeight="1">
      <c r="A189" s="153">
        <v>512</v>
      </c>
      <c r="B189" s="153" t="s">
        <v>605</v>
      </c>
      <c r="C189" s="153" t="s">
        <v>609</v>
      </c>
      <c r="D189" s="168">
        <v>0</v>
      </c>
      <c r="E189" s="153" t="s">
        <v>166</v>
      </c>
      <c r="F189" s="153"/>
      <c r="G189" s="153" t="s">
        <v>609</v>
      </c>
      <c r="H189" s="153" t="s">
        <v>1617</v>
      </c>
      <c r="I189" s="153" t="s">
        <v>2646</v>
      </c>
      <c r="J189" s="153" t="s">
        <v>351</v>
      </c>
      <c r="K189" s="153" t="s">
        <v>79</v>
      </c>
      <c r="L189" s="153" t="s">
        <v>606</v>
      </c>
      <c r="M189" s="153" t="s">
        <v>609</v>
      </c>
      <c r="N189" s="153" t="s">
        <v>2777</v>
      </c>
      <c r="P189" s="153">
        <v>108</v>
      </c>
      <c r="R189" s="153"/>
      <c r="S189" s="153"/>
    </row>
    <row r="190" spans="1:19" s="58" customFormat="1" ht="18" customHeight="1">
      <c r="A190" s="153">
        <v>513</v>
      </c>
      <c r="B190" s="153" t="s">
        <v>605</v>
      </c>
      <c r="C190" s="153" t="s">
        <v>608</v>
      </c>
      <c r="D190" s="168">
        <v>0</v>
      </c>
      <c r="E190" s="153" t="s">
        <v>166</v>
      </c>
      <c r="F190" s="153"/>
      <c r="G190" s="153" t="s">
        <v>608</v>
      </c>
      <c r="H190" s="153" t="s">
        <v>1617</v>
      </c>
      <c r="I190" s="153" t="s">
        <v>2646</v>
      </c>
      <c r="J190" s="153" t="s">
        <v>351</v>
      </c>
      <c r="K190" s="153" t="s">
        <v>79</v>
      </c>
      <c r="L190" s="153" t="s">
        <v>606</v>
      </c>
      <c r="M190" s="153" t="s">
        <v>608</v>
      </c>
      <c r="N190" s="153" t="s">
        <v>2777</v>
      </c>
      <c r="P190" s="153">
        <v>107</v>
      </c>
      <c r="R190" s="153"/>
      <c r="S190" s="153"/>
    </row>
    <row r="191" spans="1:19" s="58" customFormat="1" ht="18" customHeight="1">
      <c r="A191" s="153">
        <v>514</v>
      </c>
      <c r="B191" s="153" t="s">
        <v>605</v>
      </c>
      <c r="C191" s="153" t="s">
        <v>610</v>
      </c>
      <c r="D191" s="168">
        <v>0</v>
      </c>
      <c r="E191" s="153" t="s">
        <v>166</v>
      </c>
      <c r="F191" s="153"/>
      <c r="G191" s="153" t="s">
        <v>610</v>
      </c>
      <c r="H191" s="153" t="s">
        <v>1617</v>
      </c>
      <c r="I191" s="153" t="s">
        <v>2646</v>
      </c>
      <c r="J191" s="153" t="s">
        <v>351</v>
      </c>
      <c r="K191" s="153" t="s">
        <v>79</v>
      </c>
      <c r="L191" s="153" t="s">
        <v>606</v>
      </c>
      <c r="M191" s="153" t="s">
        <v>610</v>
      </c>
      <c r="N191" s="153" t="s">
        <v>2777</v>
      </c>
      <c r="P191" s="153">
        <v>109</v>
      </c>
      <c r="R191" s="153"/>
      <c r="S191" s="153"/>
    </row>
    <row r="192" spans="1:19" s="58" customFormat="1" ht="18" customHeight="1">
      <c r="A192" s="153">
        <v>515</v>
      </c>
      <c r="B192" s="153" t="s">
        <v>605</v>
      </c>
      <c r="C192" s="153" t="s">
        <v>611</v>
      </c>
      <c r="D192" s="168">
        <v>0</v>
      </c>
      <c r="E192" s="153" t="s">
        <v>166</v>
      </c>
      <c r="F192" s="153"/>
      <c r="G192" s="153" t="s">
        <v>611</v>
      </c>
      <c r="H192" s="153" t="s">
        <v>1617</v>
      </c>
      <c r="I192" s="153" t="s">
        <v>2646</v>
      </c>
      <c r="J192" s="153" t="s">
        <v>351</v>
      </c>
      <c r="K192" s="153" t="s">
        <v>79</v>
      </c>
      <c r="L192" s="153" t="s">
        <v>606</v>
      </c>
      <c r="M192" s="153" t="s">
        <v>611</v>
      </c>
      <c r="N192" s="153" t="s">
        <v>2777</v>
      </c>
      <c r="P192" s="153">
        <v>110</v>
      </c>
      <c r="R192" s="153"/>
      <c r="S192" s="153"/>
    </row>
    <row r="193" spans="1:19" s="58" customFormat="1" ht="18" customHeight="1">
      <c r="A193" s="153">
        <v>516</v>
      </c>
      <c r="B193" s="153" t="s">
        <v>605</v>
      </c>
      <c r="C193" s="153" t="s">
        <v>200</v>
      </c>
      <c r="D193" s="168">
        <v>0</v>
      </c>
      <c r="E193" s="153" t="s">
        <v>166</v>
      </c>
      <c r="F193" s="153"/>
      <c r="G193" s="153" t="s">
        <v>200</v>
      </c>
      <c r="H193" s="153" t="s">
        <v>1617</v>
      </c>
      <c r="I193" s="153" t="s">
        <v>2646</v>
      </c>
      <c r="J193" s="153" t="s">
        <v>351</v>
      </c>
      <c r="K193" s="153" t="s">
        <v>79</v>
      </c>
      <c r="L193" s="153" t="s">
        <v>606</v>
      </c>
      <c r="M193" s="153" t="s">
        <v>200</v>
      </c>
      <c r="N193" s="153" t="s">
        <v>2777</v>
      </c>
      <c r="P193" s="153">
        <v>105</v>
      </c>
      <c r="R193" s="153"/>
      <c r="S193" s="153"/>
    </row>
    <row r="194" spans="1:19" s="58" customFormat="1" ht="18" customHeight="1">
      <c r="A194" s="153">
        <v>939</v>
      </c>
      <c r="B194" s="153" t="s">
        <v>623</v>
      </c>
      <c r="C194" s="153" t="s">
        <v>620</v>
      </c>
      <c r="D194" s="168">
        <v>0</v>
      </c>
      <c r="E194" s="153" t="s">
        <v>111</v>
      </c>
      <c r="F194" s="153"/>
      <c r="G194" s="153" t="s">
        <v>620</v>
      </c>
      <c r="H194" s="153" t="s">
        <v>624</v>
      </c>
      <c r="I194" s="153" t="s">
        <v>2646</v>
      </c>
      <c r="J194" s="153" t="s">
        <v>351</v>
      </c>
      <c r="K194" s="153" t="s">
        <v>79</v>
      </c>
      <c r="L194" s="153" t="s">
        <v>2928</v>
      </c>
      <c r="M194" s="153" t="s">
        <v>620</v>
      </c>
      <c r="N194" s="153" t="s">
        <v>2778</v>
      </c>
      <c r="O194" s="58" t="s">
        <v>2932</v>
      </c>
      <c r="P194" s="153">
        <v>576</v>
      </c>
      <c r="Q194" s="58">
        <v>581</v>
      </c>
      <c r="R194" s="153"/>
      <c r="S194" s="153"/>
    </row>
    <row r="195" spans="1:19" s="58" customFormat="1" ht="18" customHeight="1">
      <c r="A195" s="153">
        <v>940</v>
      </c>
      <c r="B195" s="153" t="s">
        <v>623</v>
      </c>
      <c r="C195" s="153" t="s">
        <v>627</v>
      </c>
      <c r="D195" s="168">
        <v>0</v>
      </c>
      <c r="E195" s="153" t="s">
        <v>111</v>
      </c>
      <c r="F195" s="153"/>
      <c r="G195" s="153" t="s">
        <v>626</v>
      </c>
      <c r="H195" s="153" t="s">
        <v>624</v>
      </c>
      <c r="I195" s="153" t="s">
        <v>2641</v>
      </c>
      <c r="J195" s="153" t="s">
        <v>359</v>
      </c>
      <c r="K195" s="153" t="s">
        <v>79</v>
      </c>
      <c r="L195" s="153" t="s">
        <v>2928</v>
      </c>
      <c r="M195" s="153" t="s">
        <v>627</v>
      </c>
      <c r="N195" s="153" t="s">
        <v>2778</v>
      </c>
      <c r="O195" s="58" t="s">
        <v>2932</v>
      </c>
      <c r="P195" s="153">
        <v>577</v>
      </c>
      <c r="Q195" s="58">
        <v>582</v>
      </c>
      <c r="R195" s="153"/>
      <c r="S195" s="153"/>
    </row>
    <row r="196" spans="1:19" s="58" customFormat="1" ht="18" customHeight="1">
      <c r="A196" s="153">
        <v>941</v>
      </c>
      <c r="B196" s="153" t="s">
        <v>623</v>
      </c>
      <c r="C196" s="153" t="s">
        <v>622</v>
      </c>
      <c r="D196" s="168">
        <v>0</v>
      </c>
      <c r="E196" s="153" t="s">
        <v>111</v>
      </c>
      <c r="F196" s="153"/>
      <c r="G196" s="153" t="s">
        <v>622</v>
      </c>
      <c r="H196" s="153" t="s">
        <v>624</v>
      </c>
      <c r="I196" s="153" t="s">
        <v>2646</v>
      </c>
      <c r="J196" s="153" t="s">
        <v>351</v>
      </c>
      <c r="K196" s="153" t="s">
        <v>79</v>
      </c>
      <c r="L196" s="153" t="s">
        <v>2928</v>
      </c>
      <c r="M196" s="153" t="s">
        <v>622</v>
      </c>
      <c r="N196" s="153" t="s">
        <v>2778</v>
      </c>
      <c r="O196" s="58" t="s">
        <v>2932</v>
      </c>
      <c r="P196" s="153">
        <v>578</v>
      </c>
      <c r="Q196" s="58">
        <v>583</v>
      </c>
      <c r="R196" s="153"/>
      <c r="S196" s="153"/>
    </row>
    <row r="197" spans="1:19" s="58" customFormat="1" ht="18" customHeight="1">
      <c r="A197" s="153">
        <v>942</v>
      </c>
      <c r="B197" s="153" t="s">
        <v>623</v>
      </c>
      <c r="C197" s="153" t="s">
        <v>625</v>
      </c>
      <c r="D197" s="168">
        <v>0</v>
      </c>
      <c r="E197" s="153" t="s">
        <v>111</v>
      </c>
      <c r="F197" s="153"/>
      <c r="G197" s="153" t="s">
        <v>626</v>
      </c>
      <c r="H197" s="153" t="s">
        <v>624</v>
      </c>
      <c r="I197" s="153" t="s">
        <v>2641</v>
      </c>
      <c r="J197" s="153" t="s">
        <v>359</v>
      </c>
      <c r="K197" s="153" t="s">
        <v>79</v>
      </c>
      <c r="L197" s="153" t="s">
        <v>2928</v>
      </c>
      <c r="M197" s="153" t="s">
        <v>625</v>
      </c>
      <c r="N197" s="153" t="s">
        <v>2778</v>
      </c>
      <c r="O197" s="58" t="s">
        <v>2932</v>
      </c>
      <c r="P197" s="153">
        <v>579</v>
      </c>
      <c r="Q197" s="58">
        <v>584</v>
      </c>
      <c r="R197" s="153"/>
      <c r="S197" s="153"/>
    </row>
    <row r="198" spans="1:19" s="58" customFormat="1" ht="18" customHeight="1">
      <c r="A198" s="153">
        <v>943</v>
      </c>
      <c r="B198" s="153" t="s">
        <v>623</v>
      </c>
      <c r="C198" s="153" t="s">
        <v>554</v>
      </c>
      <c r="D198" s="168">
        <v>0</v>
      </c>
      <c r="E198" s="153" t="s">
        <v>111</v>
      </c>
      <c r="F198" s="153"/>
      <c r="G198" s="153" t="s">
        <v>622</v>
      </c>
      <c r="H198" s="153" t="s">
        <v>624</v>
      </c>
      <c r="I198" s="153" t="s">
        <v>2641</v>
      </c>
      <c r="J198" s="153" t="s">
        <v>359</v>
      </c>
      <c r="K198" s="153" t="s">
        <v>79</v>
      </c>
      <c r="L198" s="153" t="s">
        <v>2928</v>
      </c>
      <c r="M198" s="153" t="s">
        <v>554</v>
      </c>
      <c r="N198" s="153" t="s">
        <v>2778</v>
      </c>
      <c r="O198" s="58" t="s">
        <v>2932</v>
      </c>
      <c r="P198" s="153">
        <v>580</v>
      </c>
      <c r="Q198" s="58">
        <v>585</v>
      </c>
      <c r="R198" s="153"/>
      <c r="S198" s="153"/>
    </row>
    <row r="199" spans="1:19" s="58" customFormat="1" ht="18" customHeight="1">
      <c r="A199" s="153">
        <v>724</v>
      </c>
      <c r="B199" s="153" t="s">
        <v>771</v>
      </c>
      <c r="C199" s="153" t="s">
        <v>1421</v>
      </c>
      <c r="D199" s="168">
        <v>1</v>
      </c>
      <c r="E199" s="153" t="s">
        <v>759</v>
      </c>
      <c r="F199" s="153"/>
      <c r="G199" s="153" t="s">
        <v>1421</v>
      </c>
      <c r="H199" s="153" t="s">
        <v>1419</v>
      </c>
      <c r="I199" s="153" t="s">
        <v>2631</v>
      </c>
      <c r="J199" s="153" t="s">
        <v>359</v>
      </c>
      <c r="K199" s="153" t="s">
        <v>84</v>
      </c>
      <c r="L199" s="153" t="s">
        <v>771</v>
      </c>
      <c r="M199" s="153" t="s">
        <v>1421</v>
      </c>
      <c r="N199" s="153"/>
      <c r="O199" s="58" t="s">
        <v>2933</v>
      </c>
      <c r="P199" s="153"/>
      <c r="Q199" s="58">
        <v>531</v>
      </c>
      <c r="R199" s="153"/>
      <c r="S199" s="153"/>
    </row>
    <row r="200" spans="1:19" s="58" customFormat="1" ht="18" customHeight="1">
      <c r="A200" s="153">
        <v>725</v>
      </c>
      <c r="B200" s="153" t="s">
        <v>771</v>
      </c>
      <c r="C200" s="153" t="s">
        <v>1422</v>
      </c>
      <c r="D200" s="168">
        <v>2</v>
      </c>
      <c r="E200" s="153" t="s">
        <v>759</v>
      </c>
      <c r="F200" s="153"/>
      <c r="G200" s="153" t="s">
        <v>1422</v>
      </c>
      <c r="H200" s="153" t="s">
        <v>1419</v>
      </c>
      <c r="I200" s="153" t="s">
        <v>2631</v>
      </c>
      <c r="J200" s="153" t="s">
        <v>359</v>
      </c>
      <c r="K200" s="153" t="s">
        <v>84</v>
      </c>
      <c r="L200" s="153" t="s">
        <v>771</v>
      </c>
      <c r="M200" s="153" t="s">
        <v>1422</v>
      </c>
      <c r="N200" s="153"/>
      <c r="O200" s="58" t="s">
        <v>2933</v>
      </c>
      <c r="P200" s="153"/>
      <c r="Q200" s="58">
        <v>532</v>
      </c>
      <c r="R200" s="153"/>
      <c r="S200" s="153"/>
    </row>
    <row r="201" spans="1:19" s="58" customFormat="1" ht="18" customHeight="1">
      <c r="A201" s="153">
        <v>726</v>
      </c>
      <c r="B201" s="153" t="s">
        <v>771</v>
      </c>
      <c r="C201" s="153" t="s">
        <v>1423</v>
      </c>
      <c r="D201" s="168">
        <v>3</v>
      </c>
      <c r="E201" s="153" t="s">
        <v>759</v>
      </c>
      <c r="F201" s="153"/>
      <c r="G201" s="153" t="s">
        <v>1423</v>
      </c>
      <c r="H201" s="153" t="s">
        <v>1419</v>
      </c>
      <c r="I201" s="153" t="s">
        <v>2631</v>
      </c>
      <c r="J201" s="153" t="s">
        <v>359</v>
      </c>
      <c r="K201" s="153" t="s">
        <v>84</v>
      </c>
      <c r="L201" s="153" t="s">
        <v>771</v>
      </c>
      <c r="M201" s="153" t="s">
        <v>1423</v>
      </c>
      <c r="N201" s="153"/>
      <c r="O201" s="58" t="s">
        <v>2933</v>
      </c>
      <c r="P201" s="153"/>
      <c r="Q201" s="58">
        <v>533</v>
      </c>
      <c r="R201" s="153"/>
      <c r="S201" s="153"/>
    </row>
    <row r="202" spans="1:19" s="58" customFormat="1" ht="18" customHeight="1">
      <c r="A202" s="153">
        <v>727</v>
      </c>
      <c r="B202" s="153" t="s">
        <v>771</v>
      </c>
      <c r="C202" s="153" t="s">
        <v>1424</v>
      </c>
      <c r="D202" s="168">
        <v>4</v>
      </c>
      <c r="E202" s="153" t="s">
        <v>759</v>
      </c>
      <c r="F202" s="153"/>
      <c r="G202" s="153" t="s">
        <v>1424</v>
      </c>
      <c r="H202" s="153" t="s">
        <v>1419</v>
      </c>
      <c r="I202" s="153" t="s">
        <v>2631</v>
      </c>
      <c r="J202" s="153" t="s">
        <v>359</v>
      </c>
      <c r="K202" s="153" t="s">
        <v>84</v>
      </c>
      <c r="L202" s="153" t="s">
        <v>771</v>
      </c>
      <c r="M202" s="153" t="s">
        <v>1424</v>
      </c>
      <c r="N202" s="153"/>
      <c r="O202" s="58" t="s">
        <v>2933</v>
      </c>
      <c r="P202" s="153"/>
      <c r="Q202" s="58">
        <v>534</v>
      </c>
      <c r="R202" s="153"/>
      <c r="S202" s="153"/>
    </row>
    <row r="203" spans="1:19" s="58" customFormat="1" ht="18" customHeight="1">
      <c r="A203" s="153">
        <v>728</v>
      </c>
      <c r="B203" s="153" t="s">
        <v>771</v>
      </c>
      <c r="C203" s="153" t="s">
        <v>1425</v>
      </c>
      <c r="D203" s="168">
        <v>5</v>
      </c>
      <c r="E203" s="153" t="s">
        <v>759</v>
      </c>
      <c r="F203" s="153"/>
      <c r="G203" s="153" t="s">
        <v>1425</v>
      </c>
      <c r="H203" s="153" t="s">
        <v>1419</v>
      </c>
      <c r="I203" s="153" t="s">
        <v>2631</v>
      </c>
      <c r="J203" s="153" t="s">
        <v>359</v>
      </c>
      <c r="K203" s="153" t="s">
        <v>84</v>
      </c>
      <c r="L203" s="153" t="s">
        <v>771</v>
      </c>
      <c r="M203" s="153" t="s">
        <v>1425</v>
      </c>
      <c r="N203" s="153"/>
      <c r="O203" s="58" t="s">
        <v>2933</v>
      </c>
      <c r="P203" s="153"/>
      <c r="Q203" s="58">
        <v>535</v>
      </c>
      <c r="R203" s="153"/>
      <c r="S203" s="153"/>
    </row>
    <row r="204" spans="1:19" s="58" customFormat="1" ht="18" customHeight="1">
      <c r="A204" s="153">
        <v>729</v>
      </c>
      <c r="B204" s="153" t="s">
        <v>771</v>
      </c>
      <c r="C204" s="153" t="s">
        <v>554</v>
      </c>
      <c r="D204" s="168">
        <v>5</v>
      </c>
      <c r="E204" s="153" t="s">
        <v>759</v>
      </c>
      <c r="F204" s="153"/>
      <c r="G204" s="153" t="s">
        <v>554</v>
      </c>
      <c r="H204" s="153" t="s">
        <v>1419</v>
      </c>
      <c r="I204" s="153" t="s">
        <v>2631</v>
      </c>
      <c r="J204" s="153" t="s">
        <v>359</v>
      </c>
      <c r="K204" s="153" t="s">
        <v>84</v>
      </c>
      <c r="L204" s="153" t="s">
        <v>771</v>
      </c>
      <c r="M204" s="153" t="s">
        <v>554</v>
      </c>
      <c r="N204" s="153"/>
      <c r="O204" s="58" t="s">
        <v>2933</v>
      </c>
      <c r="P204" s="153"/>
      <c r="Q204" s="58">
        <v>536</v>
      </c>
      <c r="R204" s="153"/>
      <c r="S204" s="153"/>
    </row>
    <row r="205" spans="1:19" s="58" customFormat="1" ht="18" customHeight="1">
      <c r="A205" s="153">
        <v>601</v>
      </c>
      <c r="B205" s="153" t="s">
        <v>192</v>
      </c>
      <c r="C205" s="153" t="s">
        <v>869</v>
      </c>
      <c r="D205" s="168">
        <v>2</v>
      </c>
      <c r="E205" s="153" t="s">
        <v>125</v>
      </c>
      <c r="F205" s="153"/>
      <c r="G205" s="153" t="s">
        <v>869</v>
      </c>
      <c r="H205" s="153" t="s">
        <v>1619</v>
      </c>
      <c r="I205" s="153" t="s">
        <v>2646</v>
      </c>
      <c r="J205" s="153" t="s">
        <v>351</v>
      </c>
      <c r="K205" s="153" t="s">
        <v>353</v>
      </c>
      <c r="L205" s="153" t="s">
        <v>192</v>
      </c>
      <c r="M205" s="153" t="s">
        <v>869</v>
      </c>
      <c r="N205" s="153" t="s">
        <v>2779</v>
      </c>
      <c r="P205" s="153">
        <v>204</v>
      </c>
      <c r="R205" s="153"/>
      <c r="S205" s="153"/>
    </row>
    <row r="206" spans="1:19" s="58" customFormat="1" ht="18" customHeight="1">
      <c r="A206" s="153">
        <v>602</v>
      </c>
      <c r="B206" s="153" t="s">
        <v>192</v>
      </c>
      <c r="C206" s="153" t="s">
        <v>870</v>
      </c>
      <c r="D206" s="168">
        <v>3</v>
      </c>
      <c r="E206" s="153" t="s">
        <v>125</v>
      </c>
      <c r="F206" s="153"/>
      <c r="G206" s="153" t="s">
        <v>870</v>
      </c>
      <c r="H206" s="153" t="s">
        <v>1619</v>
      </c>
      <c r="I206" s="153" t="s">
        <v>2646</v>
      </c>
      <c r="J206" s="153" t="s">
        <v>351</v>
      </c>
      <c r="K206" s="153" t="s">
        <v>353</v>
      </c>
      <c r="L206" s="153" t="s">
        <v>192</v>
      </c>
      <c r="M206" s="153" t="s">
        <v>870</v>
      </c>
      <c r="N206" s="153" t="s">
        <v>2779</v>
      </c>
      <c r="P206" s="153">
        <v>205</v>
      </c>
      <c r="R206" s="153"/>
      <c r="S206" s="153"/>
    </row>
    <row r="207" spans="1:19" s="58" customFormat="1" ht="18" customHeight="1">
      <c r="A207" s="153">
        <v>603</v>
      </c>
      <c r="B207" s="153" t="s">
        <v>192</v>
      </c>
      <c r="C207" s="153" t="s">
        <v>871</v>
      </c>
      <c r="D207" s="168">
        <v>4</v>
      </c>
      <c r="E207" s="153" t="s">
        <v>125</v>
      </c>
      <c r="F207" s="153"/>
      <c r="G207" s="153" t="s">
        <v>871</v>
      </c>
      <c r="H207" s="153" t="s">
        <v>1619</v>
      </c>
      <c r="I207" s="153" t="s">
        <v>2646</v>
      </c>
      <c r="J207" s="153" t="s">
        <v>351</v>
      </c>
      <c r="K207" s="153" t="s">
        <v>353</v>
      </c>
      <c r="L207" s="153" t="s">
        <v>192</v>
      </c>
      <c r="M207" s="153" t="s">
        <v>871</v>
      </c>
      <c r="N207" s="153" t="s">
        <v>2779</v>
      </c>
      <c r="P207" s="153">
        <v>273</v>
      </c>
      <c r="R207" s="153"/>
      <c r="S207" s="153"/>
    </row>
    <row r="208" spans="1:19" s="58" customFormat="1" ht="18" customHeight="1">
      <c r="A208" s="153">
        <v>607</v>
      </c>
      <c r="B208" s="153" t="s">
        <v>192</v>
      </c>
      <c r="C208" s="153" t="s">
        <v>872</v>
      </c>
      <c r="D208" s="168">
        <v>8</v>
      </c>
      <c r="E208" s="153" t="s">
        <v>125</v>
      </c>
      <c r="F208" s="153"/>
      <c r="G208" s="153" t="s">
        <v>872</v>
      </c>
      <c r="H208" s="153" t="s">
        <v>1619</v>
      </c>
      <c r="I208" s="153" t="s">
        <v>2646</v>
      </c>
      <c r="J208" s="153" t="s">
        <v>351</v>
      </c>
      <c r="K208" s="153" t="s">
        <v>353</v>
      </c>
      <c r="L208" s="153" t="s">
        <v>192</v>
      </c>
      <c r="M208" s="153" t="s">
        <v>872</v>
      </c>
      <c r="N208" s="153" t="s">
        <v>2779</v>
      </c>
      <c r="P208" s="153">
        <v>278</v>
      </c>
      <c r="R208" s="153"/>
      <c r="S208" s="153"/>
    </row>
    <row r="209" spans="1:19" s="58" customFormat="1" ht="18" customHeight="1">
      <c r="A209" s="153">
        <v>608</v>
      </c>
      <c r="B209" s="153" t="s">
        <v>192</v>
      </c>
      <c r="C209" s="153" t="s">
        <v>242</v>
      </c>
      <c r="D209" s="168">
        <v>9</v>
      </c>
      <c r="E209" s="153" t="s">
        <v>125</v>
      </c>
      <c r="F209" s="153"/>
      <c r="G209" s="153" t="s">
        <v>242</v>
      </c>
      <c r="H209" s="153" t="s">
        <v>1619</v>
      </c>
      <c r="I209" s="153" t="s">
        <v>2646</v>
      </c>
      <c r="J209" s="153" t="s">
        <v>351</v>
      </c>
      <c r="K209" s="153" t="s">
        <v>353</v>
      </c>
      <c r="L209" s="153" t="s">
        <v>192</v>
      </c>
      <c r="M209" s="153" t="s">
        <v>242</v>
      </c>
      <c r="N209" s="153" t="s">
        <v>2779</v>
      </c>
      <c r="P209" s="153">
        <v>279</v>
      </c>
      <c r="R209" s="153"/>
      <c r="S209" s="153"/>
    </row>
    <row r="210" spans="1:19" s="58" customFormat="1" ht="18" customHeight="1">
      <c r="A210" s="153">
        <v>609</v>
      </c>
      <c r="B210" s="153" t="s">
        <v>192</v>
      </c>
      <c r="C210" s="153" t="s">
        <v>2109</v>
      </c>
      <c r="D210" s="168">
        <v>5</v>
      </c>
      <c r="E210" s="153" t="s">
        <v>125</v>
      </c>
      <c r="F210" s="153" t="s">
        <v>619</v>
      </c>
      <c r="G210" s="153" t="s">
        <v>2110</v>
      </c>
      <c r="H210" s="153" t="s">
        <v>1806</v>
      </c>
      <c r="I210" s="153" t="s">
        <v>2646</v>
      </c>
      <c r="J210" s="153" t="s">
        <v>351</v>
      </c>
      <c r="K210" s="153" t="s">
        <v>353</v>
      </c>
      <c r="L210" s="153" t="s">
        <v>192</v>
      </c>
      <c r="M210" s="153" t="s">
        <v>2109</v>
      </c>
      <c r="N210" s="153" t="s">
        <v>2779</v>
      </c>
      <c r="P210" s="153">
        <v>274</v>
      </c>
      <c r="R210" s="153"/>
      <c r="S210" s="153"/>
    </row>
    <row r="211" spans="1:19" s="58" customFormat="1" ht="18" customHeight="1">
      <c r="A211" s="153">
        <v>610</v>
      </c>
      <c r="B211" s="153" t="s">
        <v>192</v>
      </c>
      <c r="C211" s="153" t="s">
        <v>2111</v>
      </c>
      <c r="D211" s="168">
        <v>7</v>
      </c>
      <c r="E211" s="153" t="s">
        <v>125</v>
      </c>
      <c r="F211" s="153" t="s">
        <v>619</v>
      </c>
      <c r="G211" s="153" t="s">
        <v>2110</v>
      </c>
      <c r="H211" s="153" t="s">
        <v>1806</v>
      </c>
      <c r="I211" s="153" t="s">
        <v>2646</v>
      </c>
      <c r="J211" s="153" t="s">
        <v>351</v>
      </c>
      <c r="K211" s="153" t="s">
        <v>353</v>
      </c>
      <c r="L211" s="153" t="s">
        <v>192</v>
      </c>
      <c r="M211" s="153" t="s">
        <v>2111</v>
      </c>
      <c r="N211" s="153" t="s">
        <v>2779</v>
      </c>
      <c r="P211" s="153"/>
      <c r="R211" s="153"/>
      <c r="S211" s="153"/>
    </row>
    <row r="212" spans="1:19" s="58" customFormat="1" ht="18" customHeight="1">
      <c r="A212" s="153">
        <v>611</v>
      </c>
      <c r="B212" s="153" t="s">
        <v>192</v>
      </c>
      <c r="C212" s="153" t="s">
        <v>2112</v>
      </c>
      <c r="D212" s="168">
        <v>10</v>
      </c>
      <c r="E212" s="153" t="s">
        <v>125</v>
      </c>
      <c r="F212" s="153" t="s">
        <v>619</v>
      </c>
      <c r="G212" s="153" t="s">
        <v>2110</v>
      </c>
      <c r="H212" s="153" t="s">
        <v>1806</v>
      </c>
      <c r="I212" s="153" t="s">
        <v>2646</v>
      </c>
      <c r="J212" s="153" t="s">
        <v>351</v>
      </c>
      <c r="K212" s="153" t="s">
        <v>353</v>
      </c>
      <c r="L212" s="153" t="s">
        <v>192</v>
      </c>
      <c r="M212" s="153" t="s">
        <v>2112</v>
      </c>
      <c r="N212" s="153" t="s">
        <v>2779</v>
      </c>
      <c r="P212" s="153">
        <v>280</v>
      </c>
      <c r="R212" s="153"/>
      <c r="S212" s="153"/>
    </row>
    <row r="213" spans="1:19" s="58" customFormat="1" ht="18" customHeight="1">
      <c r="A213" s="153">
        <v>612</v>
      </c>
      <c r="B213" s="153" t="s">
        <v>192</v>
      </c>
      <c r="C213" s="153" t="s">
        <v>2113</v>
      </c>
      <c r="D213" s="168">
        <v>11</v>
      </c>
      <c r="E213" s="153" t="s">
        <v>125</v>
      </c>
      <c r="F213" s="153" t="s">
        <v>619</v>
      </c>
      <c r="G213" s="153" t="s">
        <v>2110</v>
      </c>
      <c r="H213" s="153" t="s">
        <v>1806</v>
      </c>
      <c r="I213" s="153" t="s">
        <v>2646</v>
      </c>
      <c r="J213" s="153" t="s">
        <v>351</v>
      </c>
      <c r="K213" s="153" t="s">
        <v>353</v>
      </c>
      <c r="L213" s="153" t="s">
        <v>192</v>
      </c>
      <c r="M213" s="153" t="s">
        <v>2113</v>
      </c>
      <c r="N213" s="153" t="s">
        <v>2779</v>
      </c>
      <c r="P213" s="153">
        <v>281</v>
      </c>
      <c r="R213" s="153"/>
      <c r="S213" s="153"/>
    </row>
    <row r="214" spans="1:19" s="58" customFormat="1" ht="18" customHeight="1">
      <c r="A214" s="153">
        <v>613</v>
      </c>
      <c r="B214" s="153" t="s">
        <v>192</v>
      </c>
      <c r="C214" s="153" t="s">
        <v>2114</v>
      </c>
      <c r="D214" s="168">
        <v>12</v>
      </c>
      <c r="E214" s="153" t="s">
        <v>125</v>
      </c>
      <c r="F214" s="153" t="s">
        <v>619</v>
      </c>
      <c r="G214" s="153" t="s">
        <v>2110</v>
      </c>
      <c r="H214" s="153" t="s">
        <v>1806</v>
      </c>
      <c r="I214" s="153" t="s">
        <v>2646</v>
      </c>
      <c r="J214" s="153" t="s">
        <v>351</v>
      </c>
      <c r="K214" s="153" t="s">
        <v>353</v>
      </c>
      <c r="L214" s="153" t="s">
        <v>192</v>
      </c>
      <c r="M214" s="153" t="s">
        <v>2114</v>
      </c>
      <c r="N214" s="153" t="s">
        <v>2779</v>
      </c>
      <c r="P214" s="153">
        <v>282</v>
      </c>
      <c r="R214" s="153"/>
      <c r="S214" s="153"/>
    </row>
    <row r="215" spans="1:19" s="58" customFormat="1" ht="18" customHeight="1">
      <c r="A215" s="153">
        <v>614</v>
      </c>
      <c r="B215" s="153" t="s">
        <v>192</v>
      </c>
      <c r="C215" s="153" t="s">
        <v>2115</v>
      </c>
      <c r="D215" s="168">
        <v>13</v>
      </c>
      <c r="E215" s="153" t="s">
        <v>125</v>
      </c>
      <c r="F215" s="153" t="s">
        <v>619</v>
      </c>
      <c r="G215" s="153" t="s">
        <v>2110</v>
      </c>
      <c r="H215" s="153" t="s">
        <v>1806</v>
      </c>
      <c r="I215" s="153" t="s">
        <v>2646</v>
      </c>
      <c r="J215" s="153" t="s">
        <v>351</v>
      </c>
      <c r="K215" s="153" t="s">
        <v>353</v>
      </c>
      <c r="L215" s="153" t="s">
        <v>192</v>
      </c>
      <c r="M215" s="153" t="s">
        <v>2115</v>
      </c>
      <c r="N215" s="153" t="s">
        <v>2779</v>
      </c>
      <c r="P215" s="153">
        <v>283</v>
      </c>
      <c r="R215" s="153"/>
      <c r="S215" s="153"/>
    </row>
    <row r="216" spans="1:19" s="58" customFormat="1" ht="18" customHeight="1">
      <c r="A216" s="153">
        <v>615</v>
      </c>
      <c r="B216" s="153" t="s">
        <v>192</v>
      </c>
      <c r="C216" s="153" t="s">
        <v>2116</v>
      </c>
      <c r="D216" s="168">
        <v>14</v>
      </c>
      <c r="E216" s="153" t="s">
        <v>125</v>
      </c>
      <c r="F216" s="153" t="s">
        <v>619</v>
      </c>
      <c r="G216" s="153" t="s">
        <v>2110</v>
      </c>
      <c r="H216" s="153" t="s">
        <v>1806</v>
      </c>
      <c r="I216" s="153" t="s">
        <v>2646</v>
      </c>
      <c r="J216" s="153" t="s">
        <v>351</v>
      </c>
      <c r="K216" s="153" t="s">
        <v>353</v>
      </c>
      <c r="L216" s="153" t="s">
        <v>192</v>
      </c>
      <c r="M216" s="153" t="s">
        <v>2116</v>
      </c>
      <c r="N216" s="153" t="s">
        <v>2779</v>
      </c>
      <c r="P216" s="153">
        <v>284</v>
      </c>
      <c r="R216" s="153"/>
      <c r="S216" s="153"/>
    </row>
    <row r="217" spans="1:19" s="58" customFormat="1" ht="18" customHeight="1">
      <c r="A217" s="153">
        <v>616</v>
      </c>
      <c r="B217" s="153" t="s">
        <v>192</v>
      </c>
      <c r="C217" s="153" t="s">
        <v>2117</v>
      </c>
      <c r="D217" s="168">
        <v>15</v>
      </c>
      <c r="E217" s="153" t="s">
        <v>125</v>
      </c>
      <c r="F217" s="153" t="s">
        <v>619</v>
      </c>
      <c r="G217" s="153" t="s">
        <v>2110</v>
      </c>
      <c r="H217" s="153" t="s">
        <v>1806</v>
      </c>
      <c r="I217" s="153" t="s">
        <v>2646</v>
      </c>
      <c r="J217" s="153" t="s">
        <v>351</v>
      </c>
      <c r="K217" s="153" t="s">
        <v>353</v>
      </c>
      <c r="L217" s="153" t="s">
        <v>192</v>
      </c>
      <c r="M217" s="153" t="s">
        <v>2117</v>
      </c>
      <c r="N217" s="153" t="s">
        <v>2779</v>
      </c>
      <c r="P217" s="153">
        <v>285</v>
      </c>
      <c r="R217" s="153"/>
      <c r="S217" s="153"/>
    </row>
    <row r="218" spans="1:19" s="58" customFormat="1" ht="18" customHeight="1">
      <c r="A218" s="153">
        <v>625</v>
      </c>
      <c r="B218" s="153" t="s">
        <v>628</v>
      </c>
      <c r="C218" s="153" t="s">
        <v>629</v>
      </c>
      <c r="D218" s="168">
        <v>0</v>
      </c>
      <c r="E218" s="153" t="s">
        <v>91</v>
      </c>
      <c r="F218" s="153"/>
      <c r="G218" s="153" t="s">
        <v>629</v>
      </c>
      <c r="H218" s="153" t="s">
        <v>1620</v>
      </c>
      <c r="I218" s="153" t="s">
        <v>2646</v>
      </c>
      <c r="J218" s="153" t="s">
        <v>351</v>
      </c>
      <c r="K218" s="153" t="s">
        <v>79</v>
      </c>
      <c r="L218" s="153" t="s">
        <v>628</v>
      </c>
      <c r="M218" s="153" t="s">
        <v>629</v>
      </c>
      <c r="N218" s="153"/>
      <c r="P218" s="153"/>
      <c r="R218" s="153"/>
      <c r="S218" s="153"/>
    </row>
    <row r="219" spans="1:19" s="58" customFormat="1" ht="18" customHeight="1">
      <c r="A219" s="153">
        <v>626</v>
      </c>
      <c r="B219" s="153" t="s">
        <v>628</v>
      </c>
      <c r="C219" s="153" t="s">
        <v>632</v>
      </c>
      <c r="D219" s="168">
        <v>0</v>
      </c>
      <c r="E219" s="153" t="s">
        <v>91</v>
      </c>
      <c r="F219" s="153"/>
      <c r="G219" s="153" t="s">
        <v>632</v>
      </c>
      <c r="H219" s="153" t="s">
        <v>1620</v>
      </c>
      <c r="I219" s="153" t="s">
        <v>2646</v>
      </c>
      <c r="J219" s="153" t="s">
        <v>351</v>
      </c>
      <c r="K219" s="153" t="s">
        <v>79</v>
      </c>
      <c r="L219" s="153" t="s">
        <v>628</v>
      </c>
      <c r="M219" s="153" t="s">
        <v>632</v>
      </c>
      <c r="N219" s="153"/>
      <c r="P219" s="153"/>
      <c r="R219" s="153"/>
      <c r="S219" s="153"/>
    </row>
    <row r="220" spans="1:19" s="58" customFormat="1" ht="18" customHeight="1">
      <c r="A220" s="153">
        <v>627</v>
      </c>
      <c r="B220" s="153" t="s">
        <v>628</v>
      </c>
      <c r="C220" s="153" t="s">
        <v>630</v>
      </c>
      <c r="D220" s="168">
        <v>0</v>
      </c>
      <c r="E220" s="153" t="s">
        <v>91</v>
      </c>
      <c r="F220" s="153"/>
      <c r="G220" s="153" t="s">
        <v>630</v>
      </c>
      <c r="H220" s="153" t="s">
        <v>1620</v>
      </c>
      <c r="I220" s="153" t="s">
        <v>2646</v>
      </c>
      <c r="J220" s="153" t="s">
        <v>351</v>
      </c>
      <c r="K220" s="153" t="s">
        <v>79</v>
      </c>
      <c r="L220" s="153" t="s">
        <v>628</v>
      </c>
      <c r="M220" s="153" t="s">
        <v>630</v>
      </c>
      <c r="N220" s="153"/>
      <c r="P220" s="153"/>
      <c r="R220" s="153"/>
      <c r="S220" s="153"/>
    </row>
    <row r="221" spans="1:19" s="58" customFormat="1" ht="18" customHeight="1">
      <c r="A221" s="153">
        <v>628</v>
      </c>
      <c r="B221" s="153" t="s">
        <v>628</v>
      </c>
      <c r="C221" s="153" t="s">
        <v>631</v>
      </c>
      <c r="D221" s="168">
        <v>0</v>
      </c>
      <c r="E221" s="153" t="s">
        <v>91</v>
      </c>
      <c r="F221" s="153"/>
      <c r="G221" s="153" t="s">
        <v>631</v>
      </c>
      <c r="H221" s="153" t="s">
        <v>1620</v>
      </c>
      <c r="I221" s="153" t="s">
        <v>2646</v>
      </c>
      <c r="J221" s="153" t="s">
        <v>351</v>
      </c>
      <c r="K221" s="153" t="s">
        <v>79</v>
      </c>
      <c r="L221" s="153" t="s">
        <v>628</v>
      </c>
      <c r="M221" s="153" t="s">
        <v>631</v>
      </c>
      <c r="N221" s="153"/>
      <c r="P221" s="153"/>
      <c r="R221" s="153"/>
      <c r="S221" s="153"/>
    </row>
    <row r="222" spans="1:19" s="58" customFormat="1" ht="18" customHeight="1">
      <c r="A222" s="153">
        <v>629</v>
      </c>
      <c r="B222" s="153" t="s">
        <v>628</v>
      </c>
      <c r="C222" s="153" t="s">
        <v>634</v>
      </c>
      <c r="D222" s="168">
        <v>0</v>
      </c>
      <c r="E222" s="153" t="s">
        <v>91</v>
      </c>
      <c r="F222" s="153"/>
      <c r="G222" s="153" t="s">
        <v>634</v>
      </c>
      <c r="H222" s="153" t="s">
        <v>1620</v>
      </c>
      <c r="I222" s="153" t="s">
        <v>2646</v>
      </c>
      <c r="J222" s="153" t="s">
        <v>351</v>
      </c>
      <c r="K222" s="153" t="s">
        <v>79</v>
      </c>
      <c r="L222" s="153" t="s">
        <v>628</v>
      </c>
      <c r="M222" s="153" t="s">
        <v>634</v>
      </c>
      <c r="N222" s="153"/>
      <c r="P222" s="153"/>
      <c r="R222" s="153"/>
      <c r="S222" s="153"/>
    </row>
    <row r="223" spans="1:19" s="58" customFormat="1" ht="18" customHeight="1">
      <c r="A223" s="153">
        <v>630</v>
      </c>
      <c r="B223" s="153" t="s">
        <v>628</v>
      </c>
      <c r="C223" s="153" t="s">
        <v>635</v>
      </c>
      <c r="D223" s="168">
        <v>0</v>
      </c>
      <c r="E223" s="153" t="s">
        <v>91</v>
      </c>
      <c r="F223" s="153"/>
      <c r="G223" s="153" t="s">
        <v>635</v>
      </c>
      <c r="H223" s="153" t="s">
        <v>1620</v>
      </c>
      <c r="I223" s="153" t="s">
        <v>2646</v>
      </c>
      <c r="J223" s="153" t="s">
        <v>351</v>
      </c>
      <c r="K223" s="153" t="s">
        <v>79</v>
      </c>
      <c r="L223" s="153" t="s">
        <v>628</v>
      </c>
      <c r="M223" s="153" t="s">
        <v>635</v>
      </c>
      <c r="N223" s="153"/>
      <c r="P223" s="153"/>
      <c r="R223" s="153"/>
      <c r="S223" s="153"/>
    </row>
    <row r="224" spans="1:19" s="58" customFormat="1" ht="18" customHeight="1">
      <c r="A224" s="153">
        <v>631</v>
      </c>
      <c r="B224" s="153" t="s">
        <v>628</v>
      </c>
      <c r="C224" s="153" t="s">
        <v>633</v>
      </c>
      <c r="D224" s="168">
        <v>0</v>
      </c>
      <c r="E224" s="153" t="s">
        <v>91</v>
      </c>
      <c r="F224" s="153"/>
      <c r="G224" s="153" t="s">
        <v>633</v>
      </c>
      <c r="H224" s="153" t="s">
        <v>1620</v>
      </c>
      <c r="I224" s="153" t="s">
        <v>2646</v>
      </c>
      <c r="J224" s="153" t="s">
        <v>351</v>
      </c>
      <c r="K224" s="153" t="s">
        <v>79</v>
      </c>
      <c r="L224" s="153" t="s">
        <v>628</v>
      </c>
      <c r="M224" s="153" t="s">
        <v>633</v>
      </c>
      <c r="N224" s="153"/>
      <c r="P224" s="153"/>
      <c r="R224" s="153"/>
      <c r="S224" s="153"/>
    </row>
    <row r="225" spans="1:19" s="58" customFormat="1" ht="18" customHeight="1">
      <c r="A225" s="153">
        <v>950</v>
      </c>
      <c r="B225" s="153" t="s">
        <v>703</v>
      </c>
      <c r="C225" s="153" t="s">
        <v>2118</v>
      </c>
      <c r="D225" s="168">
        <v>4</v>
      </c>
      <c r="E225" s="153" t="s">
        <v>89</v>
      </c>
      <c r="F225" s="153"/>
      <c r="G225" s="153" t="s">
        <v>1475</v>
      </c>
      <c r="H225" s="153" t="s">
        <v>1476</v>
      </c>
      <c r="I225" s="153" t="s">
        <v>2647</v>
      </c>
      <c r="J225" s="153" t="s">
        <v>363</v>
      </c>
      <c r="K225" s="153" t="s">
        <v>79</v>
      </c>
      <c r="L225" s="153" t="s">
        <v>703</v>
      </c>
      <c r="M225" s="153" t="s">
        <v>2118</v>
      </c>
      <c r="N225" s="153" t="s">
        <v>2780</v>
      </c>
      <c r="P225" s="153">
        <v>131</v>
      </c>
      <c r="R225" s="153"/>
      <c r="S225" s="153"/>
    </row>
    <row r="226" spans="1:19" s="58" customFormat="1" ht="18" customHeight="1">
      <c r="A226" s="153">
        <v>951</v>
      </c>
      <c r="B226" s="153" t="s">
        <v>703</v>
      </c>
      <c r="C226" s="153" t="s">
        <v>1477</v>
      </c>
      <c r="D226" s="168">
        <v>1</v>
      </c>
      <c r="E226" s="153" t="s">
        <v>89</v>
      </c>
      <c r="F226" s="153"/>
      <c r="G226" s="153" t="s">
        <v>1478</v>
      </c>
      <c r="H226" s="153" t="s">
        <v>1476</v>
      </c>
      <c r="I226" s="153" t="s">
        <v>2643</v>
      </c>
      <c r="J226" s="153" t="s">
        <v>359</v>
      </c>
      <c r="K226" s="153" t="s">
        <v>79</v>
      </c>
      <c r="L226" s="153" t="s">
        <v>703</v>
      </c>
      <c r="M226" s="153" t="s">
        <v>1477</v>
      </c>
      <c r="N226" s="153" t="s">
        <v>2780</v>
      </c>
      <c r="P226" s="153">
        <v>128</v>
      </c>
      <c r="R226" s="153"/>
      <c r="S226" s="153"/>
    </row>
    <row r="227" spans="1:19" s="58" customFormat="1" ht="18" customHeight="1">
      <c r="A227" s="153">
        <v>952</v>
      </c>
      <c r="B227" s="153" t="s">
        <v>703</v>
      </c>
      <c r="C227" s="153" t="s">
        <v>1479</v>
      </c>
      <c r="D227" s="168">
        <v>2</v>
      </c>
      <c r="E227" s="153" t="s">
        <v>89</v>
      </c>
      <c r="F227" s="153"/>
      <c r="G227" s="153" t="s">
        <v>1480</v>
      </c>
      <c r="H227" s="153" t="s">
        <v>1476</v>
      </c>
      <c r="I227" s="153" t="s">
        <v>2643</v>
      </c>
      <c r="J227" s="153" t="s">
        <v>359</v>
      </c>
      <c r="K227" s="153" t="s">
        <v>79</v>
      </c>
      <c r="L227" s="153" t="s">
        <v>703</v>
      </c>
      <c r="M227" s="153" t="s">
        <v>1479</v>
      </c>
      <c r="N227" s="153" t="s">
        <v>2780</v>
      </c>
      <c r="P227" s="153">
        <v>129</v>
      </c>
      <c r="R227" s="153"/>
      <c r="S227" s="153"/>
    </row>
    <row r="228" spans="1:19" s="58" customFormat="1" ht="18" customHeight="1">
      <c r="A228" s="153">
        <v>953</v>
      </c>
      <c r="B228" s="153" t="s">
        <v>703</v>
      </c>
      <c r="C228" s="153" t="s">
        <v>1481</v>
      </c>
      <c r="D228" s="168">
        <v>3</v>
      </c>
      <c r="E228" s="153" t="s">
        <v>89</v>
      </c>
      <c r="F228" s="153"/>
      <c r="G228" s="153" t="s">
        <v>1482</v>
      </c>
      <c r="H228" s="153" t="s">
        <v>1476</v>
      </c>
      <c r="I228" s="153" t="s">
        <v>2643</v>
      </c>
      <c r="J228" s="153" t="s">
        <v>359</v>
      </c>
      <c r="K228" s="153" t="s">
        <v>79</v>
      </c>
      <c r="L228" s="153" t="s">
        <v>703</v>
      </c>
      <c r="M228" s="153" t="s">
        <v>1481</v>
      </c>
      <c r="N228" s="153" t="s">
        <v>2780</v>
      </c>
      <c r="P228" s="153">
        <v>130</v>
      </c>
      <c r="R228" s="153"/>
      <c r="S228" s="153"/>
    </row>
    <row r="229" spans="1:19" s="58" customFormat="1" ht="18" customHeight="1">
      <c r="A229" s="153">
        <v>954</v>
      </c>
      <c r="B229" s="153" t="s">
        <v>703</v>
      </c>
      <c r="C229" s="153" t="s">
        <v>2609</v>
      </c>
      <c r="D229" s="168">
        <v>5</v>
      </c>
      <c r="E229" s="153" t="s">
        <v>89</v>
      </c>
      <c r="F229" s="153" t="s">
        <v>2101</v>
      </c>
      <c r="G229" s="153" t="s">
        <v>1475</v>
      </c>
      <c r="H229" s="153" t="s">
        <v>1476</v>
      </c>
      <c r="I229" s="153" t="s">
        <v>2647</v>
      </c>
      <c r="J229" s="153" t="s">
        <v>359</v>
      </c>
      <c r="K229" s="153" t="s">
        <v>79</v>
      </c>
      <c r="L229" s="153" t="s">
        <v>703</v>
      </c>
      <c r="M229" s="153" t="s">
        <v>2609</v>
      </c>
      <c r="N229" s="153" t="s">
        <v>2780</v>
      </c>
      <c r="P229" s="153">
        <v>190</v>
      </c>
      <c r="R229" s="153"/>
      <c r="S229" s="153"/>
    </row>
    <row r="230" spans="1:19" s="58" customFormat="1" ht="18" customHeight="1">
      <c r="A230" s="153">
        <v>693</v>
      </c>
      <c r="B230" s="153" t="s">
        <v>666</v>
      </c>
      <c r="C230" s="153" t="s">
        <v>2119</v>
      </c>
      <c r="D230" s="168">
        <v>1</v>
      </c>
      <c r="E230" s="153" t="s">
        <v>172</v>
      </c>
      <c r="F230" s="153" t="s">
        <v>619</v>
      </c>
      <c r="G230" s="153" t="s">
        <v>667</v>
      </c>
      <c r="H230" s="153" t="s">
        <v>1849</v>
      </c>
      <c r="I230" s="153" t="s">
        <v>2646</v>
      </c>
      <c r="J230" s="153" t="s">
        <v>351</v>
      </c>
      <c r="K230" s="153" t="s">
        <v>353</v>
      </c>
      <c r="L230" s="153" t="s">
        <v>666</v>
      </c>
      <c r="M230" s="153" t="s">
        <v>2119</v>
      </c>
      <c r="N230" s="153" t="s">
        <v>2781</v>
      </c>
      <c r="P230" s="153">
        <v>117</v>
      </c>
      <c r="R230" s="153"/>
      <c r="S230" s="153"/>
    </row>
    <row r="231" spans="1:19" s="58" customFormat="1" ht="18" customHeight="1">
      <c r="A231" s="153">
        <v>694</v>
      </c>
      <c r="B231" s="153" t="s">
        <v>666</v>
      </c>
      <c r="C231" s="153" t="s">
        <v>2120</v>
      </c>
      <c r="D231" s="168">
        <v>3</v>
      </c>
      <c r="E231" s="153" t="s">
        <v>172</v>
      </c>
      <c r="F231" s="153" t="s">
        <v>619</v>
      </c>
      <c r="G231" s="153" t="s">
        <v>670</v>
      </c>
      <c r="H231" s="153" t="s">
        <v>1849</v>
      </c>
      <c r="I231" s="153" t="s">
        <v>2646</v>
      </c>
      <c r="J231" s="153" t="s">
        <v>351</v>
      </c>
      <c r="K231" s="153" t="s">
        <v>353</v>
      </c>
      <c r="L231" s="153" t="s">
        <v>666</v>
      </c>
      <c r="M231" s="153" t="s">
        <v>2120</v>
      </c>
      <c r="N231" s="153" t="s">
        <v>2781</v>
      </c>
      <c r="P231" s="153">
        <v>119</v>
      </c>
      <c r="R231" s="153"/>
      <c r="S231" s="153"/>
    </row>
    <row r="232" spans="1:19" s="58" customFormat="1" ht="18" customHeight="1">
      <c r="A232" s="153">
        <v>695</v>
      </c>
      <c r="B232" s="153" t="s">
        <v>666</v>
      </c>
      <c r="C232" s="153" t="s">
        <v>618</v>
      </c>
      <c r="D232" s="168">
        <v>6</v>
      </c>
      <c r="E232" s="153" t="s">
        <v>172</v>
      </c>
      <c r="F232" s="153" t="s">
        <v>619</v>
      </c>
      <c r="G232" s="153" t="s">
        <v>2121</v>
      </c>
      <c r="H232" s="153" t="s">
        <v>1849</v>
      </c>
      <c r="I232" s="153" t="s">
        <v>2646</v>
      </c>
      <c r="J232" s="153" t="s">
        <v>351</v>
      </c>
      <c r="K232" s="153" t="s">
        <v>353</v>
      </c>
      <c r="L232" s="153" t="s">
        <v>666</v>
      </c>
      <c r="M232" s="153" t="s">
        <v>618</v>
      </c>
      <c r="N232" s="153" t="s">
        <v>2781</v>
      </c>
      <c r="P232" s="153">
        <v>121</v>
      </c>
      <c r="R232" s="153"/>
      <c r="S232" s="153"/>
    </row>
    <row r="233" spans="1:19" s="58" customFormat="1" ht="18" customHeight="1">
      <c r="A233" s="153">
        <v>696</v>
      </c>
      <c r="B233" s="153" t="s">
        <v>666</v>
      </c>
      <c r="C233" s="153" t="s">
        <v>2122</v>
      </c>
      <c r="D233" s="168">
        <v>7</v>
      </c>
      <c r="E233" s="153" t="s">
        <v>172</v>
      </c>
      <c r="F233" s="153" t="s">
        <v>619</v>
      </c>
      <c r="G233" s="153" t="s">
        <v>2123</v>
      </c>
      <c r="H233" s="153" t="s">
        <v>1849</v>
      </c>
      <c r="I233" s="153" t="s">
        <v>2646</v>
      </c>
      <c r="J233" s="153" t="s">
        <v>351</v>
      </c>
      <c r="K233" s="153" t="s">
        <v>353</v>
      </c>
      <c r="L233" s="153" t="s">
        <v>666</v>
      </c>
      <c r="M233" s="153" t="s">
        <v>2122</v>
      </c>
      <c r="N233" s="153" t="s">
        <v>2781</v>
      </c>
      <c r="P233" s="153">
        <v>187</v>
      </c>
      <c r="R233" s="153"/>
      <c r="S233" s="153"/>
    </row>
    <row r="234" spans="1:19" s="58" customFormat="1" ht="18" customHeight="1">
      <c r="A234" s="153">
        <v>697</v>
      </c>
      <c r="B234" s="153" t="s">
        <v>666</v>
      </c>
      <c r="C234" s="153" t="s">
        <v>2124</v>
      </c>
      <c r="D234" s="168">
        <v>8</v>
      </c>
      <c r="E234" s="153" t="s">
        <v>172</v>
      </c>
      <c r="F234" s="153" t="s">
        <v>619</v>
      </c>
      <c r="G234" s="153" t="s">
        <v>2125</v>
      </c>
      <c r="H234" s="153" t="s">
        <v>1849</v>
      </c>
      <c r="I234" s="153" t="s">
        <v>2646</v>
      </c>
      <c r="J234" s="153" t="s">
        <v>351</v>
      </c>
      <c r="K234" s="153" t="s">
        <v>353</v>
      </c>
      <c r="L234" s="153" t="s">
        <v>666</v>
      </c>
      <c r="M234" s="153" t="s">
        <v>2124</v>
      </c>
      <c r="N234" s="153" t="s">
        <v>2781</v>
      </c>
      <c r="P234" s="153">
        <v>259</v>
      </c>
      <c r="R234" s="153"/>
      <c r="S234" s="153"/>
    </row>
    <row r="235" spans="1:19" s="58" customFormat="1" ht="18" customHeight="1">
      <c r="A235" s="153">
        <v>698</v>
      </c>
      <c r="B235" s="153" t="s">
        <v>666</v>
      </c>
      <c r="C235" s="153" t="s">
        <v>2126</v>
      </c>
      <c r="D235" s="168">
        <v>9</v>
      </c>
      <c r="E235" s="153" t="s">
        <v>172</v>
      </c>
      <c r="F235" s="153" t="s">
        <v>619</v>
      </c>
      <c r="G235" s="153" t="s">
        <v>2127</v>
      </c>
      <c r="H235" s="153" t="s">
        <v>1849</v>
      </c>
      <c r="I235" s="153" t="s">
        <v>2646</v>
      </c>
      <c r="J235" s="153" t="s">
        <v>351</v>
      </c>
      <c r="K235" s="153" t="s">
        <v>353</v>
      </c>
      <c r="L235" s="153" t="s">
        <v>666</v>
      </c>
      <c r="M235" s="153" t="s">
        <v>2126</v>
      </c>
      <c r="N235" s="153" t="s">
        <v>2781</v>
      </c>
      <c r="P235" s="153">
        <v>260</v>
      </c>
      <c r="R235" s="153"/>
      <c r="S235" s="153"/>
    </row>
    <row r="236" spans="1:19" s="58" customFormat="1" ht="18" customHeight="1">
      <c r="A236" s="153">
        <v>699</v>
      </c>
      <c r="B236" s="153" t="s">
        <v>666</v>
      </c>
      <c r="C236" s="153" t="s">
        <v>2128</v>
      </c>
      <c r="D236" s="168">
        <v>10</v>
      </c>
      <c r="E236" s="153" t="s">
        <v>172</v>
      </c>
      <c r="F236" s="153" t="s">
        <v>619</v>
      </c>
      <c r="G236" s="153" t="s">
        <v>2129</v>
      </c>
      <c r="H236" s="153" t="s">
        <v>1849</v>
      </c>
      <c r="I236" s="153" t="s">
        <v>2646</v>
      </c>
      <c r="J236" s="153" t="s">
        <v>351</v>
      </c>
      <c r="K236" s="153" t="s">
        <v>353</v>
      </c>
      <c r="L236" s="153" t="s">
        <v>666</v>
      </c>
      <c r="M236" s="153" t="s">
        <v>2128</v>
      </c>
      <c r="N236" s="153" t="s">
        <v>2781</v>
      </c>
      <c r="P236" s="153">
        <v>261</v>
      </c>
      <c r="R236" s="153"/>
      <c r="S236" s="153"/>
    </row>
    <row r="237" spans="1:19" s="58" customFormat="1" ht="18" customHeight="1">
      <c r="A237" s="153">
        <v>700</v>
      </c>
      <c r="B237" s="153" t="s">
        <v>666</v>
      </c>
      <c r="C237" s="153" t="s">
        <v>611</v>
      </c>
      <c r="D237" s="168">
        <v>11</v>
      </c>
      <c r="E237" s="153" t="s">
        <v>172</v>
      </c>
      <c r="F237" s="153" t="s">
        <v>619</v>
      </c>
      <c r="G237" s="153" t="s">
        <v>2130</v>
      </c>
      <c r="H237" s="153" t="s">
        <v>1849</v>
      </c>
      <c r="I237" s="153" t="s">
        <v>2646</v>
      </c>
      <c r="J237" s="153" t="s">
        <v>351</v>
      </c>
      <c r="K237" s="153" t="s">
        <v>353</v>
      </c>
      <c r="L237" s="153" t="s">
        <v>666</v>
      </c>
      <c r="M237" s="153" t="s">
        <v>611</v>
      </c>
      <c r="N237" s="153" t="s">
        <v>2781</v>
      </c>
      <c r="P237" s="153">
        <v>262</v>
      </c>
      <c r="R237" s="153"/>
      <c r="S237" s="153"/>
    </row>
    <row r="238" spans="1:19" s="58" customFormat="1" ht="18" customHeight="1">
      <c r="A238" s="153">
        <v>701</v>
      </c>
      <c r="B238" s="153" t="s">
        <v>666</v>
      </c>
      <c r="C238" s="153" t="s">
        <v>2131</v>
      </c>
      <c r="D238" s="168">
        <v>2</v>
      </c>
      <c r="E238" s="153" t="s">
        <v>172</v>
      </c>
      <c r="F238" s="153" t="s">
        <v>619</v>
      </c>
      <c r="G238" s="153" t="s">
        <v>669</v>
      </c>
      <c r="H238" s="153" t="s">
        <v>1849</v>
      </c>
      <c r="I238" s="153" t="s">
        <v>2646</v>
      </c>
      <c r="J238" s="153" t="s">
        <v>351</v>
      </c>
      <c r="K238" s="153" t="s">
        <v>353</v>
      </c>
      <c r="L238" s="153" t="s">
        <v>666</v>
      </c>
      <c r="M238" s="153" t="s">
        <v>2131</v>
      </c>
      <c r="N238" s="153" t="s">
        <v>2781</v>
      </c>
      <c r="P238" s="153">
        <v>118</v>
      </c>
      <c r="R238" s="153"/>
      <c r="S238" s="153"/>
    </row>
    <row r="239" spans="1:19" s="58" customFormat="1" ht="18" customHeight="1">
      <c r="A239" s="153">
        <v>702</v>
      </c>
      <c r="B239" s="153" t="s">
        <v>666</v>
      </c>
      <c r="C239" s="153" t="s">
        <v>2132</v>
      </c>
      <c r="D239" s="168">
        <v>12</v>
      </c>
      <c r="E239" s="153" t="s">
        <v>172</v>
      </c>
      <c r="F239" s="153" t="s">
        <v>619</v>
      </c>
      <c r="G239" s="153" t="s">
        <v>2133</v>
      </c>
      <c r="H239" s="153" t="s">
        <v>1849</v>
      </c>
      <c r="I239" s="153" t="s">
        <v>2646</v>
      </c>
      <c r="J239" s="153" t="s">
        <v>351</v>
      </c>
      <c r="K239" s="153" t="s">
        <v>353</v>
      </c>
      <c r="L239" s="153" t="s">
        <v>666</v>
      </c>
      <c r="M239" s="153" t="s">
        <v>2132</v>
      </c>
      <c r="N239" s="153" t="s">
        <v>2781</v>
      </c>
      <c r="P239" s="153">
        <v>263</v>
      </c>
      <c r="R239" s="153"/>
      <c r="S239" s="153"/>
    </row>
    <row r="240" spans="1:19" s="58" customFormat="1" ht="18" customHeight="1">
      <c r="A240" s="153">
        <v>703</v>
      </c>
      <c r="B240" s="153" t="s">
        <v>666</v>
      </c>
      <c r="C240" s="153" t="s">
        <v>2134</v>
      </c>
      <c r="D240" s="168">
        <v>5</v>
      </c>
      <c r="E240" s="153" t="s">
        <v>172</v>
      </c>
      <c r="F240" s="153" t="s">
        <v>619</v>
      </c>
      <c r="G240" s="153" t="s">
        <v>671</v>
      </c>
      <c r="H240" s="153" t="s">
        <v>1849</v>
      </c>
      <c r="I240" s="153" t="s">
        <v>2646</v>
      </c>
      <c r="J240" s="153" t="s">
        <v>351</v>
      </c>
      <c r="K240" s="153" t="s">
        <v>353</v>
      </c>
      <c r="L240" s="153" t="s">
        <v>666</v>
      </c>
      <c r="M240" s="153" t="s">
        <v>2134</v>
      </c>
      <c r="N240" s="153" t="s">
        <v>2781</v>
      </c>
      <c r="P240" s="153">
        <v>120</v>
      </c>
      <c r="R240" s="153"/>
      <c r="S240" s="153"/>
    </row>
    <row r="241" spans="1:19" s="58" customFormat="1" ht="18" customHeight="1">
      <c r="A241" s="153">
        <v>704</v>
      </c>
      <c r="B241" s="153" t="s">
        <v>666</v>
      </c>
      <c r="C241" s="153" t="s">
        <v>1491</v>
      </c>
      <c r="D241" s="168">
        <v>13</v>
      </c>
      <c r="E241" s="153" t="s">
        <v>172</v>
      </c>
      <c r="F241" s="153" t="s">
        <v>619</v>
      </c>
      <c r="G241" s="153" t="s">
        <v>2135</v>
      </c>
      <c r="H241" s="153" t="s">
        <v>1849</v>
      </c>
      <c r="I241" s="153" t="s">
        <v>2646</v>
      </c>
      <c r="J241" s="153" t="s">
        <v>351</v>
      </c>
      <c r="K241" s="153" t="s">
        <v>353</v>
      </c>
      <c r="L241" s="153" t="s">
        <v>666</v>
      </c>
      <c r="M241" s="153" t="s">
        <v>1491</v>
      </c>
      <c r="N241" s="153" t="s">
        <v>2781</v>
      </c>
      <c r="P241" s="153">
        <v>264</v>
      </c>
      <c r="R241" s="153"/>
      <c r="S241" s="153"/>
    </row>
    <row r="242" spans="1:19" s="58" customFormat="1" ht="18" customHeight="1">
      <c r="A242" s="153">
        <v>705</v>
      </c>
      <c r="B242" s="153" t="s">
        <v>666</v>
      </c>
      <c r="C242" s="153" t="s">
        <v>2136</v>
      </c>
      <c r="D242" s="168">
        <v>14</v>
      </c>
      <c r="E242" s="153" t="s">
        <v>172</v>
      </c>
      <c r="F242" s="153" t="s">
        <v>619</v>
      </c>
      <c r="G242" s="153" t="s">
        <v>2137</v>
      </c>
      <c r="H242" s="153" t="s">
        <v>1849</v>
      </c>
      <c r="I242" s="153" t="s">
        <v>2646</v>
      </c>
      <c r="J242" s="153" t="s">
        <v>351</v>
      </c>
      <c r="K242" s="153" t="s">
        <v>353</v>
      </c>
      <c r="L242" s="153" t="s">
        <v>666</v>
      </c>
      <c r="M242" s="153" t="s">
        <v>2136</v>
      </c>
      <c r="N242" s="153" t="s">
        <v>2781</v>
      </c>
      <c r="P242" s="153">
        <v>265</v>
      </c>
      <c r="R242" s="153"/>
      <c r="S242" s="153"/>
    </row>
    <row r="243" spans="1:19" s="58" customFormat="1" ht="18" customHeight="1">
      <c r="A243" s="153">
        <v>706</v>
      </c>
      <c r="B243" s="153" t="s">
        <v>666</v>
      </c>
      <c r="C243" s="153" t="s">
        <v>2138</v>
      </c>
      <c r="D243" s="168">
        <v>15</v>
      </c>
      <c r="E243" s="153" t="s">
        <v>172</v>
      </c>
      <c r="F243" s="153" t="s">
        <v>619</v>
      </c>
      <c r="G243" s="153" t="s">
        <v>2139</v>
      </c>
      <c r="H243" s="153" t="s">
        <v>1849</v>
      </c>
      <c r="I243" s="153" t="s">
        <v>2646</v>
      </c>
      <c r="J243" s="153" t="s">
        <v>351</v>
      </c>
      <c r="K243" s="153" t="s">
        <v>353</v>
      </c>
      <c r="L243" s="153" t="s">
        <v>666</v>
      </c>
      <c r="M243" s="153" t="s">
        <v>2138</v>
      </c>
      <c r="N243" s="153" t="s">
        <v>2781</v>
      </c>
      <c r="P243" s="153">
        <v>266</v>
      </c>
      <c r="R243" s="153"/>
      <c r="S243" s="153"/>
    </row>
    <row r="244" spans="1:19" s="58" customFormat="1" ht="18" customHeight="1">
      <c r="A244" s="153">
        <v>707</v>
      </c>
      <c r="B244" s="153" t="s">
        <v>666</v>
      </c>
      <c r="C244" s="153" t="s">
        <v>2140</v>
      </c>
      <c r="D244" s="168">
        <v>16</v>
      </c>
      <c r="E244" s="153" t="s">
        <v>172</v>
      </c>
      <c r="F244" s="153" t="s">
        <v>619</v>
      </c>
      <c r="G244" s="153" t="s">
        <v>2141</v>
      </c>
      <c r="H244" s="153" t="s">
        <v>1849</v>
      </c>
      <c r="I244" s="153" t="s">
        <v>2646</v>
      </c>
      <c r="J244" s="153" t="s">
        <v>351</v>
      </c>
      <c r="K244" s="153" t="s">
        <v>353</v>
      </c>
      <c r="L244" s="153" t="s">
        <v>666</v>
      </c>
      <c r="M244" s="153" t="s">
        <v>2140</v>
      </c>
      <c r="N244" s="153" t="s">
        <v>2781</v>
      </c>
      <c r="P244" s="153">
        <v>267</v>
      </c>
      <c r="R244" s="153"/>
      <c r="S244" s="153"/>
    </row>
    <row r="245" spans="1:19" s="58" customFormat="1" ht="18" customHeight="1">
      <c r="A245" s="153">
        <v>708</v>
      </c>
      <c r="B245" s="153" t="s">
        <v>666</v>
      </c>
      <c r="C245" s="153" t="s">
        <v>2142</v>
      </c>
      <c r="D245" s="168">
        <v>17</v>
      </c>
      <c r="E245" s="153" t="s">
        <v>172</v>
      </c>
      <c r="F245" s="153" t="s">
        <v>619</v>
      </c>
      <c r="G245" s="153" t="s">
        <v>2143</v>
      </c>
      <c r="H245" s="153" t="s">
        <v>1849</v>
      </c>
      <c r="I245" s="153" t="s">
        <v>2646</v>
      </c>
      <c r="J245" s="153" t="s">
        <v>351</v>
      </c>
      <c r="K245" s="153" t="s">
        <v>353</v>
      </c>
      <c r="L245" s="153" t="s">
        <v>666</v>
      </c>
      <c r="M245" s="153" t="s">
        <v>2142</v>
      </c>
      <c r="N245" s="153" t="s">
        <v>2781</v>
      </c>
      <c r="P245" s="153">
        <v>268</v>
      </c>
      <c r="R245" s="153"/>
      <c r="S245" s="153"/>
    </row>
    <row r="246" spans="1:19" s="58" customFormat="1" ht="18" customHeight="1">
      <c r="A246" s="153">
        <v>709</v>
      </c>
      <c r="B246" s="153" t="s">
        <v>666</v>
      </c>
      <c r="C246" s="153" t="s">
        <v>2144</v>
      </c>
      <c r="D246" s="168">
        <v>18</v>
      </c>
      <c r="E246" s="153" t="s">
        <v>172</v>
      </c>
      <c r="F246" s="153" t="s">
        <v>619</v>
      </c>
      <c r="G246" s="153" t="s">
        <v>2145</v>
      </c>
      <c r="H246" s="153" t="s">
        <v>1849</v>
      </c>
      <c r="I246" s="153" t="s">
        <v>2646</v>
      </c>
      <c r="J246" s="153" t="s">
        <v>351</v>
      </c>
      <c r="K246" s="153" t="s">
        <v>353</v>
      </c>
      <c r="L246" s="153" t="s">
        <v>666</v>
      </c>
      <c r="M246" s="153" t="s">
        <v>2144</v>
      </c>
      <c r="N246" s="153" t="s">
        <v>2781</v>
      </c>
      <c r="P246" s="153">
        <v>269</v>
      </c>
      <c r="R246" s="153"/>
      <c r="S246" s="153"/>
    </row>
    <row r="247" spans="1:19" s="58" customFormat="1" ht="18" customHeight="1">
      <c r="A247" s="153">
        <v>710</v>
      </c>
      <c r="B247" s="153" t="s">
        <v>666</v>
      </c>
      <c r="C247" s="153" t="s">
        <v>2146</v>
      </c>
      <c r="D247" s="168">
        <v>19</v>
      </c>
      <c r="E247" s="153" t="s">
        <v>172</v>
      </c>
      <c r="F247" s="153" t="s">
        <v>619</v>
      </c>
      <c r="G247" s="153" t="s">
        <v>2147</v>
      </c>
      <c r="H247" s="153" t="s">
        <v>1849</v>
      </c>
      <c r="I247" s="153" t="s">
        <v>2646</v>
      </c>
      <c r="J247" s="153" t="s">
        <v>351</v>
      </c>
      <c r="K247" s="153" t="s">
        <v>353</v>
      </c>
      <c r="L247" s="153" t="s">
        <v>666</v>
      </c>
      <c r="M247" s="153" t="s">
        <v>2146</v>
      </c>
      <c r="N247" s="153" t="s">
        <v>2781</v>
      </c>
      <c r="P247" s="153">
        <v>270</v>
      </c>
      <c r="R247" s="153"/>
      <c r="S247" s="153"/>
    </row>
    <row r="248" spans="1:19" s="58" customFormat="1" ht="18" customHeight="1">
      <c r="A248" s="153">
        <v>711</v>
      </c>
      <c r="B248" s="153" t="s">
        <v>666</v>
      </c>
      <c r="C248" s="153" t="s">
        <v>2148</v>
      </c>
      <c r="D248" s="168">
        <v>20</v>
      </c>
      <c r="E248" s="153" t="s">
        <v>172</v>
      </c>
      <c r="F248" s="153" t="s">
        <v>619</v>
      </c>
      <c r="G248" s="153" t="s">
        <v>2149</v>
      </c>
      <c r="H248" s="153" t="s">
        <v>1849</v>
      </c>
      <c r="I248" s="153" t="s">
        <v>2646</v>
      </c>
      <c r="J248" s="153" t="s">
        <v>351</v>
      </c>
      <c r="K248" s="153" t="s">
        <v>353</v>
      </c>
      <c r="L248" s="153" t="s">
        <v>666</v>
      </c>
      <c r="M248" s="153" t="s">
        <v>2148</v>
      </c>
      <c r="N248" s="153" t="s">
        <v>2781</v>
      </c>
      <c r="P248" s="153">
        <v>271</v>
      </c>
      <c r="R248" s="153"/>
      <c r="S248" s="153"/>
    </row>
    <row r="249" spans="1:19" s="58" customFormat="1" ht="18" customHeight="1">
      <c r="A249" s="153">
        <v>712</v>
      </c>
      <c r="B249" s="153" t="s">
        <v>666</v>
      </c>
      <c r="C249" s="153" t="s">
        <v>2150</v>
      </c>
      <c r="D249" s="168">
        <v>21</v>
      </c>
      <c r="E249" s="153" t="s">
        <v>172</v>
      </c>
      <c r="F249" s="153" t="s">
        <v>619</v>
      </c>
      <c r="G249" s="153" t="s">
        <v>2151</v>
      </c>
      <c r="H249" s="153" t="s">
        <v>1849</v>
      </c>
      <c r="I249" s="153" t="s">
        <v>2646</v>
      </c>
      <c r="J249" s="153" t="s">
        <v>351</v>
      </c>
      <c r="K249" s="153" t="s">
        <v>353</v>
      </c>
      <c r="L249" s="153" t="s">
        <v>666</v>
      </c>
      <c r="M249" s="153" t="s">
        <v>2150</v>
      </c>
      <c r="N249" s="153" t="s">
        <v>2781</v>
      </c>
      <c r="P249" s="153">
        <v>272</v>
      </c>
      <c r="R249" s="153"/>
      <c r="S249" s="153"/>
    </row>
    <row r="250" spans="1:19" s="58" customFormat="1" ht="18" customHeight="1">
      <c r="A250" s="153">
        <v>713</v>
      </c>
      <c r="B250" s="153" t="s">
        <v>1250</v>
      </c>
      <c r="C250" s="153" t="s">
        <v>1369</v>
      </c>
      <c r="D250" s="168">
        <v>1</v>
      </c>
      <c r="E250" s="153" t="s">
        <v>1249</v>
      </c>
      <c r="F250" s="153"/>
      <c r="G250" s="153" t="s">
        <v>1321</v>
      </c>
      <c r="H250" s="153" t="s">
        <v>1610</v>
      </c>
      <c r="I250" s="153" t="s">
        <v>2646</v>
      </c>
      <c r="J250" s="153" t="s">
        <v>351</v>
      </c>
      <c r="K250" s="153" t="s">
        <v>84</v>
      </c>
      <c r="L250" s="153" t="s">
        <v>1250</v>
      </c>
      <c r="M250" s="153" t="s">
        <v>1369</v>
      </c>
      <c r="N250" s="153"/>
      <c r="O250" s="58" t="s">
        <v>2917</v>
      </c>
      <c r="P250" s="153"/>
      <c r="Q250" s="58">
        <v>520</v>
      </c>
      <c r="R250" s="153"/>
      <c r="S250" s="153"/>
    </row>
    <row r="251" spans="1:19" s="58" customFormat="1" ht="18" customHeight="1">
      <c r="A251" s="153">
        <v>714</v>
      </c>
      <c r="B251" s="153" t="s">
        <v>1250</v>
      </c>
      <c r="C251" s="153" t="s">
        <v>1323</v>
      </c>
      <c r="D251" s="168">
        <v>2</v>
      </c>
      <c r="E251" s="153" t="s">
        <v>1249</v>
      </c>
      <c r="F251" s="153"/>
      <c r="G251" s="153" t="s">
        <v>1323</v>
      </c>
      <c r="H251" s="153" t="s">
        <v>1610</v>
      </c>
      <c r="I251" s="153" t="s">
        <v>2646</v>
      </c>
      <c r="J251" s="153" t="s">
        <v>351</v>
      </c>
      <c r="K251" s="153" t="s">
        <v>84</v>
      </c>
      <c r="L251" s="153" t="s">
        <v>1250</v>
      </c>
      <c r="M251" s="153" t="s">
        <v>1323</v>
      </c>
      <c r="N251" s="153"/>
      <c r="O251" s="58" t="s">
        <v>2917</v>
      </c>
      <c r="P251" s="153"/>
      <c r="Q251" s="58">
        <v>521</v>
      </c>
      <c r="R251" s="153"/>
      <c r="S251" s="153"/>
    </row>
    <row r="252" spans="1:19" s="58" customFormat="1" ht="18" customHeight="1">
      <c r="A252" s="153">
        <v>715</v>
      </c>
      <c r="B252" s="153" t="s">
        <v>1250</v>
      </c>
      <c r="C252" s="153" t="s">
        <v>1324</v>
      </c>
      <c r="D252" s="168">
        <v>3</v>
      </c>
      <c r="E252" s="153" t="s">
        <v>1249</v>
      </c>
      <c r="F252" s="153"/>
      <c r="G252" s="153" t="s">
        <v>1324</v>
      </c>
      <c r="H252" s="153" t="s">
        <v>1610</v>
      </c>
      <c r="I252" s="153" t="s">
        <v>2646</v>
      </c>
      <c r="J252" s="153" t="s">
        <v>351</v>
      </c>
      <c r="K252" s="153" t="s">
        <v>84</v>
      </c>
      <c r="L252" s="153" t="s">
        <v>1250</v>
      </c>
      <c r="M252" s="153" t="s">
        <v>1324</v>
      </c>
      <c r="N252" s="153"/>
      <c r="O252" s="58" t="s">
        <v>2917</v>
      </c>
      <c r="P252" s="153"/>
      <c r="Q252" s="58">
        <v>522</v>
      </c>
      <c r="R252" s="153"/>
      <c r="S252" s="153"/>
    </row>
    <row r="253" spans="1:19" s="58" customFormat="1" ht="18" customHeight="1">
      <c r="A253" s="153">
        <v>716</v>
      </c>
      <c r="B253" s="153" t="s">
        <v>1250</v>
      </c>
      <c r="C253" s="153" t="s">
        <v>1325</v>
      </c>
      <c r="D253" s="168">
        <v>4</v>
      </c>
      <c r="E253" s="153" t="s">
        <v>1249</v>
      </c>
      <c r="F253" s="153"/>
      <c r="G253" s="153" t="s">
        <v>1368</v>
      </c>
      <c r="H253" s="153" t="s">
        <v>1610</v>
      </c>
      <c r="I253" s="153" t="s">
        <v>2646</v>
      </c>
      <c r="J253" s="153" t="s">
        <v>351</v>
      </c>
      <c r="K253" s="153" t="s">
        <v>84</v>
      </c>
      <c r="L253" s="153" t="s">
        <v>1250</v>
      </c>
      <c r="M253" s="153" t="s">
        <v>1325</v>
      </c>
      <c r="N253" s="153"/>
      <c r="O253" s="58" t="s">
        <v>2917</v>
      </c>
      <c r="P253" s="153"/>
      <c r="Q253" s="58">
        <v>524</v>
      </c>
      <c r="R253" s="153"/>
      <c r="S253" s="153"/>
    </row>
    <row r="254" spans="1:19" s="58" customFormat="1" ht="18" customHeight="1">
      <c r="A254" s="153">
        <v>717</v>
      </c>
      <c r="B254" s="153" t="s">
        <v>1250</v>
      </c>
      <c r="C254" s="153" t="s">
        <v>1326</v>
      </c>
      <c r="D254" s="168">
        <v>4</v>
      </c>
      <c r="E254" s="153" t="s">
        <v>1249</v>
      </c>
      <c r="F254" s="153"/>
      <c r="G254" s="153" t="s">
        <v>1322</v>
      </c>
      <c r="H254" s="153" t="s">
        <v>1610</v>
      </c>
      <c r="I254" s="153" t="s">
        <v>2646</v>
      </c>
      <c r="J254" s="153" t="s">
        <v>351</v>
      </c>
      <c r="K254" s="153" t="s">
        <v>84</v>
      </c>
      <c r="L254" s="153" t="s">
        <v>1250</v>
      </c>
      <c r="M254" s="153" t="s">
        <v>1326</v>
      </c>
      <c r="N254" s="153"/>
      <c r="O254" s="58" t="s">
        <v>2917</v>
      </c>
      <c r="P254" s="153"/>
      <c r="Q254" s="58">
        <v>523</v>
      </c>
      <c r="R254" s="153"/>
      <c r="S254" s="153"/>
    </row>
    <row r="255" spans="1:19" s="58" customFormat="1" ht="18" customHeight="1">
      <c r="A255" s="153">
        <v>730</v>
      </c>
      <c r="B255" s="153" t="s">
        <v>672</v>
      </c>
      <c r="C255" s="153" t="s">
        <v>554</v>
      </c>
      <c r="D255" s="168">
        <v>1</v>
      </c>
      <c r="E255" s="153" t="s">
        <v>161</v>
      </c>
      <c r="F255" s="153"/>
      <c r="G255" s="153" t="s">
        <v>554</v>
      </c>
      <c r="H255" s="153" t="s">
        <v>673</v>
      </c>
      <c r="I255" s="153" t="s">
        <v>3005</v>
      </c>
      <c r="J255" s="153" t="s">
        <v>359</v>
      </c>
      <c r="K255" s="153" t="s">
        <v>79</v>
      </c>
      <c r="L255" s="153" t="s">
        <v>672</v>
      </c>
      <c r="M255" s="153" t="s">
        <v>554</v>
      </c>
      <c r="N255" s="153" t="s">
        <v>2782</v>
      </c>
      <c r="P255" s="153">
        <v>538</v>
      </c>
      <c r="R255" s="153"/>
      <c r="S255" s="153"/>
    </row>
    <row r="256" spans="1:19" s="58" customFormat="1" ht="18" customHeight="1">
      <c r="A256" s="153">
        <v>731</v>
      </c>
      <c r="B256" s="153" t="s">
        <v>672</v>
      </c>
      <c r="C256" s="153" t="s">
        <v>1426</v>
      </c>
      <c r="D256" s="168">
        <v>2</v>
      </c>
      <c r="E256" s="153" t="s">
        <v>161</v>
      </c>
      <c r="F256" s="153"/>
      <c r="G256" s="153" t="s">
        <v>1426</v>
      </c>
      <c r="H256" s="153" t="s">
        <v>673</v>
      </c>
      <c r="I256" s="153" t="s">
        <v>3005</v>
      </c>
      <c r="J256" s="153" t="s">
        <v>359</v>
      </c>
      <c r="K256" s="153" t="s">
        <v>79</v>
      </c>
      <c r="L256" s="153" t="s">
        <v>672</v>
      </c>
      <c r="M256" s="153" t="s">
        <v>1426</v>
      </c>
      <c r="N256" s="153" t="s">
        <v>2782</v>
      </c>
      <c r="P256" s="153">
        <v>539</v>
      </c>
      <c r="R256" s="153"/>
      <c r="S256" s="153"/>
    </row>
    <row r="257" spans="1:19" s="58" customFormat="1" ht="18" customHeight="1">
      <c r="A257" s="153">
        <v>732</v>
      </c>
      <c r="B257" s="153" t="s">
        <v>672</v>
      </c>
      <c r="C257" s="153" t="s">
        <v>1427</v>
      </c>
      <c r="D257" s="168">
        <v>3</v>
      </c>
      <c r="E257" s="153" t="s">
        <v>161</v>
      </c>
      <c r="F257" s="153"/>
      <c r="G257" s="153" t="s">
        <v>1427</v>
      </c>
      <c r="H257" s="153" t="s">
        <v>673</v>
      </c>
      <c r="I257" s="153" t="s">
        <v>3005</v>
      </c>
      <c r="J257" s="153" t="s">
        <v>359</v>
      </c>
      <c r="K257" s="153" t="s">
        <v>79</v>
      </c>
      <c r="L257" s="153" t="s">
        <v>672</v>
      </c>
      <c r="M257" s="153" t="s">
        <v>1427</v>
      </c>
      <c r="N257" s="153" t="s">
        <v>2782</v>
      </c>
      <c r="P257" s="153">
        <v>541</v>
      </c>
      <c r="R257" s="153"/>
      <c r="S257" s="153"/>
    </row>
    <row r="258" spans="1:19" s="58" customFormat="1" ht="18" customHeight="1">
      <c r="A258" s="153">
        <v>733</v>
      </c>
      <c r="B258" s="153" t="s">
        <v>672</v>
      </c>
      <c r="C258" s="153" t="s">
        <v>1428</v>
      </c>
      <c r="D258" s="168">
        <v>4</v>
      </c>
      <c r="E258" s="153" t="s">
        <v>161</v>
      </c>
      <c r="F258" s="153"/>
      <c r="G258" s="153" t="s">
        <v>1428</v>
      </c>
      <c r="H258" s="153" t="s">
        <v>673</v>
      </c>
      <c r="I258" s="153" t="s">
        <v>3005</v>
      </c>
      <c r="J258" s="153" t="s">
        <v>359</v>
      </c>
      <c r="K258" s="153" t="s">
        <v>79</v>
      </c>
      <c r="L258" s="153" t="s">
        <v>672</v>
      </c>
      <c r="M258" s="153" t="s">
        <v>1428</v>
      </c>
      <c r="N258" s="153" t="s">
        <v>2782</v>
      </c>
      <c r="P258" s="153">
        <v>543</v>
      </c>
      <c r="R258" s="153"/>
      <c r="S258" s="153"/>
    </row>
    <row r="259" spans="1:19" s="58" customFormat="1" ht="18" customHeight="1">
      <c r="A259" s="153">
        <v>734</v>
      </c>
      <c r="B259" s="153" t="s">
        <v>672</v>
      </c>
      <c r="C259" s="153" t="s">
        <v>1429</v>
      </c>
      <c r="D259" s="168">
        <v>5</v>
      </c>
      <c r="E259" s="153" t="s">
        <v>161</v>
      </c>
      <c r="F259" s="153"/>
      <c r="G259" s="153" t="s">
        <v>1429</v>
      </c>
      <c r="H259" s="153" t="s">
        <v>673</v>
      </c>
      <c r="I259" s="153" t="s">
        <v>3005</v>
      </c>
      <c r="J259" s="153" t="s">
        <v>359</v>
      </c>
      <c r="K259" s="153" t="s">
        <v>79</v>
      </c>
      <c r="L259" s="153" t="s">
        <v>672</v>
      </c>
      <c r="M259" s="153" t="s">
        <v>1429</v>
      </c>
      <c r="N259" s="153" t="s">
        <v>2782</v>
      </c>
      <c r="P259" s="153">
        <v>545</v>
      </c>
      <c r="R259" s="153"/>
      <c r="S259" s="153"/>
    </row>
    <row r="260" spans="1:19" s="58" customFormat="1" ht="18" customHeight="1">
      <c r="A260" s="153">
        <v>735</v>
      </c>
      <c r="B260" s="153" t="s">
        <v>672</v>
      </c>
      <c r="C260" s="153" t="s">
        <v>1430</v>
      </c>
      <c r="D260" s="168">
        <v>1</v>
      </c>
      <c r="E260" s="153" t="s">
        <v>161</v>
      </c>
      <c r="F260" s="153"/>
      <c r="G260" s="153" t="s">
        <v>1430</v>
      </c>
      <c r="H260" s="153" t="s">
        <v>673</v>
      </c>
      <c r="I260" s="153" t="s">
        <v>3005</v>
      </c>
      <c r="J260" s="153" t="s">
        <v>359</v>
      </c>
      <c r="K260" s="153" t="s">
        <v>79</v>
      </c>
      <c r="L260" s="153" t="s">
        <v>672</v>
      </c>
      <c r="M260" s="153" t="s">
        <v>1430</v>
      </c>
      <c r="N260" s="153" t="s">
        <v>2782</v>
      </c>
      <c r="P260" s="153">
        <v>537</v>
      </c>
      <c r="R260" s="153"/>
      <c r="S260" s="153"/>
    </row>
    <row r="261" spans="1:19" s="58" customFormat="1" ht="18" customHeight="1">
      <c r="A261" s="153">
        <v>736</v>
      </c>
      <c r="B261" s="153" t="s">
        <v>672</v>
      </c>
      <c r="C261" s="153" t="s">
        <v>1431</v>
      </c>
      <c r="D261" s="168">
        <v>2</v>
      </c>
      <c r="E261" s="153" t="s">
        <v>161</v>
      </c>
      <c r="F261" s="153"/>
      <c r="G261" s="153" t="s">
        <v>1431</v>
      </c>
      <c r="H261" s="153" t="s">
        <v>673</v>
      </c>
      <c r="I261" s="153" t="s">
        <v>3005</v>
      </c>
      <c r="J261" s="153" t="s">
        <v>359</v>
      </c>
      <c r="K261" s="153" t="s">
        <v>79</v>
      </c>
      <c r="L261" s="153" t="s">
        <v>672</v>
      </c>
      <c r="M261" s="153" t="s">
        <v>1431</v>
      </c>
      <c r="N261" s="153" t="s">
        <v>2782</v>
      </c>
      <c r="P261" s="153">
        <v>540</v>
      </c>
      <c r="R261" s="153"/>
      <c r="S261" s="153"/>
    </row>
    <row r="262" spans="1:19" s="58" customFormat="1" ht="18" customHeight="1">
      <c r="A262" s="153">
        <v>737</v>
      </c>
      <c r="B262" s="153" t="s">
        <v>672</v>
      </c>
      <c r="C262" s="153" t="s">
        <v>1432</v>
      </c>
      <c r="D262" s="168">
        <v>3</v>
      </c>
      <c r="E262" s="153" t="s">
        <v>161</v>
      </c>
      <c r="F262" s="153"/>
      <c r="G262" s="153" t="s">
        <v>1432</v>
      </c>
      <c r="H262" s="153" t="s">
        <v>673</v>
      </c>
      <c r="I262" s="153" t="s">
        <v>3005</v>
      </c>
      <c r="J262" s="153" t="s">
        <v>359</v>
      </c>
      <c r="K262" s="153" t="s">
        <v>79</v>
      </c>
      <c r="L262" s="153" t="s">
        <v>672</v>
      </c>
      <c r="M262" s="153" t="s">
        <v>1432</v>
      </c>
      <c r="N262" s="153" t="s">
        <v>2782</v>
      </c>
      <c r="P262" s="153">
        <v>542</v>
      </c>
      <c r="R262" s="153"/>
      <c r="S262" s="153"/>
    </row>
    <row r="263" spans="1:19" s="58" customFormat="1" ht="18" customHeight="1">
      <c r="A263" s="153">
        <v>738</v>
      </c>
      <c r="B263" s="153" t="s">
        <v>672</v>
      </c>
      <c r="C263" s="153" t="s">
        <v>1433</v>
      </c>
      <c r="D263" s="168">
        <v>4</v>
      </c>
      <c r="E263" s="153" t="s">
        <v>161</v>
      </c>
      <c r="F263" s="153"/>
      <c r="G263" s="153" t="s">
        <v>1433</v>
      </c>
      <c r="H263" s="153" t="s">
        <v>673</v>
      </c>
      <c r="I263" s="153" t="s">
        <v>3005</v>
      </c>
      <c r="J263" s="153" t="s">
        <v>359</v>
      </c>
      <c r="K263" s="153" t="s">
        <v>79</v>
      </c>
      <c r="L263" s="153" t="s">
        <v>672</v>
      </c>
      <c r="M263" s="153" t="s">
        <v>1433</v>
      </c>
      <c r="N263" s="153" t="s">
        <v>2782</v>
      </c>
      <c r="P263" s="153">
        <v>544</v>
      </c>
      <c r="R263" s="153"/>
      <c r="S263" s="153"/>
    </row>
    <row r="264" spans="1:19" s="58" customFormat="1" ht="18" customHeight="1">
      <c r="A264" s="153">
        <v>739</v>
      </c>
      <c r="B264" s="153" t="s">
        <v>672</v>
      </c>
      <c r="C264" s="153" t="s">
        <v>1434</v>
      </c>
      <c r="D264" s="168">
        <v>5</v>
      </c>
      <c r="E264" s="153" t="s">
        <v>161</v>
      </c>
      <c r="F264" s="153"/>
      <c r="G264" s="153" t="s">
        <v>1434</v>
      </c>
      <c r="H264" s="153" t="s">
        <v>673</v>
      </c>
      <c r="I264" s="153" t="s">
        <v>3005</v>
      </c>
      <c r="J264" s="153" t="s">
        <v>359</v>
      </c>
      <c r="K264" s="153" t="s">
        <v>79</v>
      </c>
      <c r="L264" s="153" t="s">
        <v>672</v>
      </c>
      <c r="M264" s="153" t="s">
        <v>1434</v>
      </c>
      <c r="N264" s="153" t="s">
        <v>2782</v>
      </c>
      <c r="P264" s="153">
        <v>546</v>
      </c>
      <c r="R264" s="153"/>
      <c r="S264" s="153"/>
    </row>
    <row r="265" spans="1:19" s="58" customFormat="1" ht="18" customHeight="1">
      <c r="A265" s="153">
        <v>740</v>
      </c>
      <c r="B265" s="153" t="s">
        <v>672</v>
      </c>
      <c r="C265" s="153" t="s">
        <v>1435</v>
      </c>
      <c r="D265" s="168">
        <v>5</v>
      </c>
      <c r="E265" s="153" t="s">
        <v>161</v>
      </c>
      <c r="F265" s="153"/>
      <c r="G265" s="153" t="s">
        <v>1435</v>
      </c>
      <c r="H265" s="153" t="s">
        <v>673</v>
      </c>
      <c r="I265" s="153" t="s">
        <v>3005</v>
      </c>
      <c r="J265" s="153" t="s">
        <v>359</v>
      </c>
      <c r="K265" s="153" t="s">
        <v>79</v>
      </c>
      <c r="L265" s="153" t="s">
        <v>672</v>
      </c>
      <c r="M265" s="153" t="s">
        <v>1435</v>
      </c>
      <c r="N265" s="153" t="s">
        <v>2782</v>
      </c>
      <c r="P265" s="153">
        <v>547</v>
      </c>
      <c r="R265" s="153"/>
      <c r="S265" s="153"/>
    </row>
    <row r="266" spans="1:19" s="58" customFormat="1" ht="18" customHeight="1">
      <c r="A266" s="153">
        <v>14</v>
      </c>
      <c r="B266" s="153" t="s">
        <v>1223</v>
      </c>
      <c r="C266" s="153" t="s">
        <v>590</v>
      </c>
      <c r="D266" s="168">
        <v>1</v>
      </c>
      <c r="E266" s="153" t="s">
        <v>97</v>
      </c>
      <c r="F266" s="153"/>
      <c r="G266" s="153" t="s">
        <v>590</v>
      </c>
      <c r="H266" s="153" t="s">
        <v>1621</v>
      </c>
      <c r="I266" s="153" t="s">
        <v>2611</v>
      </c>
      <c r="J266" s="153" t="s">
        <v>359</v>
      </c>
      <c r="K266" s="153" t="s">
        <v>79</v>
      </c>
      <c r="L266" s="153" t="s">
        <v>768</v>
      </c>
      <c r="M266" s="153" t="s">
        <v>590</v>
      </c>
      <c r="N266" s="153" t="s">
        <v>2783</v>
      </c>
      <c r="P266" s="153">
        <v>91</v>
      </c>
      <c r="R266" s="153"/>
      <c r="S266" s="153"/>
    </row>
    <row r="267" spans="1:19" s="58" customFormat="1" ht="18" customHeight="1">
      <c r="A267" s="153">
        <v>15</v>
      </c>
      <c r="B267" s="153" t="s">
        <v>1223</v>
      </c>
      <c r="C267" s="153" t="s">
        <v>592</v>
      </c>
      <c r="D267" s="168">
        <v>2</v>
      </c>
      <c r="E267" s="153" t="s">
        <v>97</v>
      </c>
      <c r="F267" s="153"/>
      <c r="G267" s="153" t="s">
        <v>592</v>
      </c>
      <c r="H267" s="153" t="s">
        <v>1621</v>
      </c>
      <c r="I267" s="153" t="s">
        <v>2611</v>
      </c>
      <c r="J267" s="153" t="s">
        <v>359</v>
      </c>
      <c r="K267" s="153" t="s">
        <v>79</v>
      </c>
      <c r="L267" s="153" t="s">
        <v>768</v>
      </c>
      <c r="M267" s="153" t="s">
        <v>592</v>
      </c>
      <c r="N267" s="153" t="s">
        <v>2783</v>
      </c>
      <c r="P267" s="153">
        <v>92</v>
      </c>
      <c r="R267" s="153"/>
      <c r="S267" s="153"/>
    </row>
    <row r="268" spans="1:19" s="58" customFormat="1" ht="18" customHeight="1">
      <c r="A268" s="153">
        <v>16</v>
      </c>
      <c r="B268" s="153" t="s">
        <v>1223</v>
      </c>
      <c r="C268" s="153" t="s">
        <v>593</v>
      </c>
      <c r="D268" s="168">
        <v>3</v>
      </c>
      <c r="E268" s="153" t="s">
        <v>97</v>
      </c>
      <c r="F268" s="153"/>
      <c r="G268" s="153" t="s">
        <v>593</v>
      </c>
      <c r="H268" s="153" t="s">
        <v>1621</v>
      </c>
      <c r="I268" s="153" t="s">
        <v>2611</v>
      </c>
      <c r="J268" s="153" t="s">
        <v>359</v>
      </c>
      <c r="K268" s="153" t="s">
        <v>79</v>
      </c>
      <c r="L268" s="153" t="s">
        <v>768</v>
      </c>
      <c r="M268" s="153" t="s">
        <v>593</v>
      </c>
      <c r="N268" s="153" t="s">
        <v>2783</v>
      </c>
      <c r="P268" s="153">
        <v>93</v>
      </c>
      <c r="R268" s="153"/>
      <c r="S268" s="153"/>
    </row>
    <row r="269" spans="1:19" s="58" customFormat="1" ht="18" customHeight="1">
      <c r="A269" s="153">
        <v>17</v>
      </c>
      <c r="B269" s="153" t="s">
        <v>1223</v>
      </c>
      <c r="C269" s="153" t="s">
        <v>591</v>
      </c>
      <c r="D269" s="168">
        <v>4</v>
      </c>
      <c r="E269" s="153" t="s">
        <v>97</v>
      </c>
      <c r="F269" s="153"/>
      <c r="G269" s="153" t="s">
        <v>591</v>
      </c>
      <c r="H269" s="153" t="s">
        <v>1621</v>
      </c>
      <c r="I269" s="153" t="s">
        <v>2611</v>
      </c>
      <c r="J269" s="153" t="s">
        <v>359</v>
      </c>
      <c r="K269" s="153" t="s">
        <v>79</v>
      </c>
      <c r="L269" s="153" t="s">
        <v>768</v>
      </c>
      <c r="M269" s="153" t="s">
        <v>591</v>
      </c>
      <c r="N269" s="153" t="s">
        <v>2783</v>
      </c>
      <c r="P269" s="153">
        <v>94</v>
      </c>
      <c r="R269" s="153"/>
      <c r="S269" s="153"/>
    </row>
    <row r="270" spans="1:19" s="58" customFormat="1" ht="18" customHeight="1">
      <c r="A270" s="153">
        <v>18</v>
      </c>
      <c r="B270" s="153" t="s">
        <v>1223</v>
      </c>
      <c r="C270" s="153" t="s">
        <v>1311</v>
      </c>
      <c r="D270" s="168">
        <v>5</v>
      </c>
      <c r="E270" s="153" t="s">
        <v>97</v>
      </c>
      <c r="F270" s="153"/>
      <c r="G270" s="153" t="s">
        <v>594</v>
      </c>
      <c r="H270" s="153" t="s">
        <v>1621</v>
      </c>
      <c r="I270" s="153" t="s">
        <v>2611</v>
      </c>
      <c r="J270" s="153" t="s">
        <v>359</v>
      </c>
      <c r="K270" s="153" t="s">
        <v>79</v>
      </c>
      <c r="L270" s="153" t="s">
        <v>768</v>
      </c>
      <c r="M270" s="153" t="s">
        <v>1311</v>
      </c>
      <c r="N270" s="153" t="s">
        <v>2783</v>
      </c>
      <c r="P270" s="153">
        <v>95</v>
      </c>
      <c r="R270" s="153"/>
      <c r="S270" s="153"/>
    </row>
    <row r="271" spans="1:19" s="58" customFormat="1" ht="18" customHeight="1">
      <c r="A271" s="153">
        <v>103</v>
      </c>
      <c r="B271" s="153" t="s">
        <v>1224</v>
      </c>
      <c r="C271" s="153" t="s">
        <v>1346</v>
      </c>
      <c r="D271" s="168"/>
      <c r="E271" s="153" t="s">
        <v>1208</v>
      </c>
      <c r="F271" s="153"/>
      <c r="G271" s="153" t="s">
        <v>1346</v>
      </c>
      <c r="H271" s="153" t="s">
        <v>1607</v>
      </c>
      <c r="I271" s="153" t="s">
        <v>2616</v>
      </c>
      <c r="J271" s="153" t="s">
        <v>359</v>
      </c>
      <c r="K271" s="153" t="s">
        <v>79</v>
      </c>
      <c r="L271" s="153" t="s">
        <v>1224</v>
      </c>
      <c r="M271" s="153" t="s">
        <v>1346</v>
      </c>
      <c r="N271" s="153" t="s">
        <v>2784</v>
      </c>
      <c r="P271" s="153">
        <v>411</v>
      </c>
      <c r="R271" s="153"/>
      <c r="S271" s="153"/>
    </row>
    <row r="272" spans="1:19" s="58" customFormat="1" ht="18" customHeight="1">
      <c r="A272" s="153">
        <v>104</v>
      </c>
      <c r="B272" s="153" t="s">
        <v>1224</v>
      </c>
      <c r="C272" s="153" t="s">
        <v>1347</v>
      </c>
      <c r="D272" s="168"/>
      <c r="E272" s="153" t="s">
        <v>1208</v>
      </c>
      <c r="F272" s="153"/>
      <c r="G272" s="153" t="s">
        <v>1347</v>
      </c>
      <c r="H272" s="153" t="s">
        <v>1607</v>
      </c>
      <c r="I272" s="153" t="s">
        <v>2616</v>
      </c>
      <c r="J272" s="153" t="s">
        <v>359</v>
      </c>
      <c r="K272" s="153" t="s">
        <v>79</v>
      </c>
      <c r="L272" s="153" t="s">
        <v>1224</v>
      </c>
      <c r="M272" s="153" t="s">
        <v>1347</v>
      </c>
      <c r="N272" s="153" t="s">
        <v>2784</v>
      </c>
      <c r="P272" s="153">
        <v>416</v>
      </c>
      <c r="R272" s="153"/>
      <c r="S272" s="153"/>
    </row>
    <row r="273" spans="1:19" s="58" customFormat="1" ht="18" customHeight="1">
      <c r="A273" s="153">
        <v>105</v>
      </c>
      <c r="B273" s="153" t="s">
        <v>1224</v>
      </c>
      <c r="C273" s="153" t="s">
        <v>1348</v>
      </c>
      <c r="D273" s="168"/>
      <c r="E273" s="153" t="s">
        <v>1208</v>
      </c>
      <c r="F273" s="153"/>
      <c r="G273" s="153" t="s">
        <v>1348</v>
      </c>
      <c r="H273" s="153" t="s">
        <v>1607</v>
      </c>
      <c r="I273" s="153" t="s">
        <v>2616</v>
      </c>
      <c r="J273" s="153" t="s">
        <v>359</v>
      </c>
      <c r="K273" s="153" t="s">
        <v>79</v>
      </c>
      <c r="L273" s="153" t="s">
        <v>1224</v>
      </c>
      <c r="M273" s="153" t="s">
        <v>1348</v>
      </c>
      <c r="N273" s="153" t="s">
        <v>2784</v>
      </c>
      <c r="P273" s="153">
        <v>413</v>
      </c>
      <c r="R273" s="153"/>
      <c r="S273" s="153"/>
    </row>
    <row r="274" spans="1:19" s="58" customFormat="1" ht="18" customHeight="1">
      <c r="A274" s="153">
        <v>106</v>
      </c>
      <c r="B274" s="153" t="s">
        <v>1224</v>
      </c>
      <c r="C274" s="153" t="s">
        <v>1349</v>
      </c>
      <c r="D274" s="168"/>
      <c r="E274" s="153" t="s">
        <v>1208</v>
      </c>
      <c r="F274" s="153"/>
      <c r="G274" s="153" t="s">
        <v>1349</v>
      </c>
      <c r="H274" s="153" t="s">
        <v>1607</v>
      </c>
      <c r="I274" s="153" t="s">
        <v>2616</v>
      </c>
      <c r="J274" s="153" t="s">
        <v>359</v>
      </c>
      <c r="K274" s="153" t="s">
        <v>79</v>
      </c>
      <c r="L274" s="153" t="s">
        <v>1224</v>
      </c>
      <c r="M274" s="153" t="s">
        <v>1349</v>
      </c>
      <c r="N274" s="153" t="s">
        <v>2784</v>
      </c>
      <c r="P274" s="153">
        <v>412</v>
      </c>
      <c r="R274" s="153"/>
      <c r="S274" s="153"/>
    </row>
    <row r="275" spans="1:19" s="58" customFormat="1" ht="18" customHeight="1">
      <c r="A275" s="153">
        <v>107</v>
      </c>
      <c r="B275" s="153" t="s">
        <v>1224</v>
      </c>
      <c r="C275" s="153" t="s">
        <v>1350</v>
      </c>
      <c r="D275" s="168"/>
      <c r="E275" s="153" t="s">
        <v>1208</v>
      </c>
      <c r="F275" s="153"/>
      <c r="G275" s="153" t="s">
        <v>1350</v>
      </c>
      <c r="H275" s="153" t="s">
        <v>1607</v>
      </c>
      <c r="I275" s="153" t="s">
        <v>2616</v>
      </c>
      <c r="J275" s="153" t="s">
        <v>359</v>
      </c>
      <c r="K275" s="153" t="s">
        <v>79</v>
      </c>
      <c r="L275" s="153" t="s">
        <v>1224</v>
      </c>
      <c r="M275" s="153" t="s">
        <v>1350</v>
      </c>
      <c r="N275" s="153" t="s">
        <v>2784</v>
      </c>
      <c r="P275" s="153">
        <v>415</v>
      </c>
      <c r="R275" s="153"/>
      <c r="S275" s="153"/>
    </row>
    <row r="276" spans="1:19" s="58" customFormat="1" ht="18" customHeight="1">
      <c r="A276" s="153">
        <v>108</v>
      </c>
      <c r="B276" s="153" t="s">
        <v>1224</v>
      </c>
      <c r="C276" s="153" t="s">
        <v>554</v>
      </c>
      <c r="D276" s="168"/>
      <c r="E276" s="153" t="s">
        <v>1208</v>
      </c>
      <c r="F276" s="153"/>
      <c r="G276" s="153" t="s">
        <v>554</v>
      </c>
      <c r="H276" s="153" t="s">
        <v>1607</v>
      </c>
      <c r="I276" s="153" t="s">
        <v>2616</v>
      </c>
      <c r="J276" s="153" t="s">
        <v>359</v>
      </c>
      <c r="K276" s="153" t="s">
        <v>79</v>
      </c>
      <c r="L276" s="153" t="s">
        <v>1224</v>
      </c>
      <c r="M276" s="153" t="s">
        <v>554</v>
      </c>
      <c r="N276" s="153" t="s">
        <v>2784</v>
      </c>
      <c r="P276" s="153">
        <v>414</v>
      </c>
      <c r="R276" s="153"/>
      <c r="S276" s="153"/>
    </row>
    <row r="277" spans="1:19" s="58" customFormat="1" ht="18" customHeight="1">
      <c r="A277" s="153">
        <v>755</v>
      </c>
      <c r="B277" s="153" t="s">
        <v>674</v>
      </c>
      <c r="C277" s="153" t="s">
        <v>2152</v>
      </c>
      <c r="D277" s="168">
        <v>0</v>
      </c>
      <c r="E277" s="153" t="s">
        <v>123</v>
      </c>
      <c r="F277" s="153"/>
      <c r="G277" s="153" t="s">
        <v>2712</v>
      </c>
      <c r="H277" s="153" t="s">
        <v>1622</v>
      </c>
      <c r="I277" s="153" t="s">
        <v>2646</v>
      </c>
      <c r="J277" s="153" t="s">
        <v>351</v>
      </c>
      <c r="K277" s="153" t="s">
        <v>84</v>
      </c>
      <c r="L277" s="153" t="s">
        <v>674</v>
      </c>
      <c r="M277" s="153" t="s">
        <v>2152</v>
      </c>
      <c r="N277" s="153"/>
      <c r="O277" s="58" t="s">
        <v>2785</v>
      </c>
      <c r="P277" s="153"/>
      <c r="Q277" s="58">
        <v>294</v>
      </c>
      <c r="R277" s="153"/>
      <c r="S277" s="153"/>
    </row>
    <row r="278" spans="1:19" s="58" customFormat="1" ht="18" customHeight="1">
      <c r="A278" s="153">
        <v>756</v>
      </c>
      <c r="B278" s="153" t="s">
        <v>674</v>
      </c>
      <c r="C278" s="153" t="s">
        <v>1438</v>
      </c>
      <c r="D278" s="168">
        <v>0</v>
      </c>
      <c r="E278" s="153" t="s">
        <v>123</v>
      </c>
      <c r="F278" s="153"/>
      <c r="G278" s="153" t="s">
        <v>2711</v>
      </c>
      <c r="H278" s="153" t="s">
        <v>1622</v>
      </c>
      <c r="I278" s="153" t="s">
        <v>2633</v>
      </c>
      <c r="J278" s="153" t="s">
        <v>359</v>
      </c>
      <c r="K278" s="153" t="s">
        <v>84</v>
      </c>
      <c r="L278" s="153" t="s">
        <v>674</v>
      </c>
      <c r="M278" s="153" t="s">
        <v>1438</v>
      </c>
      <c r="N278" s="153"/>
      <c r="O278" s="58" t="s">
        <v>2785</v>
      </c>
      <c r="P278" s="153"/>
      <c r="Q278" s="58">
        <v>295</v>
      </c>
      <c r="R278" s="153"/>
      <c r="S278" s="153"/>
    </row>
    <row r="279" spans="1:19" s="58" customFormat="1" ht="18" customHeight="1">
      <c r="A279" s="153">
        <v>757</v>
      </c>
      <c r="B279" s="153" t="s">
        <v>674</v>
      </c>
      <c r="C279" s="153" t="s">
        <v>2153</v>
      </c>
      <c r="D279" s="168">
        <v>0</v>
      </c>
      <c r="E279" s="153" t="s">
        <v>123</v>
      </c>
      <c r="F279" s="153"/>
      <c r="G279" s="153" t="s">
        <v>1439</v>
      </c>
      <c r="H279" s="153" t="s">
        <v>1622</v>
      </c>
      <c r="I279" s="153" t="s">
        <v>2646</v>
      </c>
      <c r="J279" s="153" t="s">
        <v>351</v>
      </c>
      <c r="K279" s="153" t="s">
        <v>84</v>
      </c>
      <c r="L279" s="153" t="s">
        <v>674</v>
      </c>
      <c r="M279" s="153" t="s">
        <v>2153</v>
      </c>
      <c r="N279" s="153"/>
      <c r="O279" s="58" t="s">
        <v>2785</v>
      </c>
      <c r="P279" s="153"/>
      <c r="Q279" s="58">
        <v>296</v>
      </c>
      <c r="R279" s="153"/>
      <c r="S279" s="153"/>
    </row>
    <row r="280" spans="1:19" s="58" customFormat="1" ht="18" customHeight="1">
      <c r="A280" s="153">
        <v>758</v>
      </c>
      <c r="B280" s="153" t="s">
        <v>674</v>
      </c>
      <c r="C280" s="153" t="s">
        <v>1440</v>
      </c>
      <c r="D280" s="168">
        <v>0</v>
      </c>
      <c r="E280" s="153" t="s">
        <v>123</v>
      </c>
      <c r="F280" s="153"/>
      <c r="G280" s="153" t="s">
        <v>2710</v>
      </c>
      <c r="H280" s="153" t="s">
        <v>1622</v>
      </c>
      <c r="I280" s="153" t="s">
        <v>2633</v>
      </c>
      <c r="J280" s="153" t="s">
        <v>359</v>
      </c>
      <c r="K280" s="153" t="s">
        <v>84</v>
      </c>
      <c r="L280" s="153" t="s">
        <v>674</v>
      </c>
      <c r="M280" s="153" t="s">
        <v>1440</v>
      </c>
      <c r="N280" s="153"/>
      <c r="O280" s="58" t="s">
        <v>2785</v>
      </c>
      <c r="P280" s="153"/>
      <c r="Q280" s="58">
        <v>297</v>
      </c>
      <c r="R280" s="153"/>
      <c r="S280" s="153"/>
    </row>
    <row r="281" spans="1:19" s="58" customFormat="1" ht="18" customHeight="1">
      <c r="A281" s="153">
        <v>759</v>
      </c>
      <c r="B281" s="153" t="s">
        <v>674</v>
      </c>
      <c r="C281" s="153" t="s">
        <v>1441</v>
      </c>
      <c r="D281" s="168">
        <v>0</v>
      </c>
      <c r="E281" s="153" t="s">
        <v>123</v>
      </c>
      <c r="F281" s="153"/>
      <c r="G281" s="153" t="s">
        <v>1441</v>
      </c>
      <c r="H281" s="153" t="s">
        <v>1622</v>
      </c>
      <c r="I281" s="153" t="s">
        <v>2633</v>
      </c>
      <c r="J281" s="153" t="s">
        <v>359</v>
      </c>
      <c r="K281" s="153" t="s">
        <v>84</v>
      </c>
      <c r="L281" s="153" t="s">
        <v>674</v>
      </c>
      <c r="M281" s="153" t="s">
        <v>1441</v>
      </c>
      <c r="N281" s="153"/>
      <c r="O281" s="58" t="s">
        <v>2785</v>
      </c>
      <c r="P281" s="153"/>
      <c r="Q281" s="58">
        <v>298</v>
      </c>
      <c r="R281" s="153"/>
      <c r="S281" s="153"/>
    </row>
    <row r="282" spans="1:19" s="58" customFormat="1" ht="18" customHeight="1">
      <c r="A282" s="153">
        <v>763</v>
      </c>
      <c r="B282" s="153" t="s">
        <v>674</v>
      </c>
      <c r="C282" s="153" t="s">
        <v>331</v>
      </c>
      <c r="D282" s="168">
        <v>0</v>
      </c>
      <c r="E282" s="153" t="s">
        <v>123</v>
      </c>
      <c r="F282" s="153"/>
      <c r="G282" s="153" t="s">
        <v>2709</v>
      </c>
      <c r="H282" s="153" t="s">
        <v>1622</v>
      </c>
      <c r="I282" s="153" t="s">
        <v>2633</v>
      </c>
      <c r="J282" s="153" t="s">
        <v>359</v>
      </c>
      <c r="K282" s="153" t="s">
        <v>84</v>
      </c>
      <c r="L282" s="153" t="s">
        <v>674</v>
      </c>
      <c r="M282" s="153" t="s">
        <v>331</v>
      </c>
      <c r="N282" s="153"/>
      <c r="O282" s="58" t="s">
        <v>2785</v>
      </c>
      <c r="P282" s="153"/>
      <c r="Q282" s="58">
        <v>299</v>
      </c>
      <c r="R282" s="153"/>
      <c r="S282" s="153"/>
    </row>
    <row r="283" spans="1:19" s="58" customFormat="1" ht="18" customHeight="1">
      <c r="A283" s="153">
        <v>764</v>
      </c>
      <c r="B283" s="153" t="s">
        <v>18</v>
      </c>
      <c r="C283" s="153" t="s">
        <v>675</v>
      </c>
      <c r="D283" s="168">
        <v>1</v>
      </c>
      <c r="E283" s="153" t="s">
        <v>162</v>
      </c>
      <c r="F283" s="153"/>
      <c r="G283" s="153" t="s">
        <v>675</v>
      </c>
      <c r="H283" s="153" t="s">
        <v>1442</v>
      </c>
      <c r="I283" s="153" t="s">
        <v>2646</v>
      </c>
      <c r="J283" s="153" t="s">
        <v>351</v>
      </c>
      <c r="K283" s="153" t="s">
        <v>353</v>
      </c>
      <c r="L283" s="153" t="s">
        <v>18</v>
      </c>
      <c r="M283" s="153" t="s">
        <v>675</v>
      </c>
      <c r="N283" s="153" t="s">
        <v>2786</v>
      </c>
      <c r="O283" s="58" t="s">
        <v>2920</v>
      </c>
      <c r="P283" s="153">
        <v>555</v>
      </c>
      <c r="Q283" s="58">
        <v>559</v>
      </c>
      <c r="R283" s="153"/>
      <c r="S283" s="153"/>
    </row>
    <row r="284" spans="1:19" s="58" customFormat="1" ht="18" customHeight="1">
      <c r="A284" s="153">
        <v>765</v>
      </c>
      <c r="B284" s="153" t="s">
        <v>18</v>
      </c>
      <c r="C284" s="153" t="s">
        <v>621</v>
      </c>
      <c r="D284" s="168">
        <v>2</v>
      </c>
      <c r="E284" s="153" t="s">
        <v>162</v>
      </c>
      <c r="F284" s="153"/>
      <c r="G284" s="153" t="s">
        <v>621</v>
      </c>
      <c r="H284" s="153" t="s">
        <v>1442</v>
      </c>
      <c r="I284" s="153" t="s">
        <v>2646</v>
      </c>
      <c r="J284" s="153" t="s">
        <v>351</v>
      </c>
      <c r="K284" s="153" t="s">
        <v>353</v>
      </c>
      <c r="L284" s="153" t="s">
        <v>18</v>
      </c>
      <c r="M284" s="153" t="s">
        <v>621</v>
      </c>
      <c r="N284" s="153" t="s">
        <v>2786</v>
      </c>
      <c r="O284" s="58" t="s">
        <v>2920</v>
      </c>
      <c r="P284" s="153">
        <v>556</v>
      </c>
      <c r="Q284" s="58">
        <v>560</v>
      </c>
      <c r="R284" s="153"/>
      <c r="S284" s="153"/>
    </row>
    <row r="285" spans="1:19" s="58" customFormat="1" ht="18" customHeight="1">
      <c r="A285" s="153">
        <v>766</v>
      </c>
      <c r="B285" s="153" t="s">
        <v>18</v>
      </c>
      <c r="C285" s="153" t="s">
        <v>676</v>
      </c>
      <c r="D285" s="168">
        <v>3</v>
      </c>
      <c r="E285" s="153" t="s">
        <v>162</v>
      </c>
      <c r="F285" s="153"/>
      <c r="G285" s="153" t="s">
        <v>676</v>
      </c>
      <c r="H285" s="153" t="s">
        <v>1442</v>
      </c>
      <c r="I285" s="153" t="s">
        <v>2646</v>
      </c>
      <c r="J285" s="153" t="s">
        <v>351</v>
      </c>
      <c r="K285" s="153" t="s">
        <v>353</v>
      </c>
      <c r="L285" s="153" t="s">
        <v>18</v>
      </c>
      <c r="M285" s="153" t="s">
        <v>676</v>
      </c>
      <c r="N285" s="153" t="s">
        <v>2786</v>
      </c>
      <c r="O285" s="58" t="s">
        <v>2920</v>
      </c>
      <c r="P285" s="153">
        <v>557</v>
      </c>
      <c r="Q285" s="58">
        <v>561</v>
      </c>
      <c r="R285" s="153"/>
      <c r="S285" s="153"/>
    </row>
    <row r="286" spans="1:19" s="58" customFormat="1" ht="18" customHeight="1">
      <c r="A286" s="153">
        <v>767</v>
      </c>
      <c r="B286" s="153" t="s">
        <v>18</v>
      </c>
      <c r="C286" s="153" t="s">
        <v>1443</v>
      </c>
      <c r="D286" s="168">
        <v>4</v>
      </c>
      <c r="E286" s="153" t="s">
        <v>162</v>
      </c>
      <c r="F286" s="153"/>
      <c r="G286" s="153" t="s">
        <v>677</v>
      </c>
      <c r="H286" s="153" t="s">
        <v>350</v>
      </c>
      <c r="I286" s="153" t="s">
        <v>2646</v>
      </c>
      <c r="J286" s="153" t="s">
        <v>351</v>
      </c>
      <c r="K286" s="153" t="s">
        <v>353</v>
      </c>
      <c r="L286" s="153" t="s">
        <v>18</v>
      </c>
      <c r="M286" s="153" t="s">
        <v>1443</v>
      </c>
      <c r="N286" s="153" t="s">
        <v>2786</v>
      </c>
      <c r="O286" s="58" t="s">
        <v>2920</v>
      </c>
      <c r="P286" s="153">
        <v>558</v>
      </c>
      <c r="Q286" s="58">
        <v>562</v>
      </c>
      <c r="R286" s="153"/>
      <c r="S286" s="153"/>
    </row>
    <row r="287" spans="1:19" s="58" customFormat="1" ht="18" customHeight="1">
      <c r="A287" s="153">
        <v>768</v>
      </c>
      <c r="B287" s="153" t="s">
        <v>678</v>
      </c>
      <c r="C287" s="153" t="s">
        <v>607</v>
      </c>
      <c r="D287" s="168">
        <v>0</v>
      </c>
      <c r="E287" s="153" t="s">
        <v>169</v>
      </c>
      <c r="F287" s="153"/>
      <c r="G287" s="153" t="s">
        <v>607</v>
      </c>
      <c r="H287" s="153" t="s">
        <v>350</v>
      </c>
      <c r="I287" s="153" t="s">
        <v>2646</v>
      </c>
      <c r="J287" s="153" t="s">
        <v>351</v>
      </c>
      <c r="K287" s="153" t="s">
        <v>79</v>
      </c>
      <c r="L287" s="153" t="s">
        <v>678</v>
      </c>
      <c r="M287" s="153" t="s">
        <v>607</v>
      </c>
      <c r="N287" s="153" t="s">
        <v>2787</v>
      </c>
      <c r="P287" s="153">
        <v>125</v>
      </c>
      <c r="R287" s="153"/>
      <c r="S287" s="153"/>
    </row>
    <row r="288" spans="1:19" s="58" customFormat="1" ht="18" customHeight="1">
      <c r="A288" s="153">
        <v>769</v>
      </c>
      <c r="B288" s="153" t="s">
        <v>678</v>
      </c>
      <c r="C288" s="153" t="s">
        <v>679</v>
      </c>
      <c r="D288" s="168">
        <v>0</v>
      </c>
      <c r="E288" s="153" t="s">
        <v>169</v>
      </c>
      <c r="F288" s="153"/>
      <c r="G288" s="153" t="s">
        <v>679</v>
      </c>
      <c r="H288" s="153" t="s">
        <v>350</v>
      </c>
      <c r="I288" s="153" t="s">
        <v>2646</v>
      </c>
      <c r="J288" s="153" t="s">
        <v>351</v>
      </c>
      <c r="K288" s="153" t="s">
        <v>79</v>
      </c>
      <c r="L288" s="153" t="s">
        <v>678</v>
      </c>
      <c r="M288" s="153" t="s">
        <v>679</v>
      </c>
      <c r="N288" s="153" t="s">
        <v>2787</v>
      </c>
      <c r="P288" s="153"/>
      <c r="R288" s="153"/>
      <c r="S288" s="153"/>
    </row>
    <row r="289" spans="1:19" s="58" customFormat="1" ht="18" customHeight="1">
      <c r="A289" s="153">
        <v>770</v>
      </c>
      <c r="B289" s="153" t="s">
        <v>678</v>
      </c>
      <c r="C289" s="153" t="s">
        <v>680</v>
      </c>
      <c r="D289" s="168">
        <v>0</v>
      </c>
      <c r="E289" s="153" t="s">
        <v>169</v>
      </c>
      <c r="F289" s="153"/>
      <c r="G289" s="153" t="s">
        <v>680</v>
      </c>
      <c r="H289" s="153" t="s">
        <v>350</v>
      </c>
      <c r="I289" s="153" t="s">
        <v>2646</v>
      </c>
      <c r="J289" s="153" t="s">
        <v>351</v>
      </c>
      <c r="K289" s="153" t="s">
        <v>79</v>
      </c>
      <c r="L289" s="153" t="s">
        <v>678</v>
      </c>
      <c r="M289" s="153" t="s">
        <v>680</v>
      </c>
      <c r="N289" s="153" t="s">
        <v>2787</v>
      </c>
      <c r="P289" s="153">
        <v>563</v>
      </c>
      <c r="R289" s="153"/>
      <c r="S289" s="153"/>
    </row>
    <row r="290" spans="1:19" s="58" customFormat="1" ht="18" customHeight="1">
      <c r="A290" s="153">
        <v>771</v>
      </c>
      <c r="B290" s="153" t="s">
        <v>678</v>
      </c>
      <c r="C290" s="153" t="s">
        <v>1444</v>
      </c>
      <c r="D290" s="168">
        <v>0</v>
      </c>
      <c r="E290" s="153" t="s">
        <v>169</v>
      </c>
      <c r="F290" s="153"/>
      <c r="G290" s="153" t="s">
        <v>1444</v>
      </c>
      <c r="H290" s="153" t="s">
        <v>350</v>
      </c>
      <c r="I290" s="153" t="s">
        <v>2646</v>
      </c>
      <c r="J290" s="153" t="s">
        <v>351</v>
      </c>
      <c r="K290" s="153" t="s">
        <v>79</v>
      </c>
      <c r="L290" s="153" t="s">
        <v>678</v>
      </c>
      <c r="M290" s="153" t="s">
        <v>1444</v>
      </c>
      <c r="N290" s="153" t="s">
        <v>2787</v>
      </c>
      <c r="P290" s="153">
        <v>189</v>
      </c>
      <c r="R290" s="153"/>
      <c r="S290" s="153"/>
    </row>
    <row r="291" spans="1:19" s="58" customFormat="1" ht="18" customHeight="1">
      <c r="A291" s="153">
        <v>772</v>
      </c>
      <c r="B291" s="153" t="s">
        <v>678</v>
      </c>
      <c r="C291" s="153" t="s">
        <v>1418</v>
      </c>
      <c r="D291" s="168">
        <v>0</v>
      </c>
      <c r="E291" s="153" t="s">
        <v>169</v>
      </c>
      <c r="F291" s="153"/>
      <c r="G291" s="153" t="s">
        <v>1418</v>
      </c>
      <c r="H291" s="153" t="s">
        <v>350</v>
      </c>
      <c r="I291" s="153" t="s">
        <v>2646</v>
      </c>
      <c r="J291" s="153" t="s">
        <v>351</v>
      </c>
      <c r="K291" s="153" t="s">
        <v>79</v>
      </c>
      <c r="L291" s="153" t="s">
        <v>678</v>
      </c>
      <c r="M291" s="153" t="s">
        <v>1418</v>
      </c>
      <c r="N291" s="153" t="s">
        <v>2787</v>
      </c>
      <c r="P291" s="153">
        <v>126</v>
      </c>
      <c r="R291" s="153"/>
      <c r="S291" s="153"/>
    </row>
    <row r="292" spans="1:19" s="58" customFormat="1" ht="18" customHeight="1">
      <c r="A292" s="153">
        <v>773</v>
      </c>
      <c r="B292" s="153" t="s">
        <v>678</v>
      </c>
      <c r="C292" s="153" t="s">
        <v>1335</v>
      </c>
      <c r="D292" s="168">
        <v>0</v>
      </c>
      <c r="E292" s="153" t="s">
        <v>169</v>
      </c>
      <c r="F292" s="153"/>
      <c r="G292" s="153" t="s">
        <v>1335</v>
      </c>
      <c r="H292" s="153" t="s">
        <v>350</v>
      </c>
      <c r="I292" s="153" t="s">
        <v>2646</v>
      </c>
      <c r="J292" s="153" t="s">
        <v>351</v>
      </c>
      <c r="K292" s="153" t="s">
        <v>79</v>
      </c>
      <c r="L292" s="153" t="s">
        <v>678</v>
      </c>
      <c r="M292" s="153" t="s">
        <v>1335</v>
      </c>
      <c r="N292" s="153" t="s">
        <v>2787</v>
      </c>
      <c r="P292" s="153">
        <v>127</v>
      </c>
      <c r="R292" s="153"/>
      <c r="S292" s="153"/>
    </row>
    <row r="293" spans="1:19" s="58" customFormat="1" ht="18" customHeight="1">
      <c r="A293" s="153">
        <v>774</v>
      </c>
      <c r="B293" s="153" t="s">
        <v>80</v>
      </c>
      <c r="C293" s="153" t="s">
        <v>636</v>
      </c>
      <c r="D293" s="168">
        <v>0</v>
      </c>
      <c r="E293" s="153" t="s">
        <v>115</v>
      </c>
      <c r="F293" s="153"/>
      <c r="G293" s="153" t="s">
        <v>637</v>
      </c>
      <c r="H293" s="153" t="s">
        <v>1445</v>
      </c>
      <c r="I293" s="153" t="s">
        <v>2634</v>
      </c>
      <c r="J293" s="153" t="s">
        <v>359</v>
      </c>
      <c r="K293" s="153" t="s">
        <v>79</v>
      </c>
      <c r="L293" s="153" t="s">
        <v>80</v>
      </c>
      <c r="M293" s="153" t="s">
        <v>636</v>
      </c>
      <c r="N293" s="153" t="s">
        <v>2788</v>
      </c>
      <c r="P293" s="153">
        <v>132</v>
      </c>
      <c r="R293" s="153"/>
      <c r="S293" s="153"/>
    </row>
    <row r="294" spans="1:19" s="58" customFormat="1" ht="18" customHeight="1">
      <c r="A294" s="153">
        <v>775</v>
      </c>
      <c r="B294" s="153" t="s">
        <v>80</v>
      </c>
      <c r="C294" s="153" t="s">
        <v>638</v>
      </c>
      <c r="D294" s="168">
        <v>0</v>
      </c>
      <c r="E294" s="153" t="s">
        <v>115</v>
      </c>
      <c r="F294" s="153"/>
      <c r="G294" s="153" t="s">
        <v>639</v>
      </c>
      <c r="H294" s="153" t="s">
        <v>1445</v>
      </c>
      <c r="I294" s="153" t="s">
        <v>2646</v>
      </c>
      <c r="J294" s="153" t="s">
        <v>351</v>
      </c>
      <c r="K294" s="153" t="s">
        <v>79</v>
      </c>
      <c r="L294" s="153" t="s">
        <v>80</v>
      </c>
      <c r="M294" s="153" t="s">
        <v>638</v>
      </c>
      <c r="N294" s="153" t="s">
        <v>2788</v>
      </c>
      <c r="P294" s="153">
        <v>133</v>
      </c>
      <c r="R294" s="153"/>
      <c r="S294" s="153"/>
    </row>
    <row r="295" spans="1:19" s="58" customFormat="1" ht="18" customHeight="1">
      <c r="A295" s="153">
        <v>776</v>
      </c>
      <c r="B295" s="153" t="s">
        <v>80</v>
      </c>
      <c r="C295" s="153" t="s">
        <v>640</v>
      </c>
      <c r="D295" s="168">
        <v>0</v>
      </c>
      <c r="E295" s="153" t="s">
        <v>115</v>
      </c>
      <c r="F295" s="153"/>
      <c r="G295" s="153" t="s">
        <v>641</v>
      </c>
      <c r="H295" s="153" t="s">
        <v>1445</v>
      </c>
      <c r="I295" s="153" t="s">
        <v>2646</v>
      </c>
      <c r="J295" s="153" t="s">
        <v>351</v>
      </c>
      <c r="K295" s="153" t="s">
        <v>79</v>
      </c>
      <c r="L295" s="153" t="s">
        <v>80</v>
      </c>
      <c r="M295" s="153" t="s">
        <v>640</v>
      </c>
      <c r="N295" s="153" t="s">
        <v>2788</v>
      </c>
      <c r="P295" s="153">
        <v>134</v>
      </c>
      <c r="R295" s="153"/>
      <c r="S295" s="153"/>
    </row>
    <row r="296" spans="1:19" s="58" customFormat="1" ht="18" customHeight="1">
      <c r="A296" s="153">
        <v>777</v>
      </c>
      <c r="B296" s="153" t="s">
        <v>80</v>
      </c>
      <c r="C296" s="153" t="s">
        <v>681</v>
      </c>
      <c r="D296" s="168">
        <v>0</v>
      </c>
      <c r="E296" s="153" t="s">
        <v>115</v>
      </c>
      <c r="F296" s="153"/>
      <c r="G296" s="153" t="s">
        <v>682</v>
      </c>
      <c r="H296" s="153" t="s">
        <v>1445</v>
      </c>
      <c r="I296" s="153" t="s">
        <v>2646</v>
      </c>
      <c r="J296" s="153" t="s">
        <v>351</v>
      </c>
      <c r="K296" s="153" t="s">
        <v>79</v>
      </c>
      <c r="L296" s="153" t="s">
        <v>80</v>
      </c>
      <c r="M296" s="153" t="s">
        <v>681</v>
      </c>
      <c r="N296" s="153" t="s">
        <v>2788</v>
      </c>
      <c r="P296" s="153">
        <v>135</v>
      </c>
      <c r="R296" s="153"/>
      <c r="S296" s="153"/>
    </row>
    <row r="297" spans="1:19" s="58" customFormat="1" ht="18" customHeight="1">
      <c r="A297" s="153">
        <v>778</v>
      </c>
      <c r="B297" s="153" t="s">
        <v>80</v>
      </c>
      <c r="C297" s="153" t="s">
        <v>683</v>
      </c>
      <c r="D297" s="168">
        <v>0</v>
      </c>
      <c r="E297" s="153" t="s">
        <v>115</v>
      </c>
      <c r="F297" s="153"/>
      <c r="G297" s="153" t="s">
        <v>643</v>
      </c>
      <c r="H297" s="153" t="s">
        <v>1445</v>
      </c>
      <c r="I297" s="153" t="s">
        <v>2646</v>
      </c>
      <c r="J297" s="153" t="s">
        <v>351</v>
      </c>
      <c r="K297" s="153" t="s">
        <v>79</v>
      </c>
      <c r="L297" s="153" t="s">
        <v>80</v>
      </c>
      <c r="M297" s="153" t="s">
        <v>683</v>
      </c>
      <c r="N297" s="153" t="s">
        <v>2788</v>
      </c>
      <c r="P297" s="153">
        <v>136</v>
      </c>
      <c r="R297" s="153"/>
      <c r="S297" s="153"/>
    </row>
    <row r="298" spans="1:19" s="58" customFormat="1" ht="18" customHeight="1">
      <c r="A298" s="153">
        <v>779</v>
      </c>
      <c r="B298" s="153" t="s">
        <v>80</v>
      </c>
      <c r="C298" s="153" t="s">
        <v>684</v>
      </c>
      <c r="D298" s="168">
        <v>0</v>
      </c>
      <c r="E298" s="153" t="s">
        <v>115</v>
      </c>
      <c r="F298" s="153"/>
      <c r="G298" s="153" t="s">
        <v>685</v>
      </c>
      <c r="H298" s="153" t="s">
        <v>1445</v>
      </c>
      <c r="I298" s="153" t="s">
        <v>2634</v>
      </c>
      <c r="J298" s="153" t="s">
        <v>359</v>
      </c>
      <c r="K298" s="153" t="s">
        <v>79</v>
      </c>
      <c r="L298" s="153" t="s">
        <v>80</v>
      </c>
      <c r="M298" s="153" t="s">
        <v>684</v>
      </c>
      <c r="N298" s="153" t="s">
        <v>2788</v>
      </c>
      <c r="P298" s="153">
        <v>137</v>
      </c>
      <c r="R298" s="153"/>
      <c r="S298" s="153"/>
    </row>
    <row r="299" spans="1:19" s="58" customFormat="1" ht="18" customHeight="1">
      <c r="A299" s="153">
        <v>780</v>
      </c>
      <c r="B299" s="153" t="s">
        <v>80</v>
      </c>
      <c r="C299" s="153" t="s">
        <v>686</v>
      </c>
      <c r="D299" s="168">
        <v>0</v>
      </c>
      <c r="E299" s="153" t="s">
        <v>115</v>
      </c>
      <c r="F299" s="153"/>
      <c r="G299" s="153" t="s">
        <v>687</v>
      </c>
      <c r="H299" s="153" t="s">
        <v>1445</v>
      </c>
      <c r="I299" s="153" t="s">
        <v>2646</v>
      </c>
      <c r="J299" s="153" t="s">
        <v>351</v>
      </c>
      <c r="K299" s="153" t="s">
        <v>79</v>
      </c>
      <c r="L299" s="153" t="s">
        <v>80</v>
      </c>
      <c r="M299" s="153" t="s">
        <v>686</v>
      </c>
      <c r="N299" s="153" t="s">
        <v>2788</v>
      </c>
      <c r="P299" s="153">
        <v>138</v>
      </c>
      <c r="R299" s="153"/>
      <c r="S299" s="153"/>
    </row>
    <row r="300" spans="1:19" s="58" customFormat="1" ht="18" customHeight="1">
      <c r="A300" s="153">
        <v>781</v>
      </c>
      <c r="B300" s="153" t="s">
        <v>80</v>
      </c>
      <c r="C300" s="153" t="s">
        <v>688</v>
      </c>
      <c r="D300" s="168">
        <v>0</v>
      </c>
      <c r="E300" s="153" t="s">
        <v>115</v>
      </c>
      <c r="F300" s="153"/>
      <c r="G300" s="153" t="s">
        <v>649</v>
      </c>
      <c r="H300" s="153" t="s">
        <v>1445</v>
      </c>
      <c r="I300" s="153" t="s">
        <v>2634</v>
      </c>
      <c r="J300" s="153" t="s">
        <v>359</v>
      </c>
      <c r="K300" s="153" t="s">
        <v>79</v>
      </c>
      <c r="L300" s="153" t="s">
        <v>80</v>
      </c>
      <c r="M300" s="153" t="s">
        <v>688</v>
      </c>
      <c r="N300" s="153" t="s">
        <v>2788</v>
      </c>
      <c r="P300" s="153">
        <v>139</v>
      </c>
      <c r="R300" s="153"/>
      <c r="S300" s="153"/>
    </row>
    <row r="301" spans="1:19" s="58" customFormat="1" ht="18" customHeight="1">
      <c r="A301" s="153">
        <v>655</v>
      </c>
      <c r="B301" s="153" t="s">
        <v>475</v>
      </c>
      <c r="C301" s="153" t="s">
        <v>636</v>
      </c>
      <c r="D301" s="168">
        <v>1</v>
      </c>
      <c r="E301" s="153" t="s">
        <v>2082</v>
      </c>
      <c r="F301" s="153"/>
      <c r="G301" s="153" t="s">
        <v>637</v>
      </c>
      <c r="H301" s="153" t="s">
        <v>1407</v>
      </c>
      <c r="I301" s="153" t="s">
        <v>2646</v>
      </c>
      <c r="J301" s="153" t="s">
        <v>351</v>
      </c>
      <c r="K301" s="153" t="s">
        <v>84</v>
      </c>
      <c r="L301" s="153" t="s">
        <v>2291</v>
      </c>
      <c r="M301" s="153" t="s">
        <v>636</v>
      </c>
      <c r="N301" s="153"/>
      <c r="O301" s="58" t="s">
        <v>2789</v>
      </c>
      <c r="P301" s="153"/>
      <c r="Q301" s="58">
        <v>485</v>
      </c>
      <c r="R301" s="153"/>
      <c r="S301" s="153"/>
    </row>
    <row r="302" spans="1:19" s="58" customFormat="1" ht="18" customHeight="1">
      <c r="A302" s="153">
        <v>656</v>
      </c>
      <c r="B302" s="153" t="s">
        <v>475</v>
      </c>
      <c r="C302" s="153" t="s">
        <v>638</v>
      </c>
      <c r="D302" s="168">
        <v>2</v>
      </c>
      <c r="E302" s="153" t="s">
        <v>2082</v>
      </c>
      <c r="F302" s="153"/>
      <c r="G302" s="153" t="s">
        <v>639</v>
      </c>
      <c r="H302" s="153" t="s">
        <v>1407</v>
      </c>
      <c r="I302" s="153" t="s">
        <v>2646</v>
      </c>
      <c r="J302" s="153" t="s">
        <v>351</v>
      </c>
      <c r="K302" s="153" t="s">
        <v>84</v>
      </c>
      <c r="L302" s="153" t="s">
        <v>2291</v>
      </c>
      <c r="M302" s="153" t="s">
        <v>638</v>
      </c>
      <c r="N302" s="153"/>
      <c r="O302" s="58" t="s">
        <v>2789</v>
      </c>
      <c r="P302" s="153"/>
      <c r="Q302" s="58">
        <v>486</v>
      </c>
      <c r="R302" s="153"/>
      <c r="S302" s="153"/>
    </row>
    <row r="303" spans="1:19" s="58" customFormat="1" ht="18" customHeight="1">
      <c r="A303" s="153">
        <v>657</v>
      </c>
      <c r="B303" s="153" t="s">
        <v>475</v>
      </c>
      <c r="C303" s="153" t="s">
        <v>640</v>
      </c>
      <c r="D303" s="168">
        <v>3</v>
      </c>
      <c r="E303" s="153" t="s">
        <v>2082</v>
      </c>
      <c r="F303" s="153"/>
      <c r="G303" s="153" t="s">
        <v>641</v>
      </c>
      <c r="H303" s="153" t="s">
        <v>1407</v>
      </c>
      <c r="I303" s="153" t="s">
        <v>2646</v>
      </c>
      <c r="J303" s="153" t="s">
        <v>351</v>
      </c>
      <c r="K303" s="153" t="s">
        <v>84</v>
      </c>
      <c r="L303" s="153" t="s">
        <v>2291</v>
      </c>
      <c r="M303" s="153" t="s">
        <v>640</v>
      </c>
      <c r="N303" s="153"/>
      <c r="O303" s="58" t="s">
        <v>2789</v>
      </c>
      <c r="P303" s="153"/>
      <c r="Q303" s="58">
        <v>487</v>
      </c>
      <c r="R303" s="153"/>
      <c r="S303" s="153"/>
    </row>
    <row r="304" spans="1:19" s="58" customFormat="1" ht="18" customHeight="1">
      <c r="A304" s="153">
        <v>658</v>
      </c>
      <c r="B304" s="153" t="s">
        <v>475</v>
      </c>
      <c r="C304" s="153" t="s">
        <v>642</v>
      </c>
      <c r="D304" s="168">
        <v>4</v>
      </c>
      <c r="E304" s="153" t="s">
        <v>2082</v>
      </c>
      <c r="F304" s="153"/>
      <c r="G304" s="153" t="s">
        <v>643</v>
      </c>
      <c r="H304" s="153" t="s">
        <v>1407</v>
      </c>
      <c r="I304" s="153" t="s">
        <v>2646</v>
      </c>
      <c r="J304" s="153" t="s">
        <v>351</v>
      </c>
      <c r="K304" s="153" t="s">
        <v>84</v>
      </c>
      <c r="L304" s="153" t="s">
        <v>2291</v>
      </c>
      <c r="M304" s="153" t="s">
        <v>642</v>
      </c>
      <c r="N304" s="153"/>
      <c r="O304" s="58" t="s">
        <v>2789</v>
      </c>
      <c r="P304" s="153"/>
      <c r="Q304" s="58">
        <v>488</v>
      </c>
      <c r="R304" s="153"/>
      <c r="S304" s="153"/>
    </row>
    <row r="305" spans="1:19" s="58" customFormat="1" ht="18" customHeight="1">
      <c r="A305" s="153">
        <v>659</v>
      </c>
      <c r="B305" s="153" t="s">
        <v>475</v>
      </c>
      <c r="C305" s="153" t="s">
        <v>644</v>
      </c>
      <c r="D305" s="168">
        <v>5</v>
      </c>
      <c r="E305" s="153" t="s">
        <v>2082</v>
      </c>
      <c r="F305" s="153"/>
      <c r="G305" s="153" t="s">
        <v>645</v>
      </c>
      <c r="H305" s="153" t="s">
        <v>1407</v>
      </c>
      <c r="I305" s="153" t="s">
        <v>2646</v>
      </c>
      <c r="J305" s="153" t="s">
        <v>351</v>
      </c>
      <c r="K305" s="153" t="s">
        <v>84</v>
      </c>
      <c r="L305" s="153" t="s">
        <v>2291</v>
      </c>
      <c r="M305" s="153" t="s">
        <v>644</v>
      </c>
      <c r="N305" s="153"/>
      <c r="O305" s="58" t="s">
        <v>2789</v>
      </c>
      <c r="P305" s="153"/>
      <c r="Q305" s="58">
        <v>489</v>
      </c>
      <c r="R305" s="153"/>
      <c r="S305" s="153"/>
    </row>
    <row r="306" spans="1:19" s="58" customFormat="1" ht="18" customHeight="1">
      <c r="A306" s="153">
        <v>660</v>
      </c>
      <c r="B306" s="153" t="s">
        <v>475</v>
      </c>
      <c r="C306" s="153" t="s">
        <v>646</v>
      </c>
      <c r="D306" s="168">
        <v>6</v>
      </c>
      <c r="E306" s="153" t="s">
        <v>2082</v>
      </c>
      <c r="F306" s="153"/>
      <c r="G306" s="153" t="s">
        <v>647</v>
      </c>
      <c r="H306" s="153" t="s">
        <v>1407</v>
      </c>
      <c r="I306" s="153" t="s">
        <v>2646</v>
      </c>
      <c r="J306" s="153" t="s">
        <v>351</v>
      </c>
      <c r="K306" s="153" t="s">
        <v>84</v>
      </c>
      <c r="L306" s="153" t="s">
        <v>2291</v>
      </c>
      <c r="M306" s="153" t="s">
        <v>646</v>
      </c>
      <c r="N306" s="153"/>
      <c r="O306" s="58" t="s">
        <v>2789</v>
      </c>
      <c r="P306" s="153"/>
      <c r="Q306" s="58">
        <v>490</v>
      </c>
      <c r="R306" s="153"/>
      <c r="S306" s="153"/>
    </row>
    <row r="307" spans="1:19" s="58" customFormat="1" ht="18" customHeight="1">
      <c r="A307" s="153">
        <v>661</v>
      </c>
      <c r="B307" s="153" t="s">
        <v>475</v>
      </c>
      <c r="C307" s="153" t="s">
        <v>648</v>
      </c>
      <c r="D307" s="168">
        <v>7</v>
      </c>
      <c r="E307" s="153" t="s">
        <v>2082</v>
      </c>
      <c r="F307" s="153"/>
      <c r="G307" s="153" t="s">
        <v>649</v>
      </c>
      <c r="H307" s="153" t="s">
        <v>1407</v>
      </c>
      <c r="I307" s="153" t="s">
        <v>2646</v>
      </c>
      <c r="J307" s="153" t="s">
        <v>351</v>
      </c>
      <c r="K307" s="153" t="s">
        <v>84</v>
      </c>
      <c r="L307" s="153" t="s">
        <v>2291</v>
      </c>
      <c r="M307" s="153" t="s">
        <v>648</v>
      </c>
      <c r="N307" s="153"/>
      <c r="O307" s="58" t="s">
        <v>2789</v>
      </c>
      <c r="P307" s="153"/>
      <c r="Q307" s="58">
        <v>491</v>
      </c>
      <c r="R307" s="153"/>
      <c r="S307" s="153"/>
    </row>
    <row r="308" spans="1:19" s="58" customFormat="1" ht="18" customHeight="1">
      <c r="A308" s="153">
        <v>963</v>
      </c>
      <c r="B308" s="153" t="s">
        <v>2411</v>
      </c>
      <c r="C308" s="153" t="s">
        <v>692</v>
      </c>
      <c r="D308" s="168">
        <v>0</v>
      </c>
      <c r="E308" s="153" t="s">
        <v>113</v>
      </c>
      <c r="F308" s="153"/>
      <c r="G308" s="153" t="s">
        <v>692</v>
      </c>
      <c r="H308" s="153" t="s">
        <v>1408</v>
      </c>
      <c r="I308" s="153" t="s">
        <v>2645</v>
      </c>
      <c r="J308" s="153" t="s">
        <v>359</v>
      </c>
      <c r="K308" s="153" t="s">
        <v>353</v>
      </c>
      <c r="L308" s="153" t="s">
        <v>2411</v>
      </c>
      <c r="M308" s="153" t="s">
        <v>692</v>
      </c>
      <c r="N308" s="153" t="s">
        <v>2816</v>
      </c>
      <c r="O308" s="58" t="s">
        <v>2983</v>
      </c>
      <c r="P308" s="153">
        <v>144</v>
      </c>
      <c r="Q308" s="58">
        <v>342</v>
      </c>
      <c r="R308" s="153"/>
      <c r="S308" s="153"/>
    </row>
    <row r="309" spans="1:19" s="58" customFormat="1" ht="18" customHeight="1">
      <c r="A309" s="153">
        <v>964</v>
      </c>
      <c r="B309" s="153" t="s">
        <v>2411</v>
      </c>
      <c r="C309" s="153" t="s">
        <v>690</v>
      </c>
      <c r="D309" s="168">
        <v>1</v>
      </c>
      <c r="E309" s="153" t="s">
        <v>113</v>
      </c>
      <c r="F309" s="153"/>
      <c r="G309" s="153" t="s">
        <v>690</v>
      </c>
      <c r="H309" s="153" t="s">
        <v>1408</v>
      </c>
      <c r="I309" s="153" t="s">
        <v>2645</v>
      </c>
      <c r="J309" s="153" t="s">
        <v>359</v>
      </c>
      <c r="K309" s="153" t="s">
        <v>353</v>
      </c>
      <c r="L309" s="153" t="s">
        <v>2411</v>
      </c>
      <c r="M309" s="153" t="s">
        <v>690</v>
      </c>
      <c r="N309" s="153" t="s">
        <v>2816</v>
      </c>
      <c r="O309" s="58" t="s">
        <v>2983</v>
      </c>
      <c r="P309" s="153">
        <v>141</v>
      </c>
      <c r="Q309" s="58">
        <v>343</v>
      </c>
      <c r="R309" s="153"/>
      <c r="S309" s="153"/>
    </row>
    <row r="310" spans="1:19" s="58" customFormat="1" ht="18" customHeight="1">
      <c r="A310" s="153">
        <v>965</v>
      </c>
      <c r="B310" s="153" t="s">
        <v>2411</v>
      </c>
      <c r="C310" s="153" t="s">
        <v>691</v>
      </c>
      <c r="D310" s="168">
        <v>2</v>
      </c>
      <c r="E310" s="153" t="s">
        <v>113</v>
      </c>
      <c r="F310" s="153"/>
      <c r="G310" s="153" t="s">
        <v>691</v>
      </c>
      <c r="H310" s="153" t="s">
        <v>1408</v>
      </c>
      <c r="I310" s="153" t="s">
        <v>2645</v>
      </c>
      <c r="J310" s="153" t="s">
        <v>359</v>
      </c>
      <c r="K310" s="153" t="s">
        <v>353</v>
      </c>
      <c r="L310" s="153" t="s">
        <v>2411</v>
      </c>
      <c r="M310" s="153" t="s">
        <v>691</v>
      </c>
      <c r="N310" s="153" t="s">
        <v>2816</v>
      </c>
      <c r="O310" s="58" t="s">
        <v>2983</v>
      </c>
      <c r="P310" s="153">
        <v>142</v>
      </c>
      <c r="Q310" s="58">
        <v>344</v>
      </c>
      <c r="R310" s="153"/>
      <c r="S310" s="153"/>
    </row>
    <row r="311" spans="1:19" s="58" customFormat="1" ht="18" customHeight="1">
      <c r="A311" s="153">
        <v>966</v>
      </c>
      <c r="B311" s="153" t="s">
        <v>2411</v>
      </c>
      <c r="C311" s="153" t="s">
        <v>689</v>
      </c>
      <c r="D311" s="168">
        <v>3</v>
      </c>
      <c r="E311" s="153" t="s">
        <v>113</v>
      </c>
      <c r="F311" s="153"/>
      <c r="G311" s="153" t="s">
        <v>689</v>
      </c>
      <c r="H311" s="153" t="s">
        <v>1408</v>
      </c>
      <c r="I311" s="153" t="s">
        <v>2645</v>
      </c>
      <c r="J311" s="153" t="s">
        <v>359</v>
      </c>
      <c r="K311" s="153" t="s">
        <v>353</v>
      </c>
      <c r="L311" s="153" t="s">
        <v>2411</v>
      </c>
      <c r="M311" s="153" t="s">
        <v>689</v>
      </c>
      <c r="N311" s="153" t="s">
        <v>2816</v>
      </c>
      <c r="O311" s="58" t="s">
        <v>2983</v>
      </c>
      <c r="P311" s="153">
        <v>140</v>
      </c>
      <c r="Q311" s="58">
        <v>345</v>
      </c>
      <c r="R311" s="153"/>
      <c r="S311" s="153"/>
    </row>
    <row r="312" spans="1:19" s="58" customFormat="1" ht="18" customHeight="1">
      <c r="A312" s="153">
        <v>967</v>
      </c>
      <c r="B312" s="153" t="s">
        <v>2411</v>
      </c>
      <c r="C312" s="153" t="s">
        <v>206</v>
      </c>
      <c r="D312" s="168">
        <v>4</v>
      </c>
      <c r="E312" s="153" t="s">
        <v>113</v>
      </c>
      <c r="F312" s="153"/>
      <c r="G312" s="153" t="s">
        <v>206</v>
      </c>
      <c r="H312" s="153" t="s">
        <v>1408</v>
      </c>
      <c r="I312" s="153" t="s">
        <v>2645</v>
      </c>
      <c r="J312" s="153" t="s">
        <v>359</v>
      </c>
      <c r="K312" s="153" t="s">
        <v>353</v>
      </c>
      <c r="L312" s="153" t="s">
        <v>2411</v>
      </c>
      <c r="M312" s="153" t="s">
        <v>206</v>
      </c>
      <c r="N312" s="153" t="s">
        <v>2816</v>
      </c>
      <c r="O312" s="58" t="s">
        <v>2983</v>
      </c>
      <c r="P312" s="153">
        <v>143</v>
      </c>
      <c r="Q312" s="58">
        <v>346</v>
      </c>
      <c r="R312" s="153"/>
      <c r="S312" s="153"/>
    </row>
    <row r="313" spans="1:19" s="58" customFormat="1" ht="18" customHeight="1">
      <c r="A313" s="153">
        <v>968</v>
      </c>
      <c r="B313" s="153" t="s">
        <v>2411</v>
      </c>
      <c r="C313" s="153" t="s">
        <v>693</v>
      </c>
      <c r="D313" s="168">
        <v>5</v>
      </c>
      <c r="E313" s="153" t="s">
        <v>113</v>
      </c>
      <c r="F313" s="153"/>
      <c r="G313" s="153" t="s">
        <v>693</v>
      </c>
      <c r="H313" s="153" t="s">
        <v>1408</v>
      </c>
      <c r="I313" s="153" t="s">
        <v>2645</v>
      </c>
      <c r="J313" s="153" t="s">
        <v>359</v>
      </c>
      <c r="K313" s="153" t="s">
        <v>353</v>
      </c>
      <c r="L313" s="153" t="s">
        <v>2411</v>
      </c>
      <c r="M313" s="153" t="s">
        <v>693</v>
      </c>
      <c r="N313" s="153" t="s">
        <v>2816</v>
      </c>
      <c r="O313" s="58" t="s">
        <v>2983</v>
      </c>
      <c r="P313" s="153">
        <v>145</v>
      </c>
      <c r="Q313" s="58">
        <v>347</v>
      </c>
      <c r="R313" s="153"/>
      <c r="S313" s="153"/>
    </row>
    <row r="314" spans="1:19" s="58" customFormat="1" ht="18" customHeight="1">
      <c r="A314" s="153">
        <v>662</v>
      </c>
      <c r="B314" s="153" t="s">
        <v>474</v>
      </c>
      <c r="C314" s="153" t="s">
        <v>690</v>
      </c>
      <c r="D314" s="168">
        <v>1</v>
      </c>
      <c r="E314" s="153" t="s">
        <v>2083</v>
      </c>
      <c r="F314" s="153"/>
      <c r="G314" s="153" t="s">
        <v>196</v>
      </c>
      <c r="H314" s="153" t="s">
        <v>1408</v>
      </c>
      <c r="I314" s="153" t="s">
        <v>2646</v>
      </c>
      <c r="J314" s="153" t="s">
        <v>351</v>
      </c>
      <c r="K314" s="153" t="s">
        <v>84</v>
      </c>
      <c r="L314" s="153" t="s">
        <v>2292</v>
      </c>
      <c r="M314" s="153" t="s">
        <v>690</v>
      </c>
      <c r="N314" s="153"/>
      <c r="O314" s="58" t="s">
        <v>2921</v>
      </c>
      <c r="P314" s="153"/>
      <c r="Q314" s="58">
        <v>492</v>
      </c>
      <c r="R314" s="153"/>
      <c r="S314" s="153"/>
    </row>
    <row r="315" spans="1:19" s="58" customFormat="1" ht="18" customHeight="1">
      <c r="A315" s="153">
        <v>663</v>
      </c>
      <c r="B315" s="153" t="s">
        <v>474</v>
      </c>
      <c r="C315" s="153" t="s">
        <v>689</v>
      </c>
      <c r="D315" s="168">
        <v>2</v>
      </c>
      <c r="E315" s="153" t="s">
        <v>2083</v>
      </c>
      <c r="F315" s="153"/>
      <c r="G315" s="153" t="s">
        <v>650</v>
      </c>
      <c r="H315" s="153" t="s">
        <v>1408</v>
      </c>
      <c r="I315" s="153" t="s">
        <v>2646</v>
      </c>
      <c r="J315" s="153" t="s">
        <v>351</v>
      </c>
      <c r="K315" s="153" t="s">
        <v>84</v>
      </c>
      <c r="L315" s="153" t="s">
        <v>2292</v>
      </c>
      <c r="M315" s="153" t="s">
        <v>689</v>
      </c>
      <c r="N315" s="153"/>
      <c r="O315" s="58" t="s">
        <v>2921</v>
      </c>
      <c r="P315" s="153"/>
      <c r="Q315" s="58">
        <v>493</v>
      </c>
      <c r="R315" s="153"/>
      <c r="S315" s="153"/>
    </row>
    <row r="316" spans="1:19" s="58" customFormat="1" ht="18" customHeight="1">
      <c r="A316" s="153">
        <v>664</v>
      </c>
      <c r="B316" s="153" t="s">
        <v>474</v>
      </c>
      <c r="C316" s="153" t="s">
        <v>206</v>
      </c>
      <c r="D316" s="168">
        <v>3</v>
      </c>
      <c r="E316" s="153" t="s">
        <v>2083</v>
      </c>
      <c r="F316" s="153"/>
      <c r="G316" s="153" t="s">
        <v>362</v>
      </c>
      <c r="H316" s="153" t="s">
        <v>1408</v>
      </c>
      <c r="I316" s="153" t="s">
        <v>2646</v>
      </c>
      <c r="J316" s="153" t="s">
        <v>351</v>
      </c>
      <c r="K316" s="153" t="s">
        <v>84</v>
      </c>
      <c r="L316" s="153" t="s">
        <v>2292</v>
      </c>
      <c r="M316" s="153" t="s">
        <v>206</v>
      </c>
      <c r="N316" s="153"/>
      <c r="O316" s="58" t="s">
        <v>2921</v>
      </c>
      <c r="P316" s="153"/>
      <c r="Q316" s="58">
        <v>494</v>
      </c>
      <c r="R316" s="153"/>
      <c r="S316" s="153"/>
    </row>
    <row r="317" spans="1:19" s="58" customFormat="1" ht="18" customHeight="1">
      <c r="A317" s="153">
        <v>665</v>
      </c>
      <c r="B317" s="153" t="s">
        <v>474</v>
      </c>
      <c r="C317" s="153" t="s">
        <v>693</v>
      </c>
      <c r="D317" s="168">
        <v>3</v>
      </c>
      <c r="E317" s="153" t="s">
        <v>2083</v>
      </c>
      <c r="F317" s="153"/>
      <c r="G317" s="153" t="s">
        <v>360</v>
      </c>
      <c r="H317" s="153" t="s">
        <v>1408</v>
      </c>
      <c r="I317" s="153" t="s">
        <v>2646</v>
      </c>
      <c r="J317" s="153" t="s">
        <v>351</v>
      </c>
      <c r="K317" s="153" t="s">
        <v>84</v>
      </c>
      <c r="L317" s="153" t="s">
        <v>2292</v>
      </c>
      <c r="M317" s="153" t="s">
        <v>693</v>
      </c>
      <c r="N317" s="153"/>
      <c r="O317" s="58" t="s">
        <v>2921</v>
      </c>
      <c r="P317" s="153"/>
      <c r="Q317" s="58">
        <v>495</v>
      </c>
      <c r="R317" s="153"/>
      <c r="S317" s="153"/>
    </row>
    <row r="318" spans="1:19" s="58" customFormat="1" ht="18" customHeight="1">
      <c r="A318" s="153">
        <v>944</v>
      </c>
      <c r="B318" s="153" t="s">
        <v>715</v>
      </c>
      <c r="C318" s="153" t="s">
        <v>718</v>
      </c>
      <c r="D318" s="168"/>
      <c r="E318" s="153" t="s">
        <v>112</v>
      </c>
      <c r="F318" s="153"/>
      <c r="G318" s="153" t="s">
        <v>718</v>
      </c>
      <c r="H318" s="153" t="s">
        <v>1474</v>
      </c>
      <c r="I318" s="153" t="s">
        <v>2642</v>
      </c>
      <c r="J318" s="153" t="s">
        <v>359</v>
      </c>
      <c r="K318" s="153" t="s">
        <v>353</v>
      </c>
      <c r="L318" s="153" t="s">
        <v>715</v>
      </c>
      <c r="M318" s="153" t="s">
        <v>718</v>
      </c>
      <c r="N318" s="153" t="s">
        <v>2790</v>
      </c>
      <c r="O318" s="58" t="s">
        <v>2937</v>
      </c>
      <c r="P318" s="153">
        <v>591</v>
      </c>
      <c r="Q318" s="58">
        <v>597</v>
      </c>
      <c r="R318" s="153"/>
      <c r="S318" s="153"/>
    </row>
    <row r="319" spans="1:19" s="58" customFormat="1" ht="18" customHeight="1">
      <c r="A319" s="153">
        <v>945</v>
      </c>
      <c r="B319" s="153" t="s">
        <v>715</v>
      </c>
      <c r="C319" s="153" t="s">
        <v>717</v>
      </c>
      <c r="D319" s="168">
        <v>0</v>
      </c>
      <c r="E319" s="153" t="s">
        <v>112</v>
      </c>
      <c r="F319" s="153"/>
      <c r="G319" s="153" t="s">
        <v>717</v>
      </c>
      <c r="H319" s="153" t="s">
        <v>1474</v>
      </c>
      <c r="I319" s="153" t="s">
        <v>2642</v>
      </c>
      <c r="J319" s="153" t="s">
        <v>359</v>
      </c>
      <c r="K319" s="153" t="s">
        <v>353</v>
      </c>
      <c r="L319" s="153" t="s">
        <v>715</v>
      </c>
      <c r="M319" s="153" t="s">
        <v>717</v>
      </c>
      <c r="N319" s="153" t="s">
        <v>2790</v>
      </c>
      <c r="O319" s="58" t="s">
        <v>2937</v>
      </c>
      <c r="P319" s="153">
        <v>588</v>
      </c>
      <c r="Q319" s="58">
        <v>594</v>
      </c>
      <c r="R319" s="153"/>
      <c r="S319" s="153"/>
    </row>
    <row r="320" spans="1:19" s="58" customFormat="1" ht="18" customHeight="1">
      <c r="A320" s="153">
        <v>946</v>
      </c>
      <c r="B320" s="153" t="s">
        <v>715</v>
      </c>
      <c r="C320" s="153" t="s">
        <v>716</v>
      </c>
      <c r="D320" s="168">
        <v>0</v>
      </c>
      <c r="E320" s="153" t="s">
        <v>112</v>
      </c>
      <c r="F320" s="153"/>
      <c r="G320" s="153" t="s">
        <v>716</v>
      </c>
      <c r="H320" s="153" t="s">
        <v>1474</v>
      </c>
      <c r="I320" s="153" t="s">
        <v>2642</v>
      </c>
      <c r="J320" s="153" t="s">
        <v>359</v>
      </c>
      <c r="K320" s="153" t="s">
        <v>353</v>
      </c>
      <c r="L320" s="153" t="s">
        <v>715</v>
      </c>
      <c r="M320" s="153" t="s">
        <v>716</v>
      </c>
      <c r="N320" s="153" t="s">
        <v>2790</v>
      </c>
      <c r="O320" s="58" t="s">
        <v>2937</v>
      </c>
      <c r="P320" s="153">
        <v>589</v>
      </c>
      <c r="Q320" s="58">
        <v>595</v>
      </c>
      <c r="R320" s="153"/>
      <c r="S320" s="153"/>
    </row>
    <row r="321" spans="1:19" s="58" customFormat="1" ht="18" customHeight="1">
      <c r="A321" s="153">
        <v>947</v>
      </c>
      <c r="B321" s="153" t="s">
        <v>715</v>
      </c>
      <c r="C321" s="153" t="s">
        <v>649</v>
      </c>
      <c r="D321" s="168"/>
      <c r="E321" s="153" t="s">
        <v>112</v>
      </c>
      <c r="F321" s="153"/>
      <c r="G321" s="153" t="s">
        <v>649</v>
      </c>
      <c r="H321" s="153" t="s">
        <v>1474</v>
      </c>
      <c r="I321" s="153" t="s">
        <v>2642</v>
      </c>
      <c r="J321" s="153" t="s">
        <v>359</v>
      </c>
      <c r="K321" s="153" t="s">
        <v>353</v>
      </c>
      <c r="L321" s="153" t="s">
        <v>715</v>
      </c>
      <c r="M321" s="153" t="s">
        <v>649</v>
      </c>
      <c r="N321" s="153" t="s">
        <v>2790</v>
      </c>
      <c r="O321" s="58" t="s">
        <v>2937</v>
      </c>
      <c r="P321" s="153">
        <v>587</v>
      </c>
      <c r="Q321" s="58">
        <v>593</v>
      </c>
      <c r="R321" s="153"/>
      <c r="S321" s="153"/>
    </row>
    <row r="322" spans="1:19" s="58" customFormat="1" ht="18" customHeight="1">
      <c r="A322" s="153">
        <v>948</v>
      </c>
      <c r="B322" s="153" t="s">
        <v>715</v>
      </c>
      <c r="C322" s="153" t="s">
        <v>650</v>
      </c>
      <c r="D322" s="168"/>
      <c r="E322" s="153" t="s">
        <v>112</v>
      </c>
      <c r="F322" s="153"/>
      <c r="G322" s="153" t="s">
        <v>650</v>
      </c>
      <c r="H322" s="153" t="s">
        <v>1474</v>
      </c>
      <c r="I322" s="153" t="s">
        <v>2642</v>
      </c>
      <c r="J322" s="153" t="s">
        <v>359</v>
      </c>
      <c r="K322" s="153" t="s">
        <v>353</v>
      </c>
      <c r="L322" s="153" t="s">
        <v>715</v>
      </c>
      <c r="M322" s="153" t="s">
        <v>650</v>
      </c>
      <c r="N322" s="153" t="s">
        <v>2790</v>
      </c>
      <c r="O322" s="58" t="s">
        <v>2937</v>
      </c>
      <c r="P322" s="153">
        <v>590</v>
      </c>
      <c r="Q322" s="58">
        <v>596</v>
      </c>
      <c r="R322" s="153"/>
      <c r="S322" s="153"/>
    </row>
    <row r="323" spans="1:19" s="58" customFormat="1" ht="18" customHeight="1">
      <c r="A323" s="153">
        <v>949</v>
      </c>
      <c r="B323" s="153" t="s">
        <v>715</v>
      </c>
      <c r="C323" s="153" t="s">
        <v>207</v>
      </c>
      <c r="D323" s="168"/>
      <c r="E323" s="153" t="s">
        <v>112</v>
      </c>
      <c r="F323" s="153"/>
      <c r="G323" s="153" t="s">
        <v>207</v>
      </c>
      <c r="H323" s="153" t="s">
        <v>1474</v>
      </c>
      <c r="I323" s="153" t="s">
        <v>2642</v>
      </c>
      <c r="J323" s="153" t="s">
        <v>359</v>
      </c>
      <c r="K323" s="153" t="s">
        <v>353</v>
      </c>
      <c r="L323" s="153" t="s">
        <v>715</v>
      </c>
      <c r="M323" s="153" t="s">
        <v>650</v>
      </c>
      <c r="N323" s="153" t="s">
        <v>2790</v>
      </c>
      <c r="O323" s="58" t="s">
        <v>2937</v>
      </c>
      <c r="P323" s="153"/>
      <c r="R323" s="153"/>
      <c r="S323" s="153"/>
    </row>
    <row r="324" spans="1:19" s="58" customFormat="1" ht="18" customHeight="1">
      <c r="A324" s="153">
        <v>666</v>
      </c>
      <c r="B324" s="153" t="s">
        <v>473</v>
      </c>
      <c r="C324" s="153" t="s">
        <v>493</v>
      </c>
      <c r="D324" s="168">
        <v>1</v>
      </c>
      <c r="E324" s="153" t="s">
        <v>2084</v>
      </c>
      <c r="F324" s="153"/>
      <c r="G324" s="153" t="s">
        <v>493</v>
      </c>
      <c r="H324" s="153" t="s">
        <v>1409</v>
      </c>
      <c r="I324" s="153" t="s">
        <v>2646</v>
      </c>
      <c r="J324" s="153" t="s">
        <v>351</v>
      </c>
      <c r="K324" s="153" t="s">
        <v>84</v>
      </c>
      <c r="L324" s="153" t="s">
        <v>2293</v>
      </c>
      <c r="M324" s="153" t="s">
        <v>493</v>
      </c>
      <c r="N324" s="153"/>
      <c r="O324" s="58" t="s">
        <v>2791</v>
      </c>
      <c r="P324" s="153"/>
      <c r="Q324" s="58">
        <v>496</v>
      </c>
      <c r="R324" s="153"/>
      <c r="S324" s="153"/>
    </row>
    <row r="325" spans="1:19" s="58" customFormat="1" ht="18" customHeight="1">
      <c r="A325" s="153">
        <v>667</v>
      </c>
      <c r="B325" s="153" t="s">
        <v>473</v>
      </c>
      <c r="C325" s="153" t="s">
        <v>652</v>
      </c>
      <c r="D325" s="168">
        <v>2</v>
      </c>
      <c r="E325" s="153" t="s">
        <v>2084</v>
      </c>
      <c r="F325" s="153"/>
      <c r="G325" s="153" t="s">
        <v>652</v>
      </c>
      <c r="H325" s="153" t="s">
        <v>1409</v>
      </c>
      <c r="I325" s="153" t="s">
        <v>2646</v>
      </c>
      <c r="J325" s="153" t="s">
        <v>351</v>
      </c>
      <c r="K325" s="153" t="s">
        <v>84</v>
      </c>
      <c r="L325" s="153" t="s">
        <v>2293</v>
      </c>
      <c r="M325" s="153" t="s">
        <v>652</v>
      </c>
      <c r="N325" s="153"/>
      <c r="O325" s="58" t="s">
        <v>2791</v>
      </c>
      <c r="P325" s="153"/>
      <c r="Q325" s="58">
        <v>497</v>
      </c>
      <c r="R325" s="153"/>
      <c r="S325" s="153"/>
    </row>
    <row r="326" spans="1:19" s="58" customFormat="1" ht="18" customHeight="1">
      <c r="A326" s="153">
        <v>668</v>
      </c>
      <c r="B326" s="153" t="s">
        <v>473</v>
      </c>
      <c r="C326" s="153" t="s">
        <v>651</v>
      </c>
      <c r="D326" s="168">
        <v>3</v>
      </c>
      <c r="E326" s="153" t="s">
        <v>2084</v>
      </c>
      <c r="F326" s="153"/>
      <c r="G326" s="153" t="s">
        <v>651</v>
      </c>
      <c r="H326" s="153" t="s">
        <v>1409</v>
      </c>
      <c r="I326" s="153" t="s">
        <v>2646</v>
      </c>
      <c r="J326" s="153" t="s">
        <v>351</v>
      </c>
      <c r="K326" s="153" t="s">
        <v>84</v>
      </c>
      <c r="L326" s="153" t="s">
        <v>2293</v>
      </c>
      <c r="M326" s="153" t="s">
        <v>651</v>
      </c>
      <c r="N326" s="153"/>
      <c r="O326" s="58" t="s">
        <v>2791</v>
      </c>
      <c r="P326" s="153"/>
      <c r="Q326" s="58">
        <v>499</v>
      </c>
      <c r="R326" s="153"/>
      <c r="S326" s="153"/>
    </row>
    <row r="327" spans="1:19" s="58" customFormat="1" ht="18" customHeight="1">
      <c r="A327" s="153">
        <v>669</v>
      </c>
      <c r="B327" s="153" t="s">
        <v>473</v>
      </c>
      <c r="C327" s="153" t="s">
        <v>362</v>
      </c>
      <c r="D327" s="168">
        <v>3</v>
      </c>
      <c r="E327" s="153" t="s">
        <v>2084</v>
      </c>
      <c r="F327" s="153"/>
      <c r="G327" s="153" t="s">
        <v>362</v>
      </c>
      <c r="H327" s="153" t="s">
        <v>1409</v>
      </c>
      <c r="I327" s="153" t="s">
        <v>2646</v>
      </c>
      <c r="J327" s="153" t="s">
        <v>351</v>
      </c>
      <c r="K327" s="153" t="s">
        <v>84</v>
      </c>
      <c r="L327" s="153" t="s">
        <v>2293</v>
      </c>
      <c r="M327" s="153" t="s">
        <v>362</v>
      </c>
      <c r="N327" s="153"/>
      <c r="O327" s="58" t="s">
        <v>2791</v>
      </c>
      <c r="P327" s="153"/>
      <c r="Q327" s="58">
        <v>498</v>
      </c>
      <c r="R327" s="153"/>
      <c r="S327" s="153"/>
    </row>
    <row r="328" spans="1:19" s="58" customFormat="1" ht="18" customHeight="1">
      <c r="A328" s="153">
        <v>889</v>
      </c>
      <c r="B328" s="153" t="s">
        <v>2092</v>
      </c>
      <c r="C328" s="153" t="s">
        <v>2093</v>
      </c>
      <c r="D328" s="168">
        <v>1</v>
      </c>
      <c r="E328" s="153" t="s">
        <v>2094</v>
      </c>
      <c r="F328" s="153" t="s">
        <v>619</v>
      </c>
      <c r="G328" s="153" t="s">
        <v>2093</v>
      </c>
      <c r="H328" s="153" t="s">
        <v>2095</v>
      </c>
      <c r="I328" s="153"/>
      <c r="J328" s="153" t="s">
        <v>351</v>
      </c>
      <c r="K328" s="153" t="s">
        <v>84</v>
      </c>
      <c r="L328" s="153" t="s">
        <v>2092</v>
      </c>
      <c r="M328" s="153" t="s">
        <v>2093</v>
      </c>
      <c r="N328" s="153"/>
      <c r="O328" s="58" t="s">
        <v>2923</v>
      </c>
      <c r="P328" s="153"/>
      <c r="Q328" s="58">
        <v>569</v>
      </c>
      <c r="R328" s="153"/>
      <c r="S328" s="153"/>
    </row>
    <row r="329" spans="1:19" s="58" customFormat="1" ht="18" customHeight="1">
      <c r="A329" s="153">
        <v>890</v>
      </c>
      <c r="B329" s="153" t="s">
        <v>2092</v>
      </c>
      <c r="C329" s="153" t="s">
        <v>2096</v>
      </c>
      <c r="D329" s="168">
        <v>2</v>
      </c>
      <c r="E329" s="153" t="s">
        <v>2094</v>
      </c>
      <c r="F329" s="153" t="s">
        <v>619</v>
      </c>
      <c r="G329" s="153" t="s">
        <v>2096</v>
      </c>
      <c r="H329" s="153" t="s">
        <v>2095</v>
      </c>
      <c r="I329" s="153"/>
      <c r="J329" s="153" t="s">
        <v>351</v>
      </c>
      <c r="K329" s="153" t="s">
        <v>84</v>
      </c>
      <c r="L329" s="153" t="s">
        <v>2092</v>
      </c>
      <c r="M329" s="153" t="s">
        <v>2096</v>
      </c>
      <c r="N329" s="153"/>
      <c r="O329" s="58" t="s">
        <v>2923</v>
      </c>
      <c r="P329" s="153"/>
      <c r="Q329" s="58">
        <v>570</v>
      </c>
      <c r="R329" s="153"/>
      <c r="S329" s="153"/>
    </row>
    <row r="330" spans="1:19" s="58" customFormat="1" ht="18" customHeight="1">
      <c r="A330" s="153">
        <v>891</v>
      </c>
      <c r="B330" s="153" t="s">
        <v>2092</v>
      </c>
      <c r="C330" s="153" t="s">
        <v>205</v>
      </c>
      <c r="D330" s="168">
        <v>3</v>
      </c>
      <c r="E330" s="153" t="s">
        <v>2094</v>
      </c>
      <c r="F330" s="153" t="s">
        <v>619</v>
      </c>
      <c r="G330" s="153" t="s">
        <v>205</v>
      </c>
      <c r="H330" s="153" t="s">
        <v>2095</v>
      </c>
      <c r="I330" s="153"/>
      <c r="J330" s="153" t="s">
        <v>351</v>
      </c>
      <c r="K330" s="153" t="s">
        <v>84</v>
      </c>
      <c r="L330" s="153" t="s">
        <v>2092</v>
      </c>
      <c r="M330" s="153" t="s">
        <v>205</v>
      </c>
      <c r="N330" s="153"/>
      <c r="O330" s="58" t="s">
        <v>2923</v>
      </c>
      <c r="P330" s="153"/>
      <c r="Q330" s="58">
        <v>571</v>
      </c>
      <c r="R330" s="153"/>
      <c r="S330" s="153"/>
    </row>
    <row r="331" spans="1:19" s="58" customFormat="1" ht="18" customHeight="1">
      <c r="A331" s="153">
        <v>892</v>
      </c>
      <c r="B331" s="153" t="s">
        <v>2092</v>
      </c>
      <c r="C331" s="153" t="s">
        <v>554</v>
      </c>
      <c r="D331" s="168">
        <v>4</v>
      </c>
      <c r="E331" s="153" t="s">
        <v>2094</v>
      </c>
      <c r="F331" s="153" t="s">
        <v>619</v>
      </c>
      <c r="G331" s="153" t="s">
        <v>554</v>
      </c>
      <c r="H331" s="153" t="s">
        <v>2095</v>
      </c>
      <c r="I331" s="153"/>
      <c r="J331" s="153" t="s">
        <v>351</v>
      </c>
      <c r="K331" s="153" t="s">
        <v>84</v>
      </c>
      <c r="L331" s="153" t="s">
        <v>2092</v>
      </c>
      <c r="M331" s="153" t="s">
        <v>554</v>
      </c>
      <c r="N331" s="153"/>
      <c r="O331" s="58" t="s">
        <v>2923</v>
      </c>
      <c r="P331" s="153"/>
      <c r="Q331" s="58">
        <v>572</v>
      </c>
      <c r="R331" s="153"/>
      <c r="S331" s="153"/>
    </row>
    <row r="332" spans="1:19" s="58" customFormat="1" ht="18" customHeight="1">
      <c r="A332" s="153">
        <v>936</v>
      </c>
      <c r="B332" s="153" t="s">
        <v>2290</v>
      </c>
      <c r="C332" s="153" t="s">
        <v>2093</v>
      </c>
      <c r="D332" s="168">
        <v>1</v>
      </c>
      <c r="E332" s="153" t="s">
        <v>2267</v>
      </c>
      <c r="F332" s="153" t="s">
        <v>619</v>
      </c>
      <c r="G332" s="153" t="s">
        <v>2093</v>
      </c>
      <c r="H332" s="153" t="s">
        <v>2342</v>
      </c>
      <c r="I332" s="153"/>
      <c r="J332" s="153" t="s">
        <v>351</v>
      </c>
      <c r="K332" s="153" t="s">
        <v>84</v>
      </c>
      <c r="L332" s="153" t="s">
        <v>2290</v>
      </c>
      <c r="M332" s="153" t="s">
        <v>2093</v>
      </c>
      <c r="N332" s="153"/>
      <c r="O332" s="58" t="s">
        <v>2938</v>
      </c>
      <c r="P332" s="153"/>
      <c r="Q332" s="58">
        <v>614</v>
      </c>
      <c r="R332" s="153"/>
      <c r="S332" s="153"/>
    </row>
    <row r="333" spans="1:19" s="58" customFormat="1" ht="18" customHeight="1">
      <c r="A333" s="153">
        <v>937</v>
      </c>
      <c r="B333" s="153" t="s">
        <v>2290</v>
      </c>
      <c r="C333" s="153" t="s">
        <v>332</v>
      </c>
      <c r="D333" s="168">
        <v>2</v>
      </c>
      <c r="E333" s="153" t="s">
        <v>2267</v>
      </c>
      <c r="F333" s="153" t="s">
        <v>619</v>
      </c>
      <c r="G333" s="153" t="s">
        <v>332</v>
      </c>
      <c r="H333" s="153" t="s">
        <v>2342</v>
      </c>
      <c r="I333" s="153"/>
      <c r="J333" s="153" t="s">
        <v>351</v>
      </c>
      <c r="K333" s="153" t="s">
        <v>84</v>
      </c>
      <c r="L333" s="153" t="s">
        <v>2290</v>
      </c>
      <c r="M333" s="153" t="s">
        <v>332</v>
      </c>
      <c r="N333" s="153"/>
      <c r="O333" s="58" t="s">
        <v>2938</v>
      </c>
      <c r="P333" s="153"/>
      <c r="Q333" s="58">
        <v>615</v>
      </c>
      <c r="R333" s="153"/>
      <c r="S333" s="153"/>
    </row>
    <row r="334" spans="1:19" s="58" customFormat="1" ht="18" customHeight="1">
      <c r="A334" s="153">
        <v>938</v>
      </c>
      <c r="B334" s="153" t="s">
        <v>2290</v>
      </c>
      <c r="C334" s="153" t="s">
        <v>2343</v>
      </c>
      <c r="D334" s="168">
        <v>3</v>
      </c>
      <c r="E334" s="153" t="s">
        <v>2267</v>
      </c>
      <c r="F334" s="153" t="s">
        <v>619</v>
      </c>
      <c r="G334" s="153" t="s">
        <v>2343</v>
      </c>
      <c r="H334" s="153" t="s">
        <v>2342</v>
      </c>
      <c r="I334" s="153"/>
      <c r="J334" s="153" t="s">
        <v>351</v>
      </c>
      <c r="K334" s="153" t="s">
        <v>84</v>
      </c>
      <c r="L334" s="153" t="s">
        <v>2290</v>
      </c>
      <c r="M334" s="153" t="s">
        <v>2343</v>
      </c>
      <c r="N334" s="153"/>
      <c r="O334" s="58" t="s">
        <v>2938</v>
      </c>
      <c r="P334" s="153"/>
      <c r="Q334" s="58">
        <v>616</v>
      </c>
      <c r="R334" s="153"/>
      <c r="S334" s="153"/>
    </row>
    <row r="335" spans="1:19" s="58" customFormat="1" ht="18" customHeight="1">
      <c r="A335" s="153">
        <v>894</v>
      </c>
      <c r="B335" s="153" t="s">
        <v>719</v>
      </c>
      <c r="C335" s="153" t="s">
        <v>86</v>
      </c>
      <c r="D335" s="168">
        <v>2</v>
      </c>
      <c r="E335" s="153" t="s">
        <v>747</v>
      </c>
      <c r="F335" s="153" t="s">
        <v>705</v>
      </c>
      <c r="G335" s="153" t="s">
        <v>704</v>
      </c>
      <c r="H335" s="153" t="s">
        <v>1596</v>
      </c>
      <c r="I335" s="153" t="s">
        <v>2648</v>
      </c>
      <c r="J335" s="153" t="s">
        <v>359</v>
      </c>
      <c r="K335" s="153" t="s">
        <v>353</v>
      </c>
      <c r="L335" s="153"/>
      <c r="M335" s="153"/>
      <c r="N335" s="153"/>
      <c r="P335" s="153"/>
      <c r="R335" s="153"/>
      <c r="S335" s="153"/>
    </row>
    <row r="336" spans="1:19" s="58" customFormat="1" ht="18" customHeight="1">
      <c r="A336" s="153">
        <v>895</v>
      </c>
      <c r="B336" s="153" t="s">
        <v>719</v>
      </c>
      <c r="C336" s="153" t="s">
        <v>79</v>
      </c>
      <c r="D336" s="168">
        <v>3</v>
      </c>
      <c r="E336" s="153" t="s">
        <v>747</v>
      </c>
      <c r="F336" s="153" t="s">
        <v>705</v>
      </c>
      <c r="G336" s="153" t="s">
        <v>706</v>
      </c>
      <c r="H336" s="153" t="s">
        <v>1596</v>
      </c>
      <c r="I336" s="153" t="s">
        <v>2648</v>
      </c>
      <c r="J336" s="153" t="s">
        <v>359</v>
      </c>
      <c r="K336" s="153" t="s">
        <v>353</v>
      </c>
      <c r="L336" s="153"/>
      <c r="M336" s="153"/>
      <c r="N336" s="153"/>
      <c r="P336" s="153"/>
      <c r="R336" s="153"/>
      <c r="S336" s="153"/>
    </row>
    <row r="337" spans="1:19" s="58" customFormat="1" ht="18" customHeight="1">
      <c r="A337" s="153">
        <v>896</v>
      </c>
      <c r="B337" s="153" t="s">
        <v>719</v>
      </c>
      <c r="C337" s="153" t="s">
        <v>83</v>
      </c>
      <c r="D337" s="168">
        <v>4</v>
      </c>
      <c r="E337" s="153" t="s">
        <v>747</v>
      </c>
      <c r="F337" s="153" t="s">
        <v>705</v>
      </c>
      <c r="G337" s="153" t="s">
        <v>707</v>
      </c>
      <c r="H337" s="153" t="s">
        <v>1596</v>
      </c>
      <c r="I337" s="153" t="s">
        <v>2648</v>
      </c>
      <c r="J337" s="153" t="s">
        <v>359</v>
      </c>
      <c r="K337" s="153" t="s">
        <v>353</v>
      </c>
      <c r="L337" s="153"/>
      <c r="M337" s="153"/>
      <c r="N337" s="153"/>
      <c r="P337" s="153"/>
      <c r="R337" s="153"/>
      <c r="S337" s="153"/>
    </row>
    <row r="338" spans="1:19" s="58" customFormat="1" ht="18" customHeight="1">
      <c r="A338" s="153">
        <v>897</v>
      </c>
      <c r="B338" s="153" t="s">
        <v>719</v>
      </c>
      <c r="C338" s="153" t="s">
        <v>708</v>
      </c>
      <c r="D338" s="168">
        <v>5</v>
      </c>
      <c r="E338" s="153" t="s">
        <v>747</v>
      </c>
      <c r="F338" s="153" t="s">
        <v>705</v>
      </c>
      <c r="G338" s="153" t="s">
        <v>708</v>
      </c>
      <c r="H338" s="153" t="s">
        <v>1596</v>
      </c>
      <c r="I338" s="153" t="s">
        <v>2648</v>
      </c>
      <c r="J338" s="153" t="s">
        <v>359</v>
      </c>
      <c r="K338" s="153" t="s">
        <v>353</v>
      </c>
      <c r="L338" s="153"/>
      <c r="M338" s="153"/>
      <c r="N338" s="153"/>
      <c r="P338" s="153"/>
      <c r="R338" s="153"/>
      <c r="S338" s="153"/>
    </row>
    <row r="339" spans="1:19" s="58" customFormat="1" ht="18" customHeight="1">
      <c r="A339" s="153">
        <v>898</v>
      </c>
      <c r="B339" s="153" t="s">
        <v>719</v>
      </c>
      <c r="C339" s="153" t="s">
        <v>84</v>
      </c>
      <c r="D339" s="168">
        <v>5</v>
      </c>
      <c r="E339" s="153" t="s">
        <v>747</v>
      </c>
      <c r="F339" s="153" t="s">
        <v>705</v>
      </c>
      <c r="G339" s="153" t="s">
        <v>84</v>
      </c>
      <c r="H339" s="153" t="s">
        <v>1596</v>
      </c>
      <c r="I339" s="153" t="s">
        <v>2648</v>
      </c>
      <c r="J339" s="153" t="s">
        <v>359</v>
      </c>
      <c r="K339" s="153" t="s">
        <v>353</v>
      </c>
      <c r="L339" s="153"/>
      <c r="M339" s="153"/>
      <c r="N339" s="153"/>
      <c r="P339" s="153"/>
      <c r="R339" s="153"/>
      <c r="S339" s="153"/>
    </row>
    <row r="340" spans="1:19" s="58" customFormat="1" ht="18" customHeight="1">
      <c r="A340" s="153">
        <v>899</v>
      </c>
      <c r="B340" s="153" t="s">
        <v>719</v>
      </c>
      <c r="C340" s="153" t="s">
        <v>85</v>
      </c>
      <c r="D340" s="168">
        <v>6</v>
      </c>
      <c r="E340" s="153" t="s">
        <v>747</v>
      </c>
      <c r="F340" s="153" t="s">
        <v>705</v>
      </c>
      <c r="G340" s="153" t="s">
        <v>85</v>
      </c>
      <c r="H340" s="153" t="s">
        <v>1596</v>
      </c>
      <c r="I340" s="153" t="s">
        <v>2648</v>
      </c>
      <c r="J340" s="153" t="s">
        <v>359</v>
      </c>
      <c r="K340" s="153" t="s">
        <v>353</v>
      </c>
      <c r="L340" s="153"/>
      <c r="M340" s="153"/>
      <c r="N340" s="153"/>
      <c r="P340" s="153"/>
      <c r="R340" s="153"/>
      <c r="S340" s="153"/>
    </row>
    <row r="341" spans="1:19" s="58" customFormat="1" ht="18" customHeight="1">
      <c r="A341" s="153">
        <v>955</v>
      </c>
      <c r="B341" s="153" t="s">
        <v>2288</v>
      </c>
      <c r="C341" s="153" t="s">
        <v>2337</v>
      </c>
      <c r="D341" s="168">
        <v>1</v>
      </c>
      <c r="E341" s="153" t="s">
        <v>2249</v>
      </c>
      <c r="F341" s="153" t="s">
        <v>619</v>
      </c>
      <c r="G341" s="153" t="s">
        <v>2337</v>
      </c>
      <c r="H341" s="153" t="s">
        <v>2338</v>
      </c>
      <c r="I341" s="153"/>
      <c r="J341" s="153" t="s">
        <v>351</v>
      </c>
      <c r="K341" s="153" t="s">
        <v>79</v>
      </c>
      <c r="L341" s="153" t="s">
        <v>2288</v>
      </c>
      <c r="M341" s="153" t="s">
        <v>2337</v>
      </c>
      <c r="N341" s="153" t="s">
        <v>2792</v>
      </c>
      <c r="P341" s="153">
        <v>610</v>
      </c>
      <c r="R341" s="153"/>
      <c r="S341" s="153"/>
    </row>
    <row r="342" spans="1:19" s="58" customFormat="1" ht="18" customHeight="1">
      <c r="A342" s="153">
        <v>956</v>
      </c>
      <c r="B342" s="153" t="s">
        <v>2288</v>
      </c>
      <c r="C342" s="153" t="s">
        <v>1335</v>
      </c>
      <c r="D342" s="168">
        <v>2</v>
      </c>
      <c r="E342" s="153" t="s">
        <v>2249</v>
      </c>
      <c r="F342" s="153" t="s">
        <v>619</v>
      </c>
      <c r="G342" s="153" t="s">
        <v>1335</v>
      </c>
      <c r="H342" s="153" t="s">
        <v>2338</v>
      </c>
      <c r="I342" s="153"/>
      <c r="J342" s="153" t="s">
        <v>351</v>
      </c>
      <c r="K342" s="153" t="s">
        <v>79</v>
      </c>
      <c r="L342" s="153" t="s">
        <v>2288</v>
      </c>
      <c r="M342" s="153" t="s">
        <v>1335</v>
      </c>
      <c r="N342" s="153" t="s">
        <v>2792</v>
      </c>
      <c r="P342" s="153">
        <v>611</v>
      </c>
      <c r="R342" s="153"/>
      <c r="S342" s="153"/>
    </row>
    <row r="343" spans="1:19" s="58" customFormat="1" ht="18" customHeight="1">
      <c r="A343" s="153">
        <v>957</v>
      </c>
      <c r="B343" s="153" t="s">
        <v>2288</v>
      </c>
      <c r="C343" s="153" t="s">
        <v>2339</v>
      </c>
      <c r="D343" s="168">
        <v>3</v>
      </c>
      <c r="E343" s="153" t="s">
        <v>2249</v>
      </c>
      <c r="F343" s="153" t="s">
        <v>619</v>
      </c>
      <c r="G343" s="153" t="s">
        <v>2339</v>
      </c>
      <c r="H343" s="153" t="s">
        <v>2338</v>
      </c>
      <c r="I343" s="153"/>
      <c r="J343" s="153" t="s">
        <v>351</v>
      </c>
      <c r="K343" s="153" t="s">
        <v>79</v>
      </c>
      <c r="L343" s="153" t="s">
        <v>2288</v>
      </c>
      <c r="M343" s="153" t="s">
        <v>2339</v>
      </c>
      <c r="N343" s="153" t="s">
        <v>2792</v>
      </c>
      <c r="P343" s="153">
        <v>612</v>
      </c>
      <c r="R343" s="153"/>
      <c r="S343" s="153"/>
    </row>
    <row r="344" spans="1:19" s="58" customFormat="1" ht="18" customHeight="1">
      <c r="A344" s="153">
        <v>975</v>
      </c>
      <c r="B344" s="153" t="s">
        <v>556</v>
      </c>
      <c r="C344" s="153" t="s">
        <v>249</v>
      </c>
      <c r="D344" s="168">
        <v>0</v>
      </c>
      <c r="E344" s="153" t="s">
        <v>124</v>
      </c>
      <c r="F344" s="153"/>
      <c r="G344" s="153" t="s">
        <v>249</v>
      </c>
      <c r="H344" s="153" t="s">
        <v>1490</v>
      </c>
      <c r="I344" s="153" t="s">
        <v>2648</v>
      </c>
      <c r="J344" s="153" t="s">
        <v>363</v>
      </c>
      <c r="K344" s="153" t="s">
        <v>353</v>
      </c>
      <c r="L344" s="153" t="s">
        <v>682</v>
      </c>
      <c r="M344" s="153" t="s">
        <v>249</v>
      </c>
      <c r="N344" s="153"/>
      <c r="P344" s="153"/>
      <c r="R344" s="153"/>
      <c r="S344" s="153"/>
    </row>
    <row r="345" spans="1:19" s="58" customFormat="1" ht="18" customHeight="1">
      <c r="A345" s="153">
        <v>976</v>
      </c>
      <c r="B345" s="153" t="s">
        <v>556</v>
      </c>
      <c r="C345" s="153" t="s">
        <v>243</v>
      </c>
      <c r="D345" s="168">
        <v>0</v>
      </c>
      <c r="E345" s="153" t="s">
        <v>124</v>
      </c>
      <c r="F345" s="153"/>
      <c r="G345" s="153" t="s">
        <v>243</v>
      </c>
      <c r="H345" s="153" t="s">
        <v>1490</v>
      </c>
      <c r="I345" s="153" t="s">
        <v>2648</v>
      </c>
      <c r="J345" s="153" t="s">
        <v>363</v>
      </c>
      <c r="K345" s="153" t="s">
        <v>353</v>
      </c>
      <c r="L345" s="153" t="s">
        <v>682</v>
      </c>
      <c r="M345" s="153" t="s">
        <v>243</v>
      </c>
      <c r="N345" s="153"/>
      <c r="P345" s="153"/>
      <c r="R345" s="153"/>
      <c r="S345" s="153"/>
    </row>
    <row r="346" spans="1:19" s="58" customFormat="1" ht="18" customHeight="1">
      <c r="A346" s="153">
        <v>977</v>
      </c>
      <c r="B346" s="153" t="s">
        <v>556</v>
      </c>
      <c r="C346" s="153" t="s">
        <v>242</v>
      </c>
      <c r="D346" s="168">
        <v>6</v>
      </c>
      <c r="E346" s="153" t="s">
        <v>124</v>
      </c>
      <c r="F346" s="153"/>
      <c r="G346" s="153" t="s">
        <v>242</v>
      </c>
      <c r="H346" s="153" t="s">
        <v>1490</v>
      </c>
      <c r="I346" s="153" t="s">
        <v>2648</v>
      </c>
      <c r="J346" s="153" t="s">
        <v>363</v>
      </c>
      <c r="K346" s="153" t="s">
        <v>353</v>
      </c>
      <c r="L346" s="153" t="s">
        <v>682</v>
      </c>
      <c r="M346" s="153" t="s">
        <v>242</v>
      </c>
      <c r="N346" s="153"/>
      <c r="P346" s="153"/>
      <c r="R346" s="153"/>
      <c r="S346" s="153"/>
    </row>
    <row r="347" spans="1:19" s="58" customFormat="1" ht="18" customHeight="1">
      <c r="A347" s="153">
        <v>68</v>
      </c>
      <c r="B347" s="153" t="s">
        <v>1327</v>
      </c>
      <c r="C347" s="153" t="s">
        <v>1328</v>
      </c>
      <c r="D347" s="168"/>
      <c r="E347" s="153" t="s">
        <v>1329</v>
      </c>
      <c r="F347" s="153"/>
      <c r="G347" s="153" t="s">
        <v>1328</v>
      </c>
      <c r="H347" s="153" t="s">
        <v>1597</v>
      </c>
      <c r="I347" s="153" t="s">
        <v>2612</v>
      </c>
      <c r="J347" s="153" t="s">
        <v>359</v>
      </c>
      <c r="K347" s="153" t="s">
        <v>1330</v>
      </c>
      <c r="L347" s="153"/>
      <c r="M347" s="153"/>
      <c r="N347" s="153"/>
      <c r="P347" s="153"/>
      <c r="R347" s="153"/>
      <c r="S347" s="153"/>
    </row>
    <row r="348" spans="1:19" s="58" customFormat="1" ht="18" customHeight="1">
      <c r="A348" s="153">
        <v>69</v>
      </c>
      <c r="B348" s="153" t="s">
        <v>1327</v>
      </c>
      <c r="C348" s="153" t="s">
        <v>1331</v>
      </c>
      <c r="D348" s="168"/>
      <c r="E348" s="153" t="s">
        <v>1329</v>
      </c>
      <c r="F348" s="153"/>
      <c r="G348" s="153" t="s">
        <v>1331</v>
      </c>
      <c r="H348" s="153" t="s">
        <v>1597</v>
      </c>
      <c r="I348" s="153" t="s">
        <v>2612</v>
      </c>
      <c r="J348" s="153" t="s">
        <v>359</v>
      </c>
      <c r="K348" s="153" t="s">
        <v>1330</v>
      </c>
      <c r="L348" s="153"/>
      <c r="M348" s="153"/>
      <c r="N348" s="153"/>
      <c r="P348" s="153"/>
      <c r="R348" s="153"/>
      <c r="S348" s="153"/>
    </row>
    <row r="349" spans="1:19" s="58" customFormat="1" ht="18" customHeight="1">
      <c r="A349" s="153">
        <v>70</v>
      </c>
      <c r="B349" s="153" t="s">
        <v>1327</v>
      </c>
      <c r="C349" s="153" t="s">
        <v>1332</v>
      </c>
      <c r="D349" s="168"/>
      <c r="E349" s="153" t="s">
        <v>1329</v>
      </c>
      <c r="F349" s="153"/>
      <c r="G349" s="153" t="s">
        <v>1332</v>
      </c>
      <c r="H349" s="153" t="s">
        <v>1597</v>
      </c>
      <c r="I349" s="153" t="s">
        <v>2612</v>
      </c>
      <c r="J349" s="153" t="s">
        <v>359</v>
      </c>
      <c r="K349" s="153" t="s">
        <v>1330</v>
      </c>
      <c r="L349" s="153"/>
      <c r="M349" s="153"/>
      <c r="N349" s="153"/>
      <c r="P349" s="153"/>
      <c r="R349" s="153"/>
      <c r="S349" s="153"/>
    </row>
    <row r="350" spans="1:19" s="58" customFormat="1" ht="18" customHeight="1">
      <c r="A350" s="153">
        <v>71</v>
      </c>
      <c r="B350" s="153" t="s">
        <v>1327</v>
      </c>
      <c r="C350" s="153" t="s">
        <v>1333</v>
      </c>
      <c r="D350" s="168"/>
      <c r="E350" s="153" t="s">
        <v>1329</v>
      </c>
      <c r="F350" s="153"/>
      <c r="G350" s="153" t="s">
        <v>1333</v>
      </c>
      <c r="H350" s="153" t="s">
        <v>1597</v>
      </c>
      <c r="I350" s="153" t="s">
        <v>2612</v>
      </c>
      <c r="J350" s="153" t="s">
        <v>359</v>
      </c>
      <c r="K350" s="153" t="s">
        <v>1330</v>
      </c>
      <c r="L350" s="153"/>
      <c r="M350" s="153"/>
      <c r="N350" s="153"/>
      <c r="P350" s="153"/>
      <c r="R350" s="153"/>
      <c r="S350" s="153"/>
    </row>
    <row r="351" spans="1:19" s="58" customFormat="1" ht="18" customHeight="1">
      <c r="A351" s="153">
        <v>72</v>
      </c>
      <c r="B351" s="153" t="s">
        <v>1327</v>
      </c>
      <c r="C351" s="153" t="s">
        <v>1334</v>
      </c>
      <c r="D351" s="168"/>
      <c r="E351" s="153" t="s">
        <v>1329</v>
      </c>
      <c r="F351" s="153"/>
      <c r="G351" s="153" t="s">
        <v>1334</v>
      </c>
      <c r="H351" s="153" t="s">
        <v>1597</v>
      </c>
      <c r="I351" s="153" t="s">
        <v>2612</v>
      </c>
      <c r="J351" s="153" t="s">
        <v>359</v>
      </c>
      <c r="K351" s="153" t="s">
        <v>1330</v>
      </c>
      <c r="L351" s="153"/>
      <c r="M351" s="153"/>
      <c r="N351" s="153"/>
      <c r="P351" s="153"/>
      <c r="R351" s="153"/>
      <c r="S351" s="153"/>
    </row>
    <row r="352" spans="1:19" s="58" customFormat="1" ht="18" customHeight="1">
      <c r="A352" s="153">
        <v>91</v>
      </c>
      <c r="B352" s="153" t="s">
        <v>1336</v>
      </c>
      <c r="C352" s="153" t="s">
        <v>1337</v>
      </c>
      <c r="D352" s="168"/>
      <c r="E352" s="153" t="s">
        <v>1338</v>
      </c>
      <c r="F352" s="153"/>
      <c r="G352" s="153" t="s">
        <v>1337</v>
      </c>
      <c r="H352" s="153" t="s">
        <v>1597</v>
      </c>
      <c r="I352" s="153" t="s">
        <v>2613</v>
      </c>
      <c r="J352" s="153" t="s">
        <v>359</v>
      </c>
      <c r="K352" s="153" t="s">
        <v>1330</v>
      </c>
      <c r="L352" s="153"/>
      <c r="M352" s="153"/>
      <c r="N352" s="153"/>
      <c r="P352" s="153"/>
      <c r="R352" s="153"/>
      <c r="S352" s="153"/>
    </row>
    <row r="353" spans="1:19" s="58" customFormat="1" ht="18" customHeight="1">
      <c r="A353" s="153">
        <v>92</v>
      </c>
      <c r="B353" s="153" t="s">
        <v>1336</v>
      </c>
      <c r="C353" s="153" t="s">
        <v>1339</v>
      </c>
      <c r="D353" s="168"/>
      <c r="E353" s="153" t="s">
        <v>1338</v>
      </c>
      <c r="F353" s="153"/>
      <c r="G353" s="153" t="s">
        <v>1339</v>
      </c>
      <c r="H353" s="153" t="s">
        <v>1597</v>
      </c>
      <c r="I353" s="153" t="s">
        <v>2613</v>
      </c>
      <c r="J353" s="153" t="s">
        <v>359</v>
      </c>
      <c r="K353" s="153" t="s">
        <v>1330</v>
      </c>
      <c r="L353" s="153"/>
      <c r="M353" s="153"/>
      <c r="N353" s="153"/>
      <c r="P353" s="153"/>
      <c r="R353" s="153"/>
      <c r="S353" s="153"/>
    </row>
    <row r="354" spans="1:19" s="58" customFormat="1" ht="18" customHeight="1">
      <c r="A354" s="153">
        <v>93</v>
      </c>
      <c r="B354" s="153" t="s">
        <v>1336</v>
      </c>
      <c r="C354" s="153" t="s">
        <v>1340</v>
      </c>
      <c r="D354" s="168"/>
      <c r="E354" s="153" t="s">
        <v>1338</v>
      </c>
      <c r="F354" s="153"/>
      <c r="G354" s="153" t="s">
        <v>1340</v>
      </c>
      <c r="H354" s="153" t="s">
        <v>1597</v>
      </c>
      <c r="I354" s="153" t="s">
        <v>2613</v>
      </c>
      <c r="J354" s="153" t="s">
        <v>359</v>
      </c>
      <c r="K354" s="153" t="s">
        <v>1330</v>
      </c>
      <c r="L354" s="153"/>
      <c r="M354" s="153"/>
      <c r="N354" s="153"/>
      <c r="P354" s="153"/>
      <c r="R354" s="153"/>
      <c r="S354" s="153"/>
    </row>
    <row r="355" spans="1:19" s="58" customFormat="1" ht="18" customHeight="1">
      <c r="A355" s="153">
        <v>94</v>
      </c>
      <c r="B355" s="153" t="s">
        <v>1336</v>
      </c>
      <c r="C355" s="153" t="s">
        <v>1341</v>
      </c>
      <c r="D355" s="168"/>
      <c r="E355" s="153" t="s">
        <v>1338</v>
      </c>
      <c r="F355" s="153"/>
      <c r="G355" s="153" t="s">
        <v>1341</v>
      </c>
      <c r="H355" s="153" t="s">
        <v>1597</v>
      </c>
      <c r="I355" s="153" t="s">
        <v>2613</v>
      </c>
      <c r="J355" s="153" t="s">
        <v>359</v>
      </c>
      <c r="K355" s="153" t="s">
        <v>1330</v>
      </c>
      <c r="L355" s="153"/>
      <c r="M355" s="153"/>
      <c r="N355" s="153"/>
      <c r="P355" s="153"/>
      <c r="R355" s="153"/>
      <c r="S355" s="153"/>
    </row>
    <row r="356" spans="1:19" s="58" customFormat="1" ht="18" customHeight="1">
      <c r="A356" s="153">
        <v>95</v>
      </c>
      <c r="B356" s="153" t="s">
        <v>1336</v>
      </c>
      <c r="C356" s="153" t="s">
        <v>1342</v>
      </c>
      <c r="D356" s="168"/>
      <c r="E356" s="153" t="s">
        <v>1338</v>
      </c>
      <c r="F356" s="153"/>
      <c r="G356" s="153" t="s">
        <v>1342</v>
      </c>
      <c r="H356" s="153" t="s">
        <v>1597</v>
      </c>
      <c r="I356" s="153" t="s">
        <v>2613</v>
      </c>
      <c r="J356" s="153" t="s">
        <v>359</v>
      </c>
      <c r="K356" s="153" t="s">
        <v>1330</v>
      </c>
      <c r="L356" s="153"/>
      <c r="M356" s="153"/>
      <c r="N356" s="153"/>
      <c r="P356" s="153"/>
      <c r="R356" s="153"/>
      <c r="S356" s="153"/>
    </row>
    <row r="357" spans="1:19" s="58" customFormat="1" ht="18" customHeight="1">
      <c r="A357" s="153">
        <v>112</v>
      </c>
      <c r="B357" s="153" t="s">
        <v>1351</v>
      </c>
      <c r="C357" s="153" t="s">
        <v>1352</v>
      </c>
      <c r="D357" s="168"/>
      <c r="E357" s="153" t="s">
        <v>1353</v>
      </c>
      <c r="F357" s="153"/>
      <c r="G357" s="153" t="s">
        <v>1352</v>
      </c>
      <c r="H357" s="153" t="s">
        <v>1597</v>
      </c>
      <c r="I357" s="153" t="s">
        <v>2617</v>
      </c>
      <c r="J357" s="153" t="s">
        <v>359</v>
      </c>
      <c r="K357" s="153" t="s">
        <v>1330</v>
      </c>
      <c r="L357" s="153"/>
      <c r="M357" s="153"/>
      <c r="N357" s="153"/>
      <c r="P357" s="153"/>
      <c r="R357" s="153"/>
      <c r="S357" s="153"/>
    </row>
    <row r="358" spans="1:19" s="58" customFormat="1" ht="18" customHeight="1">
      <c r="A358" s="153">
        <v>113</v>
      </c>
      <c r="B358" s="153" t="s">
        <v>1351</v>
      </c>
      <c r="C358" s="153" t="s">
        <v>1354</v>
      </c>
      <c r="D358" s="168"/>
      <c r="E358" s="153" t="s">
        <v>1353</v>
      </c>
      <c r="F358" s="153"/>
      <c r="G358" s="153" t="s">
        <v>1354</v>
      </c>
      <c r="H358" s="153" t="s">
        <v>1597</v>
      </c>
      <c r="I358" s="153" t="s">
        <v>2617</v>
      </c>
      <c r="J358" s="153" t="s">
        <v>359</v>
      </c>
      <c r="K358" s="153" t="s">
        <v>1330</v>
      </c>
      <c r="L358" s="153"/>
      <c r="M358" s="153"/>
      <c r="N358" s="153"/>
      <c r="P358" s="153"/>
      <c r="R358" s="153"/>
      <c r="S358" s="153"/>
    </row>
    <row r="359" spans="1:19" s="58" customFormat="1" ht="18" customHeight="1">
      <c r="A359" s="153">
        <v>114</v>
      </c>
      <c r="B359" s="153" t="s">
        <v>1351</v>
      </c>
      <c r="C359" s="153" t="s">
        <v>1355</v>
      </c>
      <c r="D359" s="168"/>
      <c r="E359" s="153" t="s">
        <v>1353</v>
      </c>
      <c r="F359" s="153"/>
      <c r="G359" s="153" t="s">
        <v>1355</v>
      </c>
      <c r="H359" s="153" t="s">
        <v>1597</v>
      </c>
      <c r="I359" s="153" t="s">
        <v>2617</v>
      </c>
      <c r="J359" s="153" t="s">
        <v>359</v>
      </c>
      <c r="K359" s="153" t="s">
        <v>1330</v>
      </c>
      <c r="L359" s="153"/>
      <c r="M359" s="153"/>
      <c r="N359" s="153"/>
      <c r="P359" s="153"/>
      <c r="R359" s="153"/>
      <c r="S359" s="153"/>
    </row>
    <row r="360" spans="1:19" s="58" customFormat="1" ht="18" customHeight="1">
      <c r="A360" s="153">
        <v>115</v>
      </c>
      <c r="B360" s="153" t="s">
        <v>1351</v>
      </c>
      <c r="C360" s="153" t="s">
        <v>1356</v>
      </c>
      <c r="D360" s="168"/>
      <c r="E360" s="153" t="s">
        <v>1353</v>
      </c>
      <c r="F360" s="153"/>
      <c r="G360" s="153" t="s">
        <v>1356</v>
      </c>
      <c r="H360" s="153" t="s">
        <v>1597</v>
      </c>
      <c r="I360" s="153" t="s">
        <v>2617</v>
      </c>
      <c r="J360" s="153" t="s">
        <v>359</v>
      </c>
      <c r="K360" s="153" t="s">
        <v>1330</v>
      </c>
      <c r="L360" s="153"/>
      <c r="M360" s="153"/>
      <c r="N360" s="153"/>
      <c r="P360" s="153"/>
      <c r="R360" s="153"/>
      <c r="S360" s="153"/>
    </row>
    <row r="361" spans="1:19" s="58" customFormat="1" ht="18" customHeight="1">
      <c r="A361" s="153">
        <v>116</v>
      </c>
      <c r="B361" s="153" t="s">
        <v>1351</v>
      </c>
      <c r="C361" s="153" t="s">
        <v>1357</v>
      </c>
      <c r="D361" s="168"/>
      <c r="E361" s="153" t="s">
        <v>1353</v>
      </c>
      <c r="F361" s="153"/>
      <c r="G361" s="153" t="s">
        <v>1357</v>
      </c>
      <c r="H361" s="153" t="s">
        <v>1597</v>
      </c>
      <c r="I361" s="153" t="s">
        <v>2617</v>
      </c>
      <c r="J361" s="153" t="s">
        <v>359</v>
      </c>
      <c r="K361" s="153" t="s">
        <v>1330</v>
      </c>
      <c r="L361" s="153"/>
      <c r="M361" s="153"/>
      <c r="N361" s="153"/>
      <c r="P361" s="153"/>
      <c r="R361" s="153"/>
      <c r="S361" s="153"/>
    </row>
    <row r="362" spans="1:19" s="58" customFormat="1" ht="18" customHeight="1">
      <c r="A362" s="153">
        <v>443</v>
      </c>
      <c r="B362" s="153" t="s">
        <v>1370</v>
      </c>
      <c r="C362" s="153" t="s">
        <v>1371</v>
      </c>
      <c r="D362" s="168"/>
      <c r="E362" s="153" t="s">
        <v>1372</v>
      </c>
      <c r="F362" s="153"/>
      <c r="G362" s="153" t="s">
        <v>1371</v>
      </c>
      <c r="H362" s="153" t="s">
        <v>1597</v>
      </c>
      <c r="I362" s="153" t="s">
        <v>2622</v>
      </c>
      <c r="J362" s="153" t="s">
        <v>359</v>
      </c>
      <c r="K362" s="153" t="s">
        <v>1330</v>
      </c>
      <c r="L362" s="153"/>
      <c r="M362" s="153"/>
      <c r="N362" s="153"/>
      <c r="P362" s="153"/>
      <c r="R362" s="153"/>
      <c r="S362" s="153"/>
    </row>
    <row r="363" spans="1:19" s="58" customFormat="1" ht="18" customHeight="1">
      <c r="A363" s="153">
        <v>444</v>
      </c>
      <c r="B363" s="153" t="s">
        <v>1370</v>
      </c>
      <c r="C363" s="153" t="s">
        <v>1373</v>
      </c>
      <c r="D363" s="168"/>
      <c r="E363" s="153" t="s">
        <v>1372</v>
      </c>
      <c r="F363" s="153"/>
      <c r="G363" s="153" t="s">
        <v>1373</v>
      </c>
      <c r="H363" s="153" t="s">
        <v>1597</v>
      </c>
      <c r="I363" s="153" t="s">
        <v>2622</v>
      </c>
      <c r="J363" s="153" t="s">
        <v>359</v>
      </c>
      <c r="K363" s="153" t="s">
        <v>1330</v>
      </c>
      <c r="L363" s="153"/>
      <c r="M363" s="153"/>
      <c r="N363" s="153"/>
      <c r="P363" s="153"/>
      <c r="R363" s="153"/>
      <c r="S363" s="153"/>
    </row>
    <row r="364" spans="1:19" s="58" customFormat="1" ht="18" customHeight="1">
      <c r="A364" s="153">
        <v>445</v>
      </c>
      <c r="B364" s="153" t="s">
        <v>1370</v>
      </c>
      <c r="C364" s="153" t="s">
        <v>1374</v>
      </c>
      <c r="D364" s="168"/>
      <c r="E364" s="153" t="s">
        <v>1372</v>
      </c>
      <c r="F364" s="153"/>
      <c r="G364" s="153" t="s">
        <v>1374</v>
      </c>
      <c r="H364" s="153" t="s">
        <v>1597</v>
      </c>
      <c r="I364" s="153" t="s">
        <v>2622</v>
      </c>
      <c r="J364" s="153" t="s">
        <v>359</v>
      </c>
      <c r="K364" s="153" t="s">
        <v>1330</v>
      </c>
      <c r="L364" s="153"/>
      <c r="M364" s="153"/>
      <c r="N364" s="153"/>
      <c r="P364" s="153"/>
      <c r="R364" s="153"/>
      <c r="S364" s="153"/>
    </row>
    <row r="365" spans="1:19" s="58" customFormat="1" ht="18" customHeight="1">
      <c r="A365" s="153">
        <v>446</v>
      </c>
      <c r="B365" s="153" t="s">
        <v>1370</v>
      </c>
      <c r="C365" s="153" t="s">
        <v>1375</v>
      </c>
      <c r="D365" s="168"/>
      <c r="E365" s="153" t="s">
        <v>1372</v>
      </c>
      <c r="F365" s="153"/>
      <c r="G365" s="153" t="s">
        <v>1375</v>
      </c>
      <c r="H365" s="153" t="s">
        <v>1597</v>
      </c>
      <c r="I365" s="153" t="s">
        <v>2622</v>
      </c>
      <c r="J365" s="153" t="s">
        <v>359</v>
      </c>
      <c r="K365" s="153" t="s">
        <v>1330</v>
      </c>
      <c r="L365" s="153"/>
      <c r="M365" s="153"/>
      <c r="N365" s="153"/>
      <c r="P365" s="153"/>
      <c r="R365" s="153"/>
      <c r="S365" s="153"/>
    </row>
    <row r="366" spans="1:19" s="58" customFormat="1" ht="18" customHeight="1">
      <c r="A366" s="153">
        <v>447</v>
      </c>
      <c r="B366" s="153" t="s">
        <v>1370</v>
      </c>
      <c r="C366" s="153" t="s">
        <v>1376</v>
      </c>
      <c r="D366" s="168"/>
      <c r="E366" s="153" t="s">
        <v>1372</v>
      </c>
      <c r="F366" s="153"/>
      <c r="G366" s="153" t="s">
        <v>1376</v>
      </c>
      <c r="H366" s="153" t="s">
        <v>1597</v>
      </c>
      <c r="I366" s="153" t="s">
        <v>2622</v>
      </c>
      <c r="J366" s="153" t="s">
        <v>359</v>
      </c>
      <c r="K366" s="153" t="s">
        <v>1330</v>
      </c>
      <c r="L366" s="153"/>
      <c r="M366" s="153"/>
      <c r="N366" s="153"/>
      <c r="P366" s="153"/>
      <c r="R366" s="153"/>
      <c r="S366" s="153"/>
    </row>
    <row r="367" spans="1:19" s="58" customFormat="1" ht="18" customHeight="1">
      <c r="A367" s="153">
        <v>644</v>
      </c>
      <c r="B367" s="153" t="s">
        <v>1399</v>
      </c>
      <c r="C367" s="153" t="s">
        <v>1400</v>
      </c>
      <c r="D367" s="168"/>
      <c r="E367" s="153" t="s">
        <v>1401</v>
      </c>
      <c r="F367" s="153"/>
      <c r="G367" s="153" t="s">
        <v>1400</v>
      </c>
      <c r="H367" s="153" t="s">
        <v>1597</v>
      </c>
      <c r="I367" s="153" t="s">
        <v>2629</v>
      </c>
      <c r="J367" s="153" t="s">
        <v>359</v>
      </c>
      <c r="K367" s="153" t="s">
        <v>1330</v>
      </c>
      <c r="L367" s="153"/>
      <c r="M367" s="153"/>
      <c r="N367" s="153"/>
      <c r="P367" s="153"/>
      <c r="R367" s="153"/>
      <c r="S367" s="153"/>
    </row>
    <row r="368" spans="1:19" s="58" customFormat="1" ht="18" customHeight="1">
      <c r="A368" s="153">
        <v>645</v>
      </c>
      <c r="B368" s="153" t="s">
        <v>1399</v>
      </c>
      <c r="C368" s="153" t="s">
        <v>1402</v>
      </c>
      <c r="D368" s="168"/>
      <c r="E368" s="153" t="s">
        <v>1401</v>
      </c>
      <c r="F368" s="153"/>
      <c r="G368" s="153" t="s">
        <v>1402</v>
      </c>
      <c r="H368" s="153" t="s">
        <v>1597</v>
      </c>
      <c r="I368" s="153" t="s">
        <v>2629</v>
      </c>
      <c r="J368" s="153" t="s">
        <v>359</v>
      </c>
      <c r="K368" s="153" t="s">
        <v>1330</v>
      </c>
      <c r="L368" s="153"/>
      <c r="M368" s="153"/>
      <c r="N368" s="153"/>
      <c r="P368" s="153"/>
      <c r="R368" s="153"/>
      <c r="S368" s="153"/>
    </row>
    <row r="369" spans="1:19" s="58" customFormat="1" ht="18" customHeight="1">
      <c r="A369" s="153">
        <v>646</v>
      </c>
      <c r="B369" s="153" t="s">
        <v>1399</v>
      </c>
      <c r="C369" s="153" t="s">
        <v>1403</v>
      </c>
      <c r="D369" s="168"/>
      <c r="E369" s="153" t="s">
        <v>1401</v>
      </c>
      <c r="F369" s="153"/>
      <c r="G369" s="153" t="s">
        <v>1403</v>
      </c>
      <c r="H369" s="153" t="s">
        <v>1597</v>
      </c>
      <c r="I369" s="153" t="s">
        <v>2629</v>
      </c>
      <c r="J369" s="153" t="s">
        <v>359</v>
      </c>
      <c r="K369" s="153" t="s">
        <v>1330</v>
      </c>
      <c r="L369" s="153"/>
      <c r="M369" s="153"/>
      <c r="N369" s="153"/>
      <c r="P369" s="153"/>
      <c r="R369" s="153"/>
      <c r="S369" s="153"/>
    </row>
    <row r="370" spans="1:19" s="58" customFormat="1" ht="18" customHeight="1">
      <c r="A370" s="153">
        <v>647</v>
      </c>
      <c r="B370" s="153" t="s">
        <v>1399</v>
      </c>
      <c r="C370" s="153" t="s">
        <v>1404</v>
      </c>
      <c r="D370" s="168"/>
      <c r="E370" s="153" t="s">
        <v>1401</v>
      </c>
      <c r="F370" s="153"/>
      <c r="G370" s="153" t="s">
        <v>1404</v>
      </c>
      <c r="H370" s="153" t="s">
        <v>1597</v>
      </c>
      <c r="I370" s="153" t="s">
        <v>2629</v>
      </c>
      <c r="J370" s="153" t="s">
        <v>359</v>
      </c>
      <c r="K370" s="153" t="s">
        <v>1330</v>
      </c>
      <c r="L370" s="153"/>
      <c r="M370" s="153"/>
      <c r="N370" s="153"/>
      <c r="P370" s="153"/>
      <c r="R370" s="153"/>
      <c r="S370" s="153"/>
    </row>
    <row r="371" spans="1:19" s="58" customFormat="1" ht="18" customHeight="1">
      <c r="A371" s="153">
        <v>648</v>
      </c>
      <c r="B371" s="153" t="s">
        <v>1399</v>
      </c>
      <c r="C371" s="153" t="s">
        <v>1405</v>
      </c>
      <c r="D371" s="168"/>
      <c r="E371" s="153" t="s">
        <v>1401</v>
      </c>
      <c r="F371" s="153"/>
      <c r="G371" s="153" t="s">
        <v>1405</v>
      </c>
      <c r="H371" s="153" t="s">
        <v>1597</v>
      </c>
      <c r="I371" s="153" t="s">
        <v>2629</v>
      </c>
      <c r="J371" s="153" t="s">
        <v>359</v>
      </c>
      <c r="K371" s="153" t="s">
        <v>1330</v>
      </c>
      <c r="L371" s="153"/>
      <c r="M371" s="153"/>
      <c r="N371" s="153"/>
      <c r="P371" s="153"/>
      <c r="R371" s="153"/>
      <c r="S371" s="153"/>
    </row>
    <row r="372" spans="1:19" s="58" customFormat="1" ht="18" customHeight="1">
      <c r="A372" s="153">
        <v>637</v>
      </c>
      <c r="B372" s="153" t="s">
        <v>1392</v>
      </c>
      <c r="C372" s="153" t="s">
        <v>1393</v>
      </c>
      <c r="D372" s="168"/>
      <c r="E372" s="153" t="s">
        <v>1394</v>
      </c>
      <c r="F372" s="153"/>
      <c r="G372" s="153" t="s">
        <v>1393</v>
      </c>
      <c r="H372" s="153" t="s">
        <v>1597</v>
      </c>
      <c r="I372" s="153" t="s">
        <v>2628</v>
      </c>
      <c r="J372" s="153" t="s">
        <v>359</v>
      </c>
      <c r="K372" s="153" t="s">
        <v>1330</v>
      </c>
      <c r="L372" s="153"/>
      <c r="M372" s="153"/>
      <c r="N372" s="153"/>
      <c r="P372" s="153"/>
      <c r="R372" s="153"/>
      <c r="S372" s="153"/>
    </row>
    <row r="373" spans="1:19" s="58" customFormat="1" ht="18" customHeight="1">
      <c r="A373" s="153">
        <v>638</v>
      </c>
      <c r="B373" s="153" t="s">
        <v>1392</v>
      </c>
      <c r="C373" s="153" t="s">
        <v>1395</v>
      </c>
      <c r="D373" s="168"/>
      <c r="E373" s="153" t="s">
        <v>1394</v>
      </c>
      <c r="F373" s="153"/>
      <c r="G373" s="153" t="s">
        <v>1395</v>
      </c>
      <c r="H373" s="153" t="s">
        <v>1597</v>
      </c>
      <c r="I373" s="153" t="s">
        <v>2628</v>
      </c>
      <c r="J373" s="153" t="s">
        <v>359</v>
      </c>
      <c r="K373" s="153" t="s">
        <v>1330</v>
      </c>
      <c r="L373" s="153"/>
      <c r="M373" s="153"/>
      <c r="N373" s="153"/>
      <c r="P373" s="153"/>
      <c r="R373" s="153"/>
      <c r="S373" s="153"/>
    </row>
    <row r="374" spans="1:19" s="58" customFormat="1" ht="18" customHeight="1">
      <c r="A374" s="153">
        <v>639</v>
      </c>
      <c r="B374" s="153" t="s">
        <v>1392</v>
      </c>
      <c r="C374" s="153" t="s">
        <v>1396</v>
      </c>
      <c r="D374" s="168"/>
      <c r="E374" s="153" t="s">
        <v>1394</v>
      </c>
      <c r="F374" s="153"/>
      <c r="G374" s="153" t="s">
        <v>1396</v>
      </c>
      <c r="H374" s="153" t="s">
        <v>1597</v>
      </c>
      <c r="I374" s="153" t="s">
        <v>2628</v>
      </c>
      <c r="J374" s="153" t="s">
        <v>359</v>
      </c>
      <c r="K374" s="153" t="s">
        <v>1330</v>
      </c>
      <c r="L374" s="153"/>
      <c r="M374" s="153"/>
      <c r="N374" s="153"/>
      <c r="P374" s="153"/>
      <c r="R374" s="153"/>
      <c r="S374" s="153"/>
    </row>
    <row r="375" spans="1:19" s="58" customFormat="1" ht="18" customHeight="1">
      <c r="A375" s="153">
        <v>640</v>
      </c>
      <c r="B375" s="153" t="s">
        <v>1392</v>
      </c>
      <c r="C375" s="153" t="s">
        <v>1397</v>
      </c>
      <c r="D375" s="168"/>
      <c r="E375" s="153" t="s">
        <v>1394</v>
      </c>
      <c r="F375" s="153"/>
      <c r="G375" s="153" t="s">
        <v>1397</v>
      </c>
      <c r="H375" s="153" t="s">
        <v>1597</v>
      </c>
      <c r="I375" s="153" t="s">
        <v>2628</v>
      </c>
      <c r="J375" s="153" t="s">
        <v>359</v>
      </c>
      <c r="K375" s="153" t="s">
        <v>1330</v>
      </c>
      <c r="L375" s="153"/>
      <c r="M375" s="153"/>
      <c r="N375" s="153"/>
      <c r="P375" s="153"/>
      <c r="R375" s="153"/>
      <c r="S375" s="153"/>
    </row>
    <row r="376" spans="1:19" s="58" customFormat="1" ht="18" customHeight="1">
      <c r="A376" s="153">
        <v>641</v>
      </c>
      <c r="B376" s="153" t="s">
        <v>1392</v>
      </c>
      <c r="C376" s="153" t="s">
        <v>1398</v>
      </c>
      <c r="D376" s="168"/>
      <c r="E376" s="153" t="s">
        <v>1394</v>
      </c>
      <c r="F376" s="153"/>
      <c r="G376" s="153" t="s">
        <v>1398</v>
      </c>
      <c r="H376" s="153" t="s">
        <v>1597</v>
      </c>
      <c r="I376" s="153" t="s">
        <v>2628</v>
      </c>
      <c r="J376" s="153" t="s">
        <v>359</v>
      </c>
      <c r="K376" s="153" t="s">
        <v>1330</v>
      </c>
      <c r="L376" s="153"/>
      <c r="M376" s="153"/>
      <c r="N376" s="153"/>
      <c r="P376" s="153"/>
      <c r="R376" s="153"/>
      <c r="S376" s="153"/>
    </row>
    <row r="377" spans="1:19" s="58" customFormat="1" ht="18" customHeight="1">
      <c r="A377" s="153">
        <v>670</v>
      </c>
      <c r="B377" s="153" t="s">
        <v>1410</v>
      </c>
      <c r="C377" s="153" t="s">
        <v>1411</v>
      </c>
      <c r="D377" s="168"/>
      <c r="E377" s="153" t="s">
        <v>1412</v>
      </c>
      <c r="F377" s="153"/>
      <c r="G377" s="153" t="s">
        <v>1411</v>
      </c>
      <c r="H377" s="153" t="s">
        <v>1597</v>
      </c>
      <c r="I377" s="153" t="s">
        <v>2630</v>
      </c>
      <c r="J377" s="153" t="s">
        <v>359</v>
      </c>
      <c r="K377" s="153" t="s">
        <v>1330</v>
      </c>
      <c r="L377" s="153"/>
      <c r="M377" s="153"/>
      <c r="N377" s="153"/>
      <c r="P377" s="153"/>
      <c r="R377" s="153"/>
      <c r="S377" s="153"/>
    </row>
    <row r="378" spans="1:19" s="58" customFormat="1" ht="18" customHeight="1">
      <c r="A378" s="153">
        <v>671</v>
      </c>
      <c r="B378" s="153" t="s">
        <v>1410</v>
      </c>
      <c r="C378" s="153" t="s">
        <v>1413</v>
      </c>
      <c r="D378" s="168"/>
      <c r="E378" s="153" t="s">
        <v>1412</v>
      </c>
      <c r="F378" s="153"/>
      <c r="G378" s="153" t="s">
        <v>1413</v>
      </c>
      <c r="H378" s="153" t="s">
        <v>1597</v>
      </c>
      <c r="I378" s="153" t="s">
        <v>2630</v>
      </c>
      <c r="J378" s="153" t="s">
        <v>359</v>
      </c>
      <c r="K378" s="153" t="s">
        <v>1330</v>
      </c>
      <c r="L378" s="153"/>
      <c r="M378" s="153"/>
      <c r="N378" s="153"/>
      <c r="P378" s="153"/>
      <c r="R378" s="153"/>
      <c r="S378" s="153"/>
    </row>
    <row r="379" spans="1:19" s="58" customFormat="1" ht="18" customHeight="1">
      <c r="A379" s="153">
        <v>672</v>
      </c>
      <c r="B379" s="153" t="s">
        <v>1410</v>
      </c>
      <c r="C379" s="153" t="s">
        <v>1414</v>
      </c>
      <c r="D379" s="168"/>
      <c r="E379" s="153" t="s">
        <v>1412</v>
      </c>
      <c r="F379" s="153"/>
      <c r="G379" s="153" t="s">
        <v>1414</v>
      </c>
      <c r="H379" s="153" t="s">
        <v>1597</v>
      </c>
      <c r="I379" s="153" t="s">
        <v>2630</v>
      </c>
      <c r="J379" s="153" t="s">
        <v>359</v>
      </c>
      <c r="K379" s="153" t="s">
        <v>1330</v>
      </c>
      <c r="L379" s="153"/>
      <c r="M379" s="153"/>
      <c r="N379" s="153"/>
      <c r="P379" s="153"/>
      <c r="R379" s="153"/>
      <c r="S379" s="153"/>
    </row>
    <row r="380" spans="1:19" s="58" customFormat="1" ht="18" customHeight="1">
      <c r="A380" s="153">
        <v>673</v>
      </c>
      <c r="B380" s="153" t="s">
        <v>1410</v>
      </c>
      <c r="C380" s="153" t="s">
        <v>1415</v>
      </c>
      <c r="D380" s="168"/>
      <c r="E380" s="153" t="s">
        <v>1412</v>
      </c>
      <c r="F380" s="153"/>
      <c r="G380" s="153" t="s">
        <v>1415</v>
      </c>
      <c r="H380" s="153" t="s">
        <v>1597</v>
      </c>
      <c r="I380" s="153" t="s">
        <v>2630</v>
      </c>
      <c r="J380" s="153" t="s">
        <v>359</v>
      </c>
      <c r="K380" s="153" t="s">
        <v>1330</v>
      </c>
      <c r="L380" s="153"/>
      <c r="M380" s="153"/>
      <c r="N380" s="153"/>
      <c r="P380" s="153"/>
      <c r="R380" s="153"/>
      <c r="S380" s="153"/>
    </row>
    <row r="381" spans="1:19" s="58" customFormat="1" ht="18" customHeight="1">
      <c r="A381" s="153">
        <v>674</v>
      </c>
      <c r="B381" s="153" t="s">
        <v>1410</v>
      </c>
      <c r="C381" s="153" t="s">
        <v>1416</v>
      </c>
      <c r="D381" s="168"/>
      <c r="E381" s="153" t="s">
        <v>1412</v>
      </c>
      <c r="F381" s="153"/>
      <c r="G381" s="153" t="s">
        <v>1416</v>
      </c>
      <c r="H381" s="153" t="s">
        <v>1597</v>
      </c>
      <c r="I381" s="153" t="s">
        <v>2630</v>
      </c>
      <c r="J381" s="153" t="s">
        <v>359</v>
      </c>
      <c r="K381" s="153" t="s">
        <v>1330</v>
      </c>
      <c r="L381" s="153"/>
      <c r="M381" s="153"/>
      <c r="N381" s="153"/>
      <c r="P381" s="153"/>
      <c r="R381" s="153"/>
      <c r="S381" s="153"/>
    </row>
    <row r="382" spans="1:19" s="58" customFormat="1" ht="18" customHeight="1">
      <c r="A382" s="153">
        <v>782</v>
      </c>
      <c r="B382" s="153" t="s">
        <v>1446</v>
      </c>
      <c r="C382" s="153" t="s">
        <v>1447</v>
      </c>
      <c r="D382" s="168"/>
      <c r="E382" s="153" t="s">
        <v>1448</v>
      </c>
      <c r="F382" s="153"/>
      <c r="G382" s="153" t="s">
        <v>1447</v>
      </c>
      <c r="H382" s="153" t="s">
        <v>1597</v>
      </c>
      <c r="I382" s="153" t="s">
        <v>2635</v>
      </c>
      <c r="J382" s="153" t="s">
        <v>359</v>
      </c>
      <c r="K382" s="153" t="s">
        <v>1330</v>
      </c>
      <c r="L382" s="153"/>
      <c r="M382" s="153"/>
      <c r="N382" s="153"/>
      <c r="P382" s="153"/>
      <c r="R382" s="153"/>
      <c r="S382" s="153"/>
    </row>
    <row r="383" spans="1:19" s="58" customFormat="1" ht="18" customHeight="1">
      <c r="A383" s="153">
        <v>783</v>
      </c>
      <c r="B383" s="153" t="s">
        <v>1446</v>
      </c>
      <c r="C383" s="153" t="s">
        <v>1449</v>
      </c>
      <c r="D383" s="168"/>
      <c r="E383" s="153" t="s">
        <v>1448</v>
      </c>
      <c r="F383" s="153"/>
      <c r="G383" s="153" t="s">
        <v>1449</v>
      </c>
      <c r="H383" s="153" t="s">
        <v>1597</v>
      </c>
      <c r="I383" s="153" t="s">
        <v>2635</v>
      </c>
      <c r="J383" s="153" t="s">
        <v>359</v>
      </c>
      <c r="K383" s="153" t="s">
        <v>1330</v>
      </c>
      <c r="L383" s="153"/>
      <c r="M383" s="153"/>
      <c r="N383" s="153"/>
      <c r="P383" s="153"/>
      <c r="R383" s="153"/>
      <c r="S383" s="153"/>
    </row>
    <row r="384" spans="1:19" s="58" customFormat="1" ht="18" customHeight="1">
      <c r="A384" s="153">
        <v>784</v>
      </c>
      <c r="B384" s="153" t="s">
        <v>1446</v>
      </c>
      <c r="C384" s="153" t="s">
        <v>1450</v>
      </c>
      <c r="D384" s="168"/>
      <c r="E384" s="153" t="s">
        <v>1448</v>
      </c>
      <c r="F384" s="153"/>
      <c r="G384" s="153" t="s">
        <v>1450</v>
      </c>
      <c r="H384" s="153" t="s">
        <v>1597</v>
      </c>
      <c r="I384" s="153" t="s">
        <v>2635</v>
      </c>
      <c r="J384" s="153" t="s">
        <v>359</v>
      </c>
      <c r="K384" s="153" t="s">
        <v>1330</v>
      </c>
      <c r="L384" s="153"/>
      <c r="M384" s="153"/>
      <c r="N384" s="153"/>
      <c r="P384" s="153"/>
      <c r="R384" s="153"/>
      <c r="S384" s="153"/>
    </row>
    <row r="385" spans="1:19" s="58" customFormat="1" ht="18" customHeight="1">
      <c r="A385" s="153">
        <v>785</v>
      </c>
      <c r="B385" s="153" t="s">
        <v>1446</v>
      </c>
      <c r="C385" s="153" t="s">
        <v>1451</v>
      </c>
      <c r="D385" s="168"/>
      <c r="E385" s="153" t="s">
        <v>1448</v>
      </c>
      <c r="F385" s="153"/>
      <c r="G385" s="153" t="s">
        <v>1451</v>
      </c>
      <c r="H385" s="153" t="s">
        <v>1597</v>
      </c>
      <c r="I385" s="153" t="s">
        <v>2635</v>
      </c>
      <c r="J385" s="153" t="s">
        <v>359</v>
      </c>
      <c r="K385" s="153" t="s">
        <v>1330</v>
      </c>
      <c r="L385" s="153"/>
      <c r="M385" s="153"/>
      <c r="N385" s="153"/>
      <c r="P385" s="153"/>
      <c r="R385" s="153"/>
      <c r="S385" s="153"/>
    </row>
    <row r="386" spans="1:19" s="58" customFormat="1" ht="18" customHeight="1">
      <c r="A386" s="153">
        <v>786</v>
      </c>
      <c r="B386" s="153" t="s">
        <v>1446</v>
      </c>
      <c r="C386" s="153" t="s">
        <v>1452</v>
      </c>
      <c r="D386" s="168"/>
      <c r="E386" s="153" t="s">
        <v>1448</v>
      </c>
      <c r="F386" s="153"/>
      <c r="G386" s="153" t="s">
        <v>1452</v>
      </c>
      <c r="H386" s="153" t="s">
        <v>1597</v>
      </c>
      <c r="I386" s="153" t="s">
        <v>2635</v>
      </c>
      <c r="J386" s="153" t="s">
        <v>359</v>
      </c>
      <c r="K386" s="153" t="s">
        <v>1330</v>
      </c>
      <c r="L386" s="153"/>
      <c r="M386" s="153"/>
      <c r="N386" s="153"/>
      <c r="P386" s="153"/>
      <c r="R386" s="153"/>
      <c r="S386" s="153"/>
    </row>
    <row r="387" spans="1:19" s="58" customFormat="1" ht="18" customHeight="1">
      <c r="A387" s="153">
        <v>632</v>
      </c>
      <c r="B387" s="153" t="s">
        <v>1586</v>
      </c>
      <c r="C387" s="153" t="s">
        <v>1390</v>
      </c>
      <c r="D387" s="168"/>
      <c r="E387" s="153" t="s">
        <v>1391</v>
      </c>
      <c r="F387" s="153"/>
      <c r="G387" s="153" t="s">
        <v>1390</v>
      </c>
      <c r="H387" s="153" t="s">
        <v>1597</v>
      </c>
      <c r="I387" s="153"/>
      <c r="J387" s="153" t="s">
        <v>351</v>
      </c>
      <c r="K387" s="153" t="s">
        <v>1330</v>
      </c>
      <c r="L387" s="153"/>
      <c r="M387" s="153"/>
      <c r="N387" s="153"/>
      <c r="P387" s="153"/>
      <c r="R387" s="153"/>
      <c r="S387" s="153"/>
    </row>
    <row r="388" spans="1:19" s="58" customFormat="1" ht="18" customHeight="1">
      <c r="A388" s="153">
        <v>633</v>
      </c>
      <c r="B388" s="153" t="s">
        <v>1586</v>
      </c>
      <c r="C388" s="153" t="s">
        <v>362</v>
      </c>
      <c r="D388" s="168"/>
      <c r="E388" s="153" t="s">
        <v>1391</v>
      </c>
      <c r="F388" s="153"/>
      <c r="G388" s="153" t="s">
        <v>362</v>
      </c>
      <c r="H388" s="153" t="s">
        <v>1597</v>
      </c>
      <c r="I388" s="153"/>
      <c r="J388" s="153" t="s">
        <v>351</v>
      </c>
      <c r="K388" s="153" t="s">
        <v>1330</v>
      </c>
      <c r="L388" s="153"/>
      <c r="M388" s="153"/>
      <c r="N388" s="153"/>
      <c r="P388" s="153"/>
      <c r="R388" s="153"/>
      <c r="S388" s="153"/>
    </row>
    <row r="389" spans="1:19" s="58" customFormat="1" ht="18" customHeight="1">
      <c r="A389" s="153">
        <v>634</v>
      </c>
      <c r="B389" s="153" t="s">
        <v>1586</v>
      </c>
      <c r="C389" s="153" t="s">
        <v>206</v>
      </c>
      <c r="D389" s="168"/>
      <c r="E389" s="153" t="s">
        <v>1391</v>
      </c>
      <c r="F389" s="153"/>
      <c r="G389" s="153" t="s">
        <v>206</v>
      </c>
      <c r="H389" s="153" t="s">
        <v>1597</v>
      </c>
      <c r="I389" s="153"/>
      <c r="J389" s="153" t="s">
        <v>351</v>
      </c>
      <c r="K389" s="153" t="s">
        <v>1330</v>
      </c>
      <c r="L389" s="153"/>
      <c r="M389" s="153"/>
      <c r="N389" s="153"/>
      <c r="P389" s="153"/>
      <c r="R389" s="153"/>
      <c r="S389" s="153"/>
    </row>
    <row r="390" spans="1:19" s="58" customFormat="1" ht="18" customHeight="1">
      <c r="A390" s="153">
        <v>635</v>
      </c>
      <c r="B390" s="153" t="s">
        <v>1586</v>
      </c>
      <c r="C390" s="153" t="s">
        <v>718</v>
      </c>
      <c r="D390" s="168"/>
      <c r="E390" s="153" t="s">
        <v>1391</v>
      </c>
      <c r="F390" s="153"/>
      <c r="G390" s="153" t="s">
        <v>718</v>
      </c>
      <c r="H390" s="153" t="s">
        <v>1597</v>
      </c>
      <c r="I390" s="153"/>
      <c r="J390" s="153" t="s">
        <v>351</v>
      </c>
      <c r="K390" s="153" t="s">
        <v>1330</v>
      </c>
      <c r="L390" s="153"/>
      <c r="M390" s="153"/>
      <c r="N390" s="153"/>
      <c r="P390" s="153"/>
      <c r="R390" s="153"/>
      <c r="S390" s="153"/>
    </row>
    <row r="391" spans="1:19" s="58" customFormat="1" ht="18" customHeight="1">
      <c r="A391" s="153">
        <v>636</v>
      </c>
      <c r="B391" s="153" t="s">
        <v>1586</v>
      </c>
      <c r="C391" s="153" t="s">
        <v>650</v>
      </c>
      <c r="D391" s="168"/>
      <c r="E391" s="153" t="s">
        <v>1391</v>
      </c>
      <c r="F391" s="153"/>
      <c r="G391" s="153" t="s">
        <v>650</v>
      </c>
      <c r="H391" s="153" t="s">
        <v>1597</v>
      </c>
      <c r="I391" s="153"/>
      <c r="J391" s="153" t="s">
        <v>351</v>
      </c>
      <c r="K391" s="153" t="s">
        <v>1330</v>
      </c>
      <c r="L391" s="153"/>
      <c r="M391" s="153"/>
      <c r="N391" s="153"/>
      <c r="P391" s="153"/>
      <c r="R391" s="153"/>
      <c r="S391" s="153"/>
    </row>
    <row r="392" spans="1:19" s="58" customFormat="1" ht="18" customHeight="1">
      <c r="A392" s="153">
        <v>921</v>
      </c>
      <c r="B392" s="153" t="s">
        <v>1454</v>
      </c>
      <c r="C392" s="153" t="s">
        <v>1455</v>
      </c>
      <c r="D392" s="168"/>
      <c r="E392" s="153" t="s">
        <v>1456</v>
      </c>
      <c r="F392" s="153"/>
      <c r="G392" s="153" t="s">
        <v>1455</v>
      </c>
      <c r="H392" s="153" t="s">
        <v>1597</v>
      </c>
      <c r="I392" s="153" t="s">
        <v>2638</v>
      </c>
      <c r="J392" s="153" t="s">
        <v>359</v>
      </c>
      <c r="K392" s="153" t="s">
        <v>1330</v>
      </c>
      <c r="L392" s="153"/>
      <c r="M392" s="153"/>
      <c r="N392" s="153"/>
      <c r="P392" s="153"/>
      <c r="R392" s="153"/>
      <c r="S392" s="153"/>
    </row>
    <row r="393" spans="1:19" s="58" customFormat="1" ht="18" customHeight="1">
      <c r="A393" s="153">
        <v>922</v>
      </c>
      <c r="B393" s="153" t="s">
        <v>1454</v>
      </c>
      <c r="C393" s="153" t="s">
        <v>1457</v>
      </c>
      <c r="D393" s="168"/>
      <c r="E393" s="153" t="s">
        <v>1456</v>
      </c>
      <c r="F393" s="153"/>
      <c r="G393" s="153" t="s">
        <v>1457</v>
      </c>
      <c r="H393" s="153" t="s">
        <v>1597</v>
      </c>
      <c r="I393" s="153" t="s">
        <v>2638</v>
      </c>
      <c r="J393" s="153" t="s">
        <v>359</v>
      </c>
      <c r="K393" s="153" t="s">
        <v>1330</v>
      </c>
      <c r="L393" s="153"/>
      <c r="M393" s="153"/>
      <c r="N393" s="153"/>
      <c r="P393" s="153"/>
      <c r="R393" s="153"/>
      <c r="S393" s="153"/>
    </row>
    <row r="394" spans="1:19" s="58" customFormat="1" ht="18" customHeight="1">
      <c r="A394" s="153">
        <v>923</v>
      </c>
      <c r="B394" s="153" t="s">
        <v>1454</v>
      </c>
      <c r="C394" s="153" t="s">
        <v>1458</v>
      </c>
      <c r="D394" s="168"/>
      <c r="E394" s="153" t="s">
        <v>1456</v>
      </c>
      <c r="F394" s="153"/>
      <c r="G394" s="153" t="s">
        <v>1458</v>
      </c>
      <c r="H394" s="153" t="s">
        <v>1597</v>
      </c>
      <c r="I394" s="153" t="s">
        <v>2638</v>
      </c>
      <c r="J394" s="153" t="s">
        <v>359</v>
      </c>
      <c r="K394" s="153" t="s">
        <v>1330</v>
      </c>
      <c r="L394" s="153"/>
      <c r="M394" s="153"/>
      <c r="N394" s="153"/>
      <c r="P394" s="153"/>
      <c r="R394" s="153"/>
      <c r="S394" s="153"/>
    </row>
    <row r="395" spans="1:19" s="58" customFormat="1" ht="18" customHeight="1">
      <c r="A395" s="153">
        <v>924</v>
      </c>
      <c r="B395" s="153" t="s">
        <v>1454</v>
      </c>
      <c r="C395" s="153" t="s">
        <v>1459</v>
      </c>
      <c r="D395" s="168"/>
      <c r="E395" s="153" t="s">
        <v>1456</v>
      </c>
      <c r="F395" s="153"/>
      <c r="G395" s="153" t="s">
        <v>1459</v>
      </c>
      <c r="H395" s="153" t="s">
        <v>1597</v>
      </c>
      <c r="I395" s="153" t="s">
        <v>2638</v>
      </c>
      <c r="J395" s="153" t="s">
        <v>359</v>
      </c>
      <c r="K395" s="153" t="s">
        <v>1330</v>
      </c>
      <c r="L395" s="153"/>
      <c r="M395" s="153"/>
      <c r="N395" s="153"/>
      <c r="P395" s="153"/>
      <c r="R395" s="153"/>
      <c r="S395" s="153"/>
    </row>
    <row r="396" spans="1:19" s="58" customFormat="1" ht="18" customHeight="1">
      <c r="A396" s="153">
        <v>925</v>
      </c>
      <c r="B396" s="153" t="s">
        <v>1454</v>
      </c>
      <c r="C396" s="153" t="s">
        <v>1460</v>
      </c>
      <c r="D396" s="168"/>
      <c r="E396" s="153" t="s">
        <v>1456</v>
      </c>
      <c r="F396" s="153"/>
      <c r="G396" s="153" t="s">
        <v>1460</v>
      </c>
      <c r="H396" s="153" t="s">
        <v>1597</v>
      </c>
      <c r="I396" s="153" t="s">
        <v>2638</v>
      </c>
      <c r="J396" s="153" t="s">
        <v>359</v>
      </c>
      <c r="K396" s="153" t="s">
        <v>1330</v>
      </c>
      <c r="L396" s="153"/>
      <c r="M396" s="153"/>
      <c r="N396" s="153"/>
      <c r="P396" s="153"/>
      <c r="R396" s="153"/>
      <c r="S396" s="153"/>
    </row>
    <row r="397" spans="1:19" s="58" customFormat="1" ht="18" customHeight="1">
      <c r="A397" s="153">
        <v>926</v>
      </c>
      <c r="B397" s="153" t="s">
        <v>1461</v>
      </c>
      <c r="C397" s="153" t="s">
        <v>1462</v>
      </c>
      <c r="D397" s="168"/>
      <c r="E397" s="153" t="s">
        <v>1463</v>
      </c>
      <c r="F397" s="153"/>
      <c r="G397" s="153" t="s">
        <v>1462</v>
      </c>
      <c r="H397" s="153" t="s">
        <v>1597</v>
      </c>
      <c r="I397" s="153" t="s">
        <v>2639</v>
      </c>
      <c r="J397" s="153" t="s">
        <v>359</v>
      </c>
      <c r="K397" s="153" t="s">
        <v>1330</v>
      </c>
      <c r="L397" s="153"/>
      <c r="M397" s="153"/>
      <c r="N397" s="153"/>
      <c r="P397" s="153"/>
      <c r="R397" s="153"/>
      <c r="S397" s="153"/>
    </row>
    <row r="398" spans="1:19" s="58" customFormat="1" ht="18" customHeight="1">
      <c r="A398" s="153">
        <v>927</v>
      </c>
      <c r="B398" s="153" t="s">
        <v>1461</v>
      </c>
      <c r="C398" s="153" t="s">
        <v>1464</v>
      </c>
      <c r="D398" s="168"/>
      <c r="E398" s="153" t="s">
        <v>1463</v>
      </c>
      <c r="F398" s="153"/>
      <c r="G398" s="153" t="s">
        <v>1464</v>
      </c>
      <c r="H398" s="153" t="s">
        <v>1597</v>
      </c>
      <c r="I398" s="153" t="s">
        <v>2639</v>
      </c>
      <c r="J398" s="153" t="s">
        <v>359</v>
      </c>
      <c r="K398" s="153" t="s">
        <v>1330</v>
      </c>
      <c r="L398" s="153"/>
      <c r="M398" s="153"/>
      <c r="N398" s="153"/>
      <c r="P398" s="153"/>
      <c r="R398" s="153"/>
      <c r="S398" s="153"/>
    </row>
    <row r="399" spans="1:19" s="58" customFormat="1" ht="18" customHeight="1">
      <c r="A399" s="153">
        <v>928</v>
      </c>
      <c r="B399" s="153" t="s">
        <v>1461</v>
      </c>
      <c r="C399" s="153" t="s">
        <v>875</v>
      </c>
      <c r="D399" s="168"/>
      <c r="E399" s="153" t="s">
        <v>1463</v>
      </c>
      <c r="F399" s="153"/>
      <c r="G399" s="153" t="s">
        <v>875</v>
      </c>
      <c r="H399" s="153" t="s">
        <v>1597</v>
      </c>
      <c r="I399" s="153" t="s">
        <v>2639</v>
      </c>
      <c r="J399" s="153" t="s">
        <v>359</v>
      </c>
      <c r="K399" s="153" t="s">
        <v>1330</v>
      </c>
      <c r="L399" s="153"/>
      <c r="M399" s="153"/>
      <c r="N399" s="153"/>
      <c r="P399" s="153"/>
      <c r="R399" s="153"/>
      <c r="S399" s="153"/>
    </row>
    <row r="400" spans="1:19" s="58" customFormat="1" ht="18" customHeight="1">
      <c r="A400" s="153">
        <v>929</v>
      </c>
      <c r="B400" s="153" t="s">
        <v>1461</v>
      </c>
      <c r="C400" s="153" t="s">
        <v>1465</v>
      </c>
      <c r="D400" s="168"/>
      <c r="E400" s="153" t="s">
        <v>1463</v>
      </c>
      <c r="F400" s="153"/>
      <c r="G400" s="153" t="s">
        <v>1465</v>
      </c>
      <c r="H400" s="153" t="s">
        <v>1597</v>
      </c>
      <c r="I400" s="153" t="s">
        <v>2639</v>
      </c>
      <c r="J400" s="153" t="s">
        <v>359</v>
      </c>
      <c r="K400" s="153" t="s">
        <v>1330</v>
      </c>
      <c r="L400" s="153"/>
      <c r="M400" s="153"/>
      <c r="N400" s="153"/>
      <c r="P400" s="153"/>
      <c r="R400" s="153"/>
      <c r="S400" s="153"/>
    </row>
    <row r="401" spans="1:19" s="58" customFormat="1" ht="18" customHeight="1">
      <c r="A401" s="153">
        <v>930</v>
      </c>
      <c r="B401" s="153" t="s">
        <v>1461</v>
      </c>
      <c r="C401" s="153" t="s">
        <v>1466</v>
      </c>
      <c r="D401" s="168"/>
      <c r="E401" s="153" t="s">
        <v>1463</v>
      </c>
      <c r="F401" s="153"/>
      <c r="G401" s="153" t="s">
        <v>1466</v>
      </c>
      <c r="H401" s="153" t="s">
        <v>1597</v>
      </c>
      <c r="I401" s="153" t="s">
        <v>2639</v>
      </c>
      <c r="J401" s="153" t="s">
        <v>359</v>
      </c>
      <c r="K401" s="153" t="s">
        <v>1330</v>
      </c>
      <c r="L401" s="153"/>
      <c r="M401" s="153"/>
      <c r="N401" s="153"/>
      <c r="P401" s="153"/>
      <c r="R401" s="153"/>
      <c r="S401" s="153"/>
    </row>
    <row r="402" spans="1:19" s="58" customFormat="1" ht="18" customHeight="1">
      <c r="A402" s="153">
        <v>931</v>
      </c>
      <c r="B402" s="153" t="s">
        <v>1467</v>
      </c>
      <c r="C402" s="153" t="s">
        <v>1468</v>
      </c>
      <c r="D402" s="168"/>
      <c r="E402" s="153" t="s">
        <v>1469</v>
      </c>
      <c r="F402" s="153"/>
      <c r="G402" s="153" t="s">
        <v>1468</v>
      </c>
      <c r="H402" s="153" t="s">
        <v>1597</v>
      </c>
      <c r="I402" s="153" t="s">
        <v>2640</v>
      </c>
      <c r="J402" s="153" t="s">
        <v>359</v>
      </c>
      <c r="K402" s="153" t="s">
        <v>1330</v>
      </c>
      <c r="L402" s="153"/>
      <c r="M402" s="153"/>
      <c r="N402" s="153"/>
      <c r="P402" s="153"/>
      <c r="R402" s="153"/>
      <c r="S402" s="153"/>
    </row>
    <row r="403" spans="1:19" s="58" customFormat="1" ht="18" customHeight="1">
      <c r="A403" s="153">
        <v>932</v>
      </c>
      <c r="B403" s="153" t="s">
        <v>1467</v>
      </c>
      <c r="C403" s="153" t="s">
        <v>1470</v>
      </c>
      <c r="D403" s="168"/>
      <c r="E403" s="153" t="s">
        <v>1469</v>
      </c>
      <c r="F403" s="153"/>
      <c r="G403" s="153" t="s">
        <v>1470</v>
      </c>
      <c r="H403" s="153" t="s">
        <v>1597</v>
      </c>
      <c r="I403" s="153" t="s">
        <v>2640</v>
      </c>
      <c r="J403" s="153" t="s">
        <v>359</v>
      </c>
      <c r="K403" s="153" t="s">
        <v>1330</v>
      </c>
      <c r="L403" s="153"/>
      <c r="M403" s="153"/>
      <c r="N403" s="153"/>
      <c r="P403" s="153"/>
      <c r="R403" s="153"/>
      <c r="S403" s="153"/>
    </row>
    <row r="404" spans="1:19" s="58" customFormat="1" ht="18" customHeight="1">
      <c r="A404" s="153">
        <v>933</v>
      </c>
      <c r="B404" s="153" t="s">
        <v>1467</v>
      </c>
      <c r="C404" s="153" t="s">
        <v>1471</v>
      </c>
      <c r="D404" s="168"/>
      <c r="E404" s="153" t="s">
        <v>1469</v>
      </c>
      <c r="F404" s="153"/>
      <c r="G404" s="153" t="s">
        <v>1471</v>
      </c>
      <c r="H404" s="153" t="s">
        <v>1597</v>
      </c>
      <c r="I404" s="153" t="s">
        <v>2640</v>
      </c>
      <c r="J404" s="153" t="s">
        <v>359</v>
      </c>
      <c r="K404" s="153" t="s">
        <v>1330</v>
      </c>
      <c r="L404" s="153"/>
      <c r="M404" s="153"/>
      <c r="N404" s="153"/>
      <c r="P404" s="153"/>
      <c r="R404" s="153"/>
      <c r="S404" s="153"/>
    </row>
    <row r="405" spans="1:19" s="58" customFormat="1" ht="18" customHeight="1">
      <c r="A405" s="153">
        <v>934</v>
      </c>
      <c r="B405" s="153" t="s">
        <v>1467</v>
      </c>
      <c r="C405" s="153" t="s">
        <v>1472</v>
      </c>
      <c r="D405" s="168"/>
      <c r="E405" s="153" t="s">
        <v>1469</v>
      </c>
      <c r="F405" s="153"/>
      <c r="G405" s="153" t="s">
        <v>1472</v>
      </c>
      <c r="H405" s="153" t="s">
        <v>1597</v>
      </c>
      <c r="I405" s="153" t="s">
        <v>2640</v>
      </c>
      <c r="J405" s="153" t="s">
        <v>359</v>
      </c>
      <c r="K405" s="153" t="s">
        <v>1330</v>
      </c>
      <c r="L405" s="153"/>
      <c r="M405" s="153"/>
      <c r="N405" s="153"/>
      <c r="P405" s="153"/>
      <c r="R405" s="153"/>
      <c r="S405" s="153"/>
    </row>
    <row r="406" spans="1:19" s="58" customFormat="1" ht="18" customHeight="1">
      <c r="A406" s="153">
        <v>935</v>
      </c>
      <c r="B406" s="153" t="s">
        <v>1467</v>
      </c>
      <c r="C406" s="153" t="s">
        <v>1473</v>
      </c>
      <c r="D406" s="168"/>
      <c r="E406" s="153" t="s">
        <v>1469</v>
      </c>
      <c r="F406" s="153"/>
      <c r="G406" s="153" t="s">
        <v>1473</v>
      </c>
      <c r="H406" s="153" t="s">
        <v>1597</v>
      </c>
      <c r="I406" s="153" t="s">
        <v>2640</v>
      </c>
      <c r="J406" s="153" t="s">
        <v>359</v>
      </c>
      <c r="K406" s="153" t="s">
        <v>1330</v>
      </c>
      <c r="L406" s="153"/>
      <c r="M406" s="153"/>
      <c r="N406" s="153"/>
      <c r="P406" s="153"/>
      <c r="R406" s="153"/>
      <c r="S406" s="153"/>
    </row>
    <row r="407" spans="1:19" s="58" customFormat="1" ht="18" customHeight="1">
      <c r="A407" s="153">
        <v>958</v>
      </c>
      <c r="B407" s="153" t="s">
        <v>1483</v>
      </c>
      <c r="C407" s="153" t="s">
        <v>1484</v>
      </c>
      <c r="D407" s="168"/>
      <c r="E407" s="153" t="s">
        <v>1485</v>
      </c>
      <c r="F407" s="153"/>
      <c r="G407" s="153" t="s">
        <v>1484</v>
      </c>
      <c r="H407" s="153" t="s">
        <v>1597</v>
      </c>
      <c r="I407" s="153" t="s">
        <v>2644</v>
      </c>
      <c r="J407" s="153" t="s">
        <v>359</v>
      </c>
      <c r="K407" s="153" t="s">
        <v>1330</v>
      </c>
      <c r="L407" s="153"/>
      <c r="M407" s="153"/>
      <c r="N407" s="153"/>
      <c r="P407" s="153"/>
      <c r="R407" s="153"/>
      <c r="S407" s="153"/>
    </row>
    <row r="408" spans="1:19" s="58" customFormat="1" ht="18" customHeight="1">
      <c r="A408" s="153">
        <v>959</v>
      </c>
      <c r="B408" s="153" t="s">
        <v>1483</v>
      </c>
      <c r="C408" s="153" t="s">
        <v>1486</v>
      </c>
      <c r="D408" s="168"/>
      <c r="E408" s="153" t="s">
        <v>1485</v>
      </c>
      <c r="F408" s="153"/>
      <c r="G408" s="153" t="s">
        <v>1486</v>
      </c>
      <c r="H408" s="153" t="s">
        <v>1597</v>
      </c>
      <c r="I408" s="153" t="s">
        <v>2644</v>
      </c>
      <c r="J408" s="153" t="s">
        <v>359</v>
      </c>
      <c r="K408" s="153" t="s">
        <v>1330</v>
      </c>
      <c r="L408" s="153"/>
      <c r="M408" s="153"/>
      <c r="N408" s="153"/>
      <c r="P408" s="153"/>
      <c r="R408" s="153"/>
      <c r="S408" s="153"/>
    </row>
    <row r="409" spans="1:19" s="58" customFormat="1" ht="18" customHeight="1">
      <c r="A409" s="153">
        <v>960</v>
      </c>
      <c r="B409" s="153" t="s">
        <v>1483</v>
      </c>
      <c r="C409" s="153" t="s">
        <v>1487</v>
      </c>
      <c r="D409" s="168"/>
      <c r="E409" s="153" t="s">
        <v>1485</v>
      </c>
      <c r="F409" s="153"/>
      <c r="G409" s="153" t="s">
        <v>1487</v>
      </c>
      <c r="H409" s="153" t="s">
        <v>1597</v>
      </c>
      <c r="I409" s="153" t="s">
        <v>2644</v>
      </c>
      <c r="J409" s="153" t="s">
        <v>359</v>
      </c>
      <c r="K409" s="153" t="s">
        <v>1330</v>
      </c>
      <c r="L409" s="153"/>
      <c r="M409" s="153"/>
      <c r="N409" s="153"/>
      <c r="P409" s="153"/>
      <c r="R409" s="153"/>
      <c r="S409" s="153"/>
    </row>
    <row r="410" spans="1:19" s="58" customFormat="1" ht="18" customHeight="1">
      <c r="A410" s="153">
        <v>961</v>
      </c>
      <c r="B410" s="153" t="s">
        <v>1483</v>
      </c>
      <c r="C410" s="153" t="s">
        <v>1488</v>
      </c>
      <c r="D410" s="168"/>
      <c r="E410" s="153" t="s">
        <v>1485</v>
      </c>
      <c r="F410" s="153"/>
      <c r="G410" s="153" t="s">
        <v>1488</v>
      </c>
      <c r="H410" s="153" t="s">
        <v>1597</v>
      </c>
      <c r="I410" s="153" t="s">
        <v>2644</v>
      </c>
      <c r="J410" s="153" t="s">
        <v>359</v>
      </c>
      <c r="K410" s="153" t="s">
        <v>1330</v>
      </c>
      <c r="L410" s="153"/>
      <c r="M410" s="153"/>
      <c r="N410" s="153"/>
      <c r="P410" s="153"/>
      <c r="R410" s="153"/>
      <c r="S410" s="153"/>
    </row>
    <row r="411" spans="1:19" s="58" customFormat="1" ht="18" customHeight="1">
      <c r="A411" s="153">
        <v>962</v>
      </c>
      <c r="B411" s="153" t="s">
        <v>1483</v>
      </c>
      <c r="C411" s="153" t="s">
        <v>1489</v>
      </c>
      <c r="D411" s="168"/>
      <c r="E411" s="153" t="s">
        <v>1485</v>
      </c>
      <c r="F411" s="153"/>
      <c r="G411" s="153" t="s">
        <v>1489</v>
      </c>
      <c r="H411" s="153" t="s">
        <v>1597</v>
      </c>
      <c r="I411" s="153" t="s">
        <v>2644</v>
      </c>
      <c r="J411" s="153" t="s">
        <v>359</v>
      </c>
      <c r="K411" s="153" t="s">
        <v>1330</v>
      </c>
      <c r="L411" s="153"/>
      <c r="M411" s="153"/>
      <c r="N411" s="153"/>
      <c r="P411" s="153"/>
      <c r="R411" s="153"/>
      <c r="S411" s="153"/>
    </row>
    <row r="412" spans="1:19" s="58" customFormat="1" ht="18" customHeight="1">
      <c r="A412" s="153">
        <v>488</v>
      </c>
      <c r="B412" s="153" t="s">
        <v>599</v>
      </c>
      <c r="C412" s="153">
        <v>10</v>
      </c>
      <c r="D412" s="168">
        <v>0</v>
      </c>
      <c r="E412" s="153" t="s">
        <v>58</v>
      </c>
      <c r="F412" s="153"/>
      <c r="G412" s="153">
        <v>10</v>
      </c>
      <c r="H412" s="153" t="s">
        <v>1616</v>
      </c>
      <c r="I412" s="153" t="s">
        <v>2646</v>
      </c>
      <c r="J412" s="153" t="s">
        <v>351</v>
      </c>
      <c r="K412" s="153" t="s">
        <v>84</v>
      </c>
      <c r="L412" s="153" t="s">
        <v>2707</v>
      </c>
      <c r="M412" s="153">
        <v>10</v>
      </c>
      <c r="N412" s="153"/>
      <c r="O412" s="58" t="s">
        <v>2927</v>
      </c>
      <c r="P412" s="153"/>
      <c r="Q412" s="58">
        <v>605</v>
      </c>
      <c r="R412" s="153"/>
      <c r="S412" s="153"/>
    </row>
    <row r="413" spans="1:19" s="58" customFormat="1" ht="18" customHeight="1">
      <c r="A413" s="153">
        <v>489</v>
      </c>
      <c r="B413" s="153" t="s">
        <v>599</v>
      </c>
      <c r="C413" s="153">
        <v>25</v>
      </c>
      <c r="D413" s="168">
        <v>0</v>
      </c>
      <c r="E413" s="153" t="s">
        <v>58</v>
      </c>
      <c r="F413" s="153"/>
      <c r="G413" s="153">
        <v>25</v>
      </c>
      <c r="H413" s="153" t="s">
        <v>600</v>
      </c>
      <c r="I413" s="153" t="s">
        <v>2646</v>
      </c>
      <c r="J413" s="153" t="s">
        <v>351</v>
      </c>
      <c r="K413" s="153" t="s">
        <v>84</v>
      </c>
      <c r="L413" s="153" t="s">
        <v>2707</v>
      </c>
      <c r="M413" s="153">
        <v>25</v>
      </c>
      <c r="N413" s="153"/>
      <c r="O413" s="58" t="s">
        <v>2927</v>
      </c>
      <c r="P413" s="153"/>
      <c r="Q413" s="58">
        <v>606</v>
      </c>
      <c r="R413" s="153"/>
      <c r="S413" s="153"/>
    </row>
    <row r="414" spans="1:19" s="58" customFormat="1" ht="18" customHeight="1">
      <c r="A414" s="153">
        <v>490</v>
      </c>
      <c r="B414" s="153" t="s">
        <v>599</v>
      </c>
      <c r="C414" s="153">
        <v>50</v>
      </c>
      <c r="D414" s="168">
        <v>0</v>
      </c>
      <c r="E414" s="153" t="s">
        <v>58</v>
      </c>
      <c r="F414" s="153"/>
      <c r="G414" s="153">
        <v>50</v>
      </c>
      <c r="H414" s="153" t="s">
        <v>600</v>
      </c>
      <c r="I414" s="153" t="s">
        <v>2646</v>
      </c>
      <c r="J414" s="153" t="s">
        <v>351</v>
      </c>
      <c r="K414" s="153" t="s">
        <v>84</v>
      </c>
      <c r="L414" s="153" t="s">
        <v>2707</v>
      </c>
      <c r="M414" s="153">
        <v>50</v>
      </c>
      <c r="N414" s="153"/>
      <c r="O414" s="58" t="s">
        <v>2927</v>
      </c>
      <c r="P414" s="153"/>
      <c r="Q414" s="58">
        <v>607</v>
      </c>
      <c r="R414" s="153"/>
      <c r="S414" s="153"/>
    </row>
    <row r="415" spans="1:19" s="58" customFormat="1" ht="18" customHeight="1">
      <c r="A415" s="153">
        <v>491</v>
      </c>
      <c r="B415" s="153" t="s">
        <v>599</v>
      </c>
      <c r="C415" s="153">
        <v>75</v>
      </c>
      <c r="D415" s="168">
        <v>0</v>
      </c>
      <c r="E415" s="153" t="s">
        <v>58</v>
      </c>
      <c r="F415" s="153"/>
      <c r="G415" s="153">
        <v>75</v>
      </c>
      <c r="H415" s="153" t="s">
        <v>600</v>
      </c>
      <c r="I415" s="153" t="s">
        <v>2646</v>
      </c>
      <c r="J415" s="153" t="s">
        <v>351</v>
      </c>
      <c r="K415" s="153" t="s">
        <v>84</v>
      </c>
      <c r="L415" s="153" t="s">
        <v>2707</v>
      </c>
      <c r="M415" s="153">
        <v>75</v>
      </c>
      <c r="N415" s="153"/>
      <c r="O415" s="58" t="s">
        <v>2927</v>
      </c>
      <c r="P415" s="153"/>
      <c r="Q415" s="58">
        <v>608</v>
      </c>
      <c r="R415" s="153"/>
      <c r="S415" s="153"/>
    </row>
    <row r="416" spans="1:19" s="58" customFormat="1" ht="18" customHeight="1">
      <c r="A416" s="153">
        <v>492</v>
      </c>
      <c r="B416" s="153" t="s">
        <v>599</v>
      </c>
      <c r="C416" s="153">
        <v>100</v>
      </c>
      <c r="D416" s="168">
        <v>0</v>
      </c>
      <c r="E416" s="153" t="s">
        <v>58</v>
      </c>
      <c r="F416" s="153"/>
      <c r="G416" s="153">
        <v>100</v>
      </c>
      <c r="H416" s="153" t="s">
        <v>600</v>
      </c>
      <c r="I416" s="153" t="s">
        <v>2646</v>
      </c>
      <c r="J416" s="153" t="s">
        <v>351</v>
      </c>
      <c r="K416" s="153" t="s">
        <v>84</v>
      </c>
      <c r="L416" s="153" t="s">
        <v>2707</v>
      </c>
      <c r="M416" s="153">
        <v>100</v>
      </c>
      <c r="N416" s="153"/>
      <c r="O416" s="58" t="s">
        <v>2927</v>
      </c>
      <c r="P416" s="153"/>
      <c r="Q416" s="58">
        <v>609</v>
      </c>
      <c r="R416" s="153"/>
      <c r="S416" s="153"/>
    </row>
    <row r="417" spans="1:19" s="58" customFormat="1" ht="18" customHeight="1">
      <c r="A417" s="153">
        <v>52</v>
      </c>
      <c r="B417" s="153" t="s">
        <v>355</v>
      </c>
      <c r="C417" s="153" t="s">
        <v>482</v>
      </c>
      <c r="D417" s="168">
        <v>1</v>
      </c>
      <c r="E417" s="153" t="s">
        <v>518</v>
      </c>
      <c r="F417" s="153"/>
      <c r="G417" s="153" t="s">
        <v>482</v>
      </c>
      <c r="H417" s="153" t="s">
        <v>1601</v>
      </c>
      <c r="I417" s="153" t="s">
        <v>2646</v>
      </c>
      <c r="J417" s="153" t="s">
        <v>351</v>
      </c>
      <c r="K417" s="153" t="s">
        <v>1595</v>
      </c>
      <c r="L417" s="153" t="s">
        <v>355</v>
      </c>
      <c r="M417" s="153" t="s">
        <v>482</v>
      </c>
      <c r="N417" s="153" t="s">
        <v>2793</v>
      </c>
      <c r="P417" s="153">
        <v>373</v>
      </c>
      <c r="R417" s="153"/>
      <c r="S417" s="153"/>
    </row>
    <row r="418" spans="1:19" s="58" customFormat="1" ht="18" customHeight="1">
      <c r="A418" s="153">
        <v>53</v>
      </c>
      <c r="B418" s="153" t="s">
        <v>355</v>
      </c>
      <c r="C418" s="153" t="s">
        <v>519</v>
      </c>
      <c r="D418" s="168">
        <v>2</v>
      </c>
      <c r="E418" s="153" t="s">
        <v>518</v>
      </c>
      <c r="F418" s="153"/>
      <c r="G418" s="153" t="s">
        <v>519</v>
      </c>
      <c r="H418" s="153" t="s">
        <v>1601</v>
      </c>
      <c r="I418" s="153" t="s">
        <v>2646</v>
      </c>
      <c r="J418" s="153" t="s">
        <v>351</v>
      </c>
      <c r="K418" s="153" t="s">
        <v>1595</v>
      </c>
      <c r="L418" s="153" t="s">
        <v>355</v>
      </c>
      <c r="M418" s="153" t="s">
        <v>519</v>
      </c>
      <c r="N418" s="153" t="s">
        <v>2793</v>
      </c>
      <c r="P418" s="153">
        <v>374</v>
      </c>
      <c r="R418" s="153"/>
      <c r="S418" s="153"/>
    </row>
    <row r="419" spans="1:19" s="58" customFormat="1" ht="18" customHeight="1">
      <c r="A419" s="153">
        <v>54</v>
      </c>
      <c r="B419" s="153" t="s">
        <v>355</v>
      </c>
      <c r="C419" s="153" t="s">
        <v>520</v>
      </c>
      <c r="D419" s="168">
        <v>3</v>
      </c>
      <c r="E419" s="153" t="s">
        <v>518</v>
      </c>
      <c r="F419" s="153"/>
      <c r="G419" s="153" t="s">
        <v>520</v>
      </c>
      <c r="H419" s="153" t="s">
        <v>1601</v>
      </c>
      <c r="I419" s="153" t="s">
        <v>2646</v>
      </c>
      <c r="J419" s="153" t="s">
        <v>351</v>
      </c>
      <c r="K419" s="153" t="s">
        <v>1595</v>
      </c>
      <c r="L419" s="153" t="s">
        <v>355</v>
      </c>
      <c r="M419" s="153" t="s">
        <v>520</v>
      </c>
      <c r="N419" s="153" t="s">
        <v>2793</v>
      </c>
      <c r="P419" s="153">
        <v>375</v>
      </c>
      <c r="R419" s="153"/>
      <c r="S419" s="153"/>
    </row>
    <row r="420" spans="1:19" s="58" customFormat="1" ht="18" customHeight="1">
      <c r="A420" s="153">
        <v>55</v>
      </c>
      <c r="B420" s="153" t="s">
        <v>355</v>
      </c>
      <c r="C420" s="153" t="s">
        <v>521</v>
      </c>
      <c r="D420" s="168">
        <v>4</v>
      </c>
      <c r="E420" s="153" t="s">
        <v>518</v>
      </c>
      <c r="F420" s="153"/>
      <c r="G420" s="153" t="s">
        <v>521</v>
      </c>
      <c r="H420" s="153" t="s">
        <v>1601</v>
      </c>
      <c r="I420" s="153" t="s">
        <v>2646</v>
      </c>
      <c r="J420" s="153" t="s">
        <v>351</v>
      </c>
      <c r="K420" s="153" t="s">
        <v>1595</v>
      </c>
      <c r="L420" s="153" t="s">
        <v>355</v>
      </c>
      <c r="M420" s="153" t="s">
        <v>521</v>
      </c>
      <c r="N420" s="153" t="s">
        <v>2793</v>
      </c>
      <c r="P420" s="153">
        <v>376</v>
      </c>
      <c r="R420" s="153"/>
      <c r="S420" s="153"/>
    </row>
    <row r="421" spans="1:19" s="58" customFormat="1" ht="18" customHeight="1">
      <c r="A421" s="153">
        <v>56</v>
      </c>
      <c r="B421" s="153" t="s">
        <v>355</v>
      </c>
      <c r="C421" s="153" t="s">
        <v>522</v>
      </c>
      <c r="D421" s="168">
        <v>5</v>
      </c>
      <c r="E421" s="153" t="s">
        <v>518</v>
      </c>
      <c r="F421" s="153"/>
      <c r="G421" s="153" t="s">
        <v>522</v>
      </c>
      <c r="H421" s="153" t="s">
        <v>1601</v>
      </c>
      <c r="I421" s="153" t="s">
        <v>2646</v>
      </c>
      <c r="J421" s="153" t="s">
        <v>351</v>
      </c>
      <c r="K421" s="153" t="s">
        <v>1595</v>
      </c>
      <c r="L421" s="153" t="s">
        <v>355</v>
      </c>
      <c r="M421" s="153" t="s">
        <v>522</v>
      </c>
      <c r="N421" s="153" t="s">
        <v>2793</v>
      </c>
      <c r="P421" s="153">
        <v>377</v>
      </c>
      <c r="R421" s="153"/>
      <c r="S421" s="153"/>
    </row>
    <row r="422" spans="1:19" s="58" customFormat="1" ht="18" customHeight="1">
      <c r="A422" s="153">
        <v>57</v>
      </c>
      <c r="B422" s="153" t="s">
        <v>355</v>
      </c>
      <c r="C422" s="153" t="s">
        <v>523</v>
      </c>
      <c r="D422" s="168">
        <v>6</v>
      </c>
      <c r="E422" s="153" t="s">
        <v>518</v>
      </c>
      <c r="F422" s="153"/>
      <c r="G422" s="153" t="s">
        <v>523</v>
      </c>
      <c r="H422" s="153" t="s">
        <v>1601</v>
      </c>
      <c r="I422" s="153" t="s">
        <v>2646</v>
      </c>
      <c r="J422" s="153" t="s">
        <v>351</v>
      </c>
      <c r="K422" s="153" t="s">
        <v>1595</v>
      </c>
      <c r="L422" s="153" t="s">
        <v>355</v>
      </c>
      <c r="M422" s="153" t="s">
        <v>523</v>
      </c>
      <c r="N422" s="153" t="s">
        <v>2793</v>
      </c>
      <c r="P422" s="153">
        <v>378</v>
      </c>
      <c r="R422" s="153"/>
      <c r="S422" s="153"/>
    </row>
    <row r="423" spans="1:19" s="58" customFormat="1" ht="18" customHeight="1">
      <c r="A423" s="153">
        <v>678</v>
      </c>
      <c r="B423" s="153" t="s">
        <v>659</v>
      </c>
      <c r="C423" s="153" t="s">
        <v>607</v>
      </c>
      <c r="D423" s="168">
        <v>1</v>
      </c>
      <c r="E423" s="153" t="s">
        <v>533</v>
      </c>
      <c r="F423" s="153"/>
      <c r="G423" s="153" t="s">
        <v>660</v>
      </c>
      <c r="H423" s="153" t="s">
        <v>1591</v>
      </c>
      <c r="I423" s="153" t="s">
        <v>2646</v>
      </c>
      <c r="J423" s="153" t="s">
        <v>351</v>
      </c>
      <c r="K423" s="153" t="s">
        <v>1595</v>
      </c>
      <c r="L423" s="153" t="s">
        <v>356</v>
      </c>
      <c r="M423" s="153" t="s">
        <v>607</v>
      </c>
      <c r="N423" s="153" t="s">
        <v>2794</v>
      </c>
      <c r="P423" s="153">
        <v>206</v>
      </c>
      <c r="R423" s="153"/>
      <c r="S423" s="153"/>
    </row>
    <row r="424" spans="1:19" s="58" customFormat="1" ht="18" customHeight="1">
      <c r="A424" s="153">
        <v>679</v>
      </c>
      <c r="B424" s="153" t="s">
        <v>659</v>
      </c>
      <c r="C424" s="153" t="s">
        <v>668</v>
      </c>
      <c r="D424" s="168">
        <v>2</v>
      </c>
      <c r="E424" s="153" t="s">
        <v>533</v>
      </c>
      <c r="F424" s="153"/>
      <c r="G424" s="153" t="s">
        <v>661</v>
      </c>
      <c r="H424" s="153" t="s">
        <v>1591</v>
      </c>
      <c r="I424" s="153" t="s">
        <v>2646</v>
      </c>
      <c r="J424" s="153" t="s">
        <v>351</v>
      </c>
      <c r="K424" s="153" t="s">
        <v>1595</v>
      </c>
      <c r="L424" s="153" t="s">
        <v>356</v>
      </c>
      <c r="M424" s="153" t="s">
        <v>668</v>
      </c>
      <c r="N424" s="153" t="s">
        <v>2794</v>
      </c>
      <c r="P424" s="153">
        <v>223</v>
      </c>
      <c r="R424" s="153"/>
      <c r="S424" s="153"/>
    </row>
    <row r="425" spans="1:19" s="58" customFormat="1" ht="18" customHeight="1">
      <c r="A425" s="153">
        <v>680</v>
      </c>
      <c r="B425" s="153" t="s">
        <v>659</v>
      </c>
      <c r="C425" s="153" t="s">
        <v>1418</v>
      </c>
      <c r="D425" s="168">
        <v>3</v>
      </c>
      <c r="E425" s="153" t="s">
        <v>533</v>
      </c>
      <c r="F425" s="153"/>
      <c r="G425" s="153" t="s">
        <v>662</v>
      </c>
      <c r="H425" s="153" t="s">
        <v>1591</v>
      </c>
      <c r="I425" s="153" t="s">
        <v>2646</v>
      </c>
      <c r="J425" s="153" t="s">
        <v>351</v>
      </c>
      <c r="K425" s="153" t="s">
        <v>1595</v>
      </c>
      <c r="L425" s="153" t="s">
        <v>356</v>
      </c>
      <c r="M425" s="153" t="s">
        <v>1418</v>
      </c>
      <c r="N425" s="153" t="s">
        <v>2794</v>
      </c>
      <c r="P425" s="153">
        <v>302</v>
      </c>
      <c r="R425" s="153"/>
      <c r="S425" s="153"/>
    </row>
    <row r="426" spans="1:19" s="58" customFormat="1" ht="18" customHeight="1">
      <c r="A426" s="153">
        <v>681</v>
      </c>
      <c r="B426" s="153" t="s">
        <v>659</v>
      </c>
      <c r="C426" s="153" t="s">
        <v>2128</v>
      </c>
      <c r="D426" s="168">
        <v>1</v>
      </c>
      <c r="E426" s="153" t="s">
        <v>533</v>
      </c>
      <c r="F426" s="153" t="s">
        <v>2102</v>
      </c>
      <c r="G426" s="153" t="s">
        <v>660</v>
      </c>
      <c r="H426" s="153" t="s">
        <v>1964</v>
      </c>
      <c r="I426" s="153" t="s">
        <v>2646</v>
      </c>
      <c r="J426" s="153" t="s">
        <v>351</v>
      </c>
      <c r="K426" s="153" t="s">
        <v>1595</v>
      </c>
      <c r="L426" s="153" t="s">
        <v>356</v>
      </c>
      <c r="M426" s="153" t="s">
        <v>2128</v>
      </c>
      <c r="N426" s="153" t="s">
        <v>2794</v>
      </c>
      <c r="P426" s="153">
        <v>207</v>
      </c>
      <c r="R426" s="153"/>
      <c r="S426" s="153"/>
    </row>
    <row r="427" spans="1:19" s="58" customFormat="1" ht="18" customHeight="1">
      <c r="A427" s="153">
        <v>682</v>
      </c>
      <c r="B427" s="153" t="s">
        <v>659</v>
      </c>
      <c r="C427" s="153" t="s">
        <v>358</v>
      </c>
      <c r="D427" s="168">
        <v>3</v>
      </c>
      <c r="E427" s="153" t="s">
        <v>533</v>
      </c>
      <c r="F427" s="153" t="s">
        <v>2102</v>
      </c>
      <c r="G427" s="153" t="s">
        <v>662</v>
      </c>
      <c r="H427" s="153" t="s">
        <v>1964</v>
      </c>
      <c r="I427" s="153" t="s">
        <v>2646</v>
      </c>
      <c r="J427" s="153" t="s">
        <v>351</v>
      </c>
      <c r="K427" s="153" t="s">
        <v>1595</v>
      </c>
      <c r="L427" s="153" t="s">
        <v>356</v>
      </c>
      <c r="M427" s="153" t="s">
        <v>358</v>
      </c>
      <c r="N427" s="153" t="s">
        <v>2794</v>
      </c>
      <c r="P427" s="153">
        <v>301</v>
      </c>
      <c r="R427" s="153"/>
      <c r="S427" s="153"/>
    </row>
    <row r="428" spans="1:19" s="58" customFormat="1" ht="18" customHeight="1">
      <c r="A428" s="153">
        <v>683</v>
      </c>
      <c r="B428" s="153" t="s">
        <v>659</v>
      </c>
      <c r="C428" s="153" t="s">
        <v>2154</v>
      </c>
      <c r="D428" s="168">
        <v>3</v>
      </c>
      <c r="E428" s="153" t="s">
        <v>533</v>
      </c>
      <c r="F428" s="153" t="s">
        <v>2102</v>
      </c>
      <c r="G428" s="153" t="s">
        <v>662</v>
      </c>
      <c r="H428" s="153" t="s">
        <v>1964</v>
      </c>
      <c r="I428" s="153" t="s">
        <v>2646</v>
      </c>
      <c r="J428" s="153" t="s">
        <v>351</v>
      </c>
      <c r="K428" s="153" t="s">
        <v>1595</v>
      </c>
      <c r="L428" s="153" t="s">
        <v>356</v>
      </c>
      <c r="M428" s="153" t="s">
        <v>2154</v>
      </c>
      <c r="N428" s="153" t="s">
        <v>2794</v>
      </c>
      <c r="P428" s="153">
        <v>300</v>
      </c>
      <c r="R428" s="153"/>
      <c r="S428" s="153"/>
    </row>
    <row r="429" spans="1:19" s="58" customFormat="1" ht="18" customHeight="1">
      <c r="A429" s="153">
        <v>425</v>
      </c>
      <c r="B429" s="153" t="s">
        <v>580</v>
      </c>
      <c r="C429" s="153" t="s">
        <v>582</v>
      </c>
      <c r="D429" s="168">
        <v>0</v>
      </c>
      <c r="E429" s="153" t="s">
        <v>548</v>
      </c>
      <c r="F429" s="153"/>
      <c r="G429" s="153" t="s">
        <v>582</v>
      </c>
      <c r="H429" s="153" t="s">
        <v>1587</v>
      </c>
      <c r="I429" s="153" t="s">
        <v>2621</v>
      </c>
      <c r="J429" s="153" t="s">
        <v>359</v>
      </c>
      <c r="K429" s="153" t="s">
        <v>1595</v>
      </c>
      <c r="L429" s="153" t="s">
        <v>580</v>
      </c>
      <c r="M429" s="153" t="s">
        <v>582</v>
      </c>
      <c r="N429" s="153" t="s">
        <v>2795</v>
      </c>
      <c r="P429" s="153">
        <v>201</v>
      </c>
      <c r="R429" s="153"/>
      <c r="S429" s="153"/>
    </row>
    <row r="430" spans="1:19" s="58" customFormat="1" ht="18" customHeight="1">
      <c r="A430" s="153">
        <v>426</v>
      </c>
      <c r="B430" s="153" t="s">
        <v>580</v>
      </c>
      <c r="C430" s="153" t="s">
        <v>581</v>
      </c>
      <c r="D430" s="168">
        <v>0</v>
      </c>
      <c r="E430" s="153" t="s">
        <v>548</v>
      </c>
      <c r="F430" s="153"/>
      <c r="G430" s="153" t="s">
        <v>581</v>
      </c>
      <c r="H430" s="153" t="s">
        <v>1587</v>
      </c>
      <c r="I430" s="153" t="s">
        <v>2621</v>
      </c>
      <c r="J430" s="153" t="s">
        <v>359</v>
      </c>
      <c r="K430" s="153" t="s">
        <v>1595</v>
      </c>
      <c r="L430" s="153" t="s">
        <v>580</v>
      </c>
      <c r="M430" s="153" t="s">
        <v>581</v>
      </c>
      <c r="N430" s="153" t="s">
        <v>2795</v>
      </c>
      <c r="P430" s="153">
        <v>200</v>
      </c>
      <c r="R430" s="153"/>
      <c r="S430" s="153"/>
    </row>
    <row r="431" spans="1:19" s="58" customFormat="1" ht="18" customHeight="1">
      <c r="A431" s="153">
        <v>427</v>
      </c>
      <c r="B431" s="153" t="s">
        <v>580</v>
      </c>
      <c r="C431" s="153" t="s">
        <v>583</v>
      </c>
      <c r="D431" s="168">
        <v>0</v>
      </c>
      <c r="E431" s="153" t="s">
        <v>548</v>
      </c>
      <c r="F431" s="153"/>
      <c r="G431" s="153" t="s">
        <v>583</v>
      </c>
      <c r="H431" s="153" t="s">
        <v>1587</v>
      </c>
      <c r="I431" s="153" t="s">
        <v>2646</v>
      </c>
      <c r="J431" s="153" t="s">
        <v>351</v>
      </c>
      <c r="K431" s="153" t="s">
        <v>1595</v>
      </c>
      <c r="L431" s="153" t="s">
        <v>580</v>
      </c>
      <c r="M431" s="153" t="s">
        <v>583</v>
      </c>
      <c r="N431" s="153" t="s">
        <v>2795</v>
      </c>
      <c r="P431" s="153">
        <v>202</v>
      </c>
      <c r="R431" s="153"/>
      <c r="S431" s="153"/>
    </row>
    <row r="432" spans="1:19" s="58" customFormat="1" ht="18" customHeight="1">
      <c r="A432" s="153">
        <v>428</v>
      </c>
      <c r="B432" s="153" t="s">
        <v>8</v>
      </c>
      <c r="C432" s="153" t="s">
        <v>586</v>
      </c>
      <c r="D432" s="168">
        <v>0</v>
      </c>
      <c r="E432" s="153" t="s">
        <v>537</v>
      </c>
      <c r="F432" s="153"/>
      <c r="G432" s="153" t="s">
        <v>586</v>
      </c>
      <c r="H432" s="153" t="s">
        <v>585</v>
      </c>
      <c r="I432" s="153" t="s">
        <v>2646</v>
      </c>
      <c r="J432" s="153" t="s">
        <v>351</v>
      </c>
      <c r="K432" s="153" t="s">
        <v>1595</v>
      </c>
      <c r="L432" s="153" t="s">
        <v>8</v>
      </c>
      <c r="M432" s="153" t="s">
        <v>586</v>
      </c>
      <c r="N432" s="153" t="s">
        <v>2796</v>
      </c>
      <c r="P432" s="153">
        <v>44</v>
      </c>
      <c r="R432" s="153"/>
      <c r="S432" s="153"/>
    </row>
    <row r="433" spans="1:19" s="58" customFormat="1" ht="18" customHeight="1">
      <c r="A433" s="153">
        <v>429</v>
      </c>
      <c r="B433" s="153" t="s">
        <v>8</v>
      </c>
      <c r="C433" s="153" t="s">
        <v>587</v>
      </c>
      <c r="D433" s="168">
        <v>0</v>
      </c>
      <c r="E433" s="153" t="s">
        <v>537</v>
      </c>
      <c r="F433" s="153"/>
      <c r="G433" s="153" t="s">
        <v>587</v>
      </c>
      <c r="H433" s="153" t="s">
        <v>585</v>
      </c>
      <c r="I433" s="153" t="s">
        <v>2646</v>
      </c>
      <c r="J433" s="153" t="s">
        <v>351</v>
      </c>
      <c r="K433" s="153" t="s">
        <v>1595</v>
      </c>
      <c r="L433" s="153" t="s">
        <v>8</v>
      </c>
      <c r="M433" s="153" t="s">
        <v>587</v>
      </c>
      <c r="N433" s="153" t="s">
        <v>2796</v>
      </c>
      <c r="P433" s="153">
        <v>45</v>
      </c>
      <c r="R433" s="153"/>
      <c r="S433" s="153"/>
    </row>
    <row r="434" spans="1:19" s="58" customFormat="1" ht="18" customHeight="1">
      <c r="A434" s="153">
        <v>430</v>
      </c>
      <c r="B434" s="153" t="s">
        <v>8</v>
      </c>
      <c r="C434" s="153" t="s">
        <v>584</v>
      </c>
      <c r="D434" s="168">
        <v>0</v>
      </c>
      <c r="E434" s="153" t="s">
        <v>537</v>
      </c>
      <c r="F434" s="153"/>
      <c r="G434" s="153" t="s">
        <v>584</v>
      </c>
      <c r="H434" s="153" t="s">
        <v>585</v>
      </c>
      <c r="I434" s="153" t="s">
        <v>2646</v>
      </c>
      <c r="J434" s="153" t="s">
        <v>351</v>
      </c>
      <c r="K434" s="153" t="s">
        <v>1595</v>
      </c>
      <c r="L434" s="153" t="s">
        <v>8</v>
      </c>
      <c r="M434" s="153" t="s">
        <v>584</v>
      </c>
      <c r="N434" s="153" t="s">
        <v>2796</v>
      </c>
      <c r="P434" s="153">
        <v>43</v>
      </c>
      <c r="R434" s="153"/>
      <c r="S434" s="153"/>
    </row>
    <row r="435" spans="1:19" s="58" customFormat="1" ht="18" customHeight="1">
      <c r="A435" s="153">
        <v>434</v>
      </c>
      <c r="B435" s="153" t="s">
        <v>588</v>
      </c>
      <c r="C435" s="153" t="s">
        <v>2155</v>
      </c>
      <c r="D435" s="168">
        <v>0</v>
      </c>
      <c r="E435" s="153" t="s">
        <v>534</v>
      </c>
      <c r="F435" s="153" t="s">
        <v>2102</v>
      </c>
      <c r="G435" s="153" t="s">
        <v>2156</v>
      </c>
      <c r="H435" s="153" t="s">
        <v>1965</v>
      </c>
      <c r="I435" s="153" t="s">
        <v>2646</v>
      </c>
      <c r="J435" s="153" t="s">
        <v>351</v>
      </c>
      <c r="K435" s="153" t="s">
        <v>1595</v>
      </c>
      <c r="L435" s="153" t="s">
        <v>588</v>
      </c>
      <c r="M435" s="153" t="s">
        <v>2155</v>
      </c>
      <c r="N435" s="153" t="s">
        <v>2797</v>
      </c>
      <c r="P435" s="153">
        <v>30</v>
      </c>
      <c r="R435" s="153"/>
      <c r="S435" s="153"/>
    </row>
    <row r="436" spans="1:19" s="58" customFormat="1" ht="18" customHeight="1">
      <c r="A436" s="153">
        <v>435</v>
      </c>
      <c r="B436" s="153" t="s">
        <v>588</v>
      </c>
      <c r="C436" s="153" t="s">
        <v>2157</v>
      </c>
      <c r="D436" s="168">
        <v>0</v>
      </c>
      <c r="E436" s="153" t="s">
        <v>534</v>
      </c>
      <c r="F436" s="153" t="s">
        <v>2102</v>
      </c>
      <c r="G436" s="153" t="s">
        <v>2158</v>
      </c>
      <c r="H436" s="153" t="s">
        <v>1965</v>
      </c>
      <c r="I436" s="153" t="s">
        <v>2646</v>
      </c>
      <c r="J436" s="153" t="s">
        <v>351</v>
      </c>
      <c r="K436" s="153" t="s">
        <v>1595</v>
      </c>
      <c r="L436" s="153" t="s">
        <v>588</v>
      </c>
      <c r="M436" s="153" t="s">
        <v>2157</v>
      </c>
      <c r="N436" s="153" t="s">
        <v>2797</v>
      </c>
      <c r="P436" s="153">
        <v>31</v>
      </c>
      <c r="R436" s="153"/>
      <c r="S436" s="153"/>
    </row>
    <row r="437" spans="1:19" s="58" customFormat="1" ht="18" customHeight="1">
      <c r="A437" s="153">
        <v>436</v>
      </c>
      <c r="B437" s="153" t="s">
        <v>588</v>
      </c>
      <c r="C437" s="153" t="s">
        <v>2159</v>
      </c>
      <c r="D437" s="168">
        <v>0</v>
      </c>
      <c r="E437" s="153" t="s">
        <v>534</v>
      </c>
      <c r="F437" s="153" t="s">
        <v>2102</v>
      </c>
      <c r="G437" s="153" t="s">
        <v>2158</v>
      </c>
      <c r="H437" s="153" t="s">
        <v>1965</v>
      </c>
      <c r="I437" s="153" t="s">
        <v>2646</v>
      </c>
      <c r="J437" s="153" t="s">
        <v>351</v>
      </c>
      <c r="K437" s="153" t="s">
        <v>1595</v>
      </c>
      <c r="L437" s="153" t="s">
        <v>588</v>
      </c>
      <c r="M437" s="153" t="s">
        <v>2159</v>
      </c>
      <c r="N437" s="153" t="s">
        <v>2797</v>
      </c>
      <c r="P437" s="153">
        <v>32</v>
      </c>
      <c r="R437" s="153"/>
      <c r="S437" s="153"/>
    </row>
    <row r="438" spans="1:19" s="58" customFormat="1" ht="18" customHeight="1">
      <c r="A438" s="153">
        <v>437</v>
      </c>
      <c r="B438" s="153" t="s">
        <v>588</v>
      </c>
      <c r="C438" s="153" t="s">
        <v>2108</v>
      </c>
      <c r="D438" s="168">
        <v>0</v>
      </c>
      <c r="E438" s="153" t="s">
        <v>534</v>
      </c>
      <c r="F438" s="153" t="s">
        <v>2102</v>
      </c>
      <c r="G438" s="153" t="s">
        <v>2156</v>
      </c>
      <c r="H438" s="153" t="s">
        <v>1965</v>
      </c>
      <c r="I438" s="153" t="s">
        <v>2646</v>
      </c>
      <c r="J438" s="153" t="s">
        <v>351</v>
      </c>
      <c r="K438" s="153" t="s">
        <v>1595</v>
      </c>
      <c r="L438" s="153" t="s">
        <v>588</v>
      </c>
      <c r="M438" s="153" t="s">
        <v>2108</v>
      </c>
      <c r="N438" s="153" t="s">
        <v>2797</v>
      </c>
      <c r="P438" s="153">
        <v>288</v>
      </c>
      <c r="R438" s="153"/>
      <c r="S438" s="153"/>
    </row>
    <row r="439" spans="1:19" s="58" customFormat="1" ht="18" customHeight="1">
      <c r="A439" s="153">
        <v>438</v>
      </c>
      <c r="B439" s="153" t="s">
        <v>588</v>
      </c>
      <c r="C439" s="153" t="s">
        <v>2160</v>
      </c>
      <c r="D439" s="168">
        <v>0</v>
      </c>
      <c r="E439" s="153" t="s">
        <v>534</v>
      </c>
      <c r="F439" s="153" t="s">
        <v>2102</v>
      </c>
      <c r="G439" s="153" t="s">
        <v>2158</v>
      </c>
      <c r="H439" s="153" t="s">
        <v>1965</v>
      </c>
      <c r="I439" s="153" t="s">
        <v>2646</v>
      </c>
      <c r="J439" s="153" t="s">
        <v>351</v>
      </c>
      <c r="K439" s="153" t="s">
        <v>1595</v>
      </c>
      <c r="L439" s="153" t="s">
        <v>588</v>
      </c>
      <c r="M439" s="153" t="s">
        <v>2160</v>
      </c>
      <c r="N439" s="153" t="s">
        <v>2797</v>
      </c>
      <c r="P439" s="153">
        <v>289</v>
      </c>
      <c r="R439" s="153"/>
      <c r="S439" s="153"/>
    </row>
    <row r="440" spans="1:19" s="58" customFormat="1" ht="18" customHeight="1">
      <c r="A440" s="153">
        <v>439</v>
      </c>
      <c r="B440" s="153" t="s">
        <v>588</v>
      </c>
      <c r="C440" s="153" t="s">
        <v>2161</v>
      </c>
      <c r="D440" s="168">
        <v>0</v>
      </c>
      <c r="E440" s="153" t="s">
        <v>534</v>
      </c>
      <c r="F440" s="153" t="s">
        <v>2102</v>
      </c>
      <c r="G440" s="153" t="s">
        <v>2158</v>
      </c>
      <c r="H440" s="153" t="s">
        <v>1965</v>
      </c>
      <c r="I440" s="153" t="s">
        <v>2646</v>
      </c>
      <c r="J440" s="153" t="s">
        <v>351</v>
      </c>
      <c r="K440" s="153" t="s">
        <v>1595</v>
      </c>
      <c r="L440" s="153" t="s">
        <v>588</v>
      </c>
      <c r="M440" s="153" t="s">
        <v>2161</v>
      </c>
      <c r="N440" s="153" t="s">
        <v>2797</v>
      </c>
      <c r="P440" s="153">
        <v>290</v>
      </c>
      <c r="R440" s="153"/>
      <c r="S440" s="153"/>
    </row>
    <row r="441" spans="1:19" s="58" customFormat="1" ht="18" customHeight="1">
      <c r="A441" s="153">
        <v>440</v>
      </c>
      <c r="B441" s="153" t="s">
        <v>588</v>
      </c>
      <c r="C441" s="153" t="s">
        <v>2162</v>
      </c>
      <c r="D441" s="168">
        <v>0</v>
      </c>
      <c r="E441" s="153" t="s">
        <v>534</v>
      </c>
      <c r="F441" s="153" t="s">
        <v>2102</v>
      </c>
      <c r="G441" s="153" t="s">
        <v>2156</v>
      </c>
      <c r="H441" s="153" t="s">
        <v>1965</v>
      </c>
      <c r="I441" s="153" t="s">
        <v>2646</v>
      </c>
      <c r="J441" s="153" t="s">
        <v>351</v>
      </c>
      <c r="K441" s="153" t="s">
        <v>1595</v>
      </c>
      <c r="L441" s="153" t="s">
        <v>588</v>
      </c>
      <c r="M441" s="153" t="s">
        <v>2162</v>
      </c>
      <c r="N441" s="153" t="s">
        <v>2797</v>
      </c>
      <c r="P441" s="153">
        <v>291</v>
      </c>
      <c r="R441" s="153"/>
      <c r="S441" s="153"/>
    </row>
    <row r="442" spans="1:19" s="58" customFormat="1" ht="18" customHeight="1">
      <c r="A442" s="153">
        <v>441</v>
      </c>
      <c r="B442" s="153" t="s">
        <v>588</v>
      </c>
      <c r="C442" s="153" t="s">
        <v>2107</v>
      </c>
      <c r="D442" s="168">
        <v>0</v>
      </c>
      <c r="E442" s="153" t="s">
        <v>534</v>
      </c>
      <c r="F442" s="153" t="s">
        <v>2102</v>
      </c>
      <c r="G442" s="153" t="s">
        <v>2158</v>
      </c>
      <c r="H442" s="153" t="s">
        <v>1965</v>
      </c>
      <c r="I442" s="153" t="s">
        <v>2646</v>
      </c>
      <c r="J442" s="153" t="s">
        <v>351</v>
      </c>
      <c r="K442" s="153" t="s">
        <v>1595</v>
      </c>
      <c r="L442" s="153" t="s">
        <v>588</v>
      </c>
      <c r="M442" s="153" t="s">
        <v>2107</v>
      </c>
      <c r="N442" s="153" t="s">
        <v>2797</v>
      </c>
      <c r="P442" s="153">
        <v>292</v>
      </c>
      <c r="R442" s="153"/>
      <c r="S442" s="153"/>
    </row>
    <row r="443" spans="1:19" s="58" customFormat="1" ht="18" customHeight="1">
      <c r="A443" s="153">
        <v>442</v>
      </c>
      <c r="B443" s="153" t="s">
        <v>588</v>
      </c>
      <c r="C443" s="153" t="s">
        <v>2163</v>
      </c>
      <c r="D443" s="168">
        <v>0</v>
      </c>
      <c r="E443" s="153" t="s">
        <v>534</v>
      </c>
      <c r="F443" s="153" t="s">
        <v>2102</v>
      </c>
      <c r="G443" s="153" t="s">
        <v>2158</v>
      </c>
      <c r="H443" s="153" t="s">
        <v>1965</v>
      </c>
      <c r="I443" s="153" t="s">
        <v>2646</v>
      </c>
      <c r="J443" s="153" t="s">
        <v>351</v>
      </c>
      <c r="K443" s="153" t="s">
        <v>1595</v>
      </c>
      <c r="L443" s="153" t="s">
        <v>588</v>
      </c>
      <c r="M443" s="153" t="s">
        <v>2163</v>
      </c>
      <c r="N443" s="153" t="s">
        <v>2797</v>
      </c>
      <c r="P443" s="153">
        <v>293</v>
      </c>
      <c r="R443" s="153"/>
      <c r="S443" s="153"/>
    </row>
    <row r="444" spans="1:19" s="58" customFormat="1" ht="18" customHeight="1">
      <c r="A444" s="153">
        <v>475</v>
      </c>
      <c r="B444" s="153" t="s">
        <v>595</v>
      </c>
      <c r="C444" s="153" t="s">
        <v>596</v>
      </c>
      <c r="D444" s="168">
        <v>1</v>
      </c>
      <c r="E444" s="153" t="s">
        <v>540</v>
      </c>
      <c r="F444" s="153"/>
      <c r="G444" s="153" t="s">
        <v>596</v>
      </c>
      <c r="H444" s="153" t="s">
        <v>1588</v>
      </c>
      <c r="I444" s="153" t="s">
        <v>2625</v>
      </c>
      <c r="J444" s="153" t="s">
        <v>359</v>
      </c>
      <c r="K444" s="153" t="s">
        <v>1595</v>
      </c>
      <c r="L444" s="153" t="s">
        <v>864</v>
      </c>
      <c r="M444" s="153" t="s">
        <v>596</v>
      </c>
      <c r="N444" s="153" t="s">
        <v>2798</v>
      </c>
      <c r="P444" s="153">
        <v>46</v>
      </c>
      <c r="R444" s="153"/>
      <c r="S444" s="153"/>
    </row>
    <row r="445" spans="1:19" s="58" customFormat="1" ht="18" customHeight="1">
      <c r="A445" s="153">
        <v>476</v>
      </c>
      <c r="B445" s="153" t="s">
        <v>595</v>
      </c>
      <c r="C445" s="153" t="s">
        <v>597</v>
      </c>
      <c r="D445" s="168">
        <v>2</v>
      </c>
      <c r="E445" s="153" t="s">
        <v>540</v>
      </c>
      <c r="F445" s="153"/>
      <c r="G445" s="153" t="s">
        <v>597</v>
      </c>
      <c r="H445" s="153" t="s">
        <v>1588</v>
      </c>
      <c r="I445" s="153" t="s">
        <v>2625</v>
      </c>
      <c r="J445" s="153" t="s">
        <v>359</v>
      </c>
      <c r="K445" s="153" t="s">
        <v>1595</v>
      </c>
      <c r="L445" s="153" t="s">
        <v>864</v>
      </c>
      <c r="M445" s="153" t="s">
        <v>597</v>
      </c>
      <c r="N445" s="153" t="s">
        <v>2798</v>
      </c>
      <c r="P445" s="153">
        <v>47</v>
      </c>
      <c r="R445" s="153"/>
      <c r="S445" s="153"/>
    </row>
    <row r="446" spans="1:19" s="58" customFormat="1" ht="18" customHeight="1">
      <c r="A446" s="153">
        <v>483</v>
      </c>
      <c r="B446" s="153" t="s">
        <v>598</v>
      </c>
      <c r="C446" s="153">
        <v>10</v>
      </c>
      <c r="D446" s="168">
        <v>0</v>
      </c>
      <c r="E446" s="153" t="s">
        <v>543</v>
      </c>
      <c r="F446" s="153"/>
      <c r="G446" s="153">
        <v>10</v>
      </c>
      <c r="H446" s="153" t="s">
        <v>1615</v>
      </c>
      <c r="I446" s="153" t="s">
        <v>2646</v>
      </c>
      <c r="J446" s="153" t="s">
        <v>351</v>
      </c>
      <c r="K446" s="153" t="s">
        <v>1595</v>
      </c>
      <c r="L446" s="153" t="s">
        <v>598</v>
      </c>
      <c r="M446" s="153">
        <v>10</v>
      </c>
      <c r="N446" s="153" t="s">
        <v>2799</v>
      </c>
      <c r="P446" s="153">
        <v>459</v>
      </c>
      <c r="R446" s="153"/>
      <c r="S446" s="153"/>
    </row>
    <row r="447" spans="1:19" s="58" customFormat="1" ht="18" customHeight="1">
      <c r="A447" s="153">
        <v>484</v>
      </c>
      <c r="B447" s="153" t="s">
        <v>598</v>
      </c>
      <c r="C447" s="153">
        <v>25</v>
      </c>
      <c r="D447" s="168">
        <v>0</v>
      </c>
      <c r="E447" s="153" t="s">
        <v>543</v>
      </c>
      <c r="F447" s="153"/>
      <c r="G447" s="153">
        <v>25</v>
      </c>
      <c r="H447" s="153" t="s">
        <v>1615</v>
      </c>
      <c r="I447" s="153" t="s">
        <v>2646</v>
      </c>
      <c r="J447" s="153" t="s">
        <v>351</v>
      </c>
      <c r="K447" s="153" t="s">
        <v>1595</v>
      </c>
      <c r="L447" s="153" t="s">
        <v>598</v>
      </c>
      <c r="M447" s="153">
        <v>25</v>
      </c>
      <c r="N447" s="153" t="s">
        <v>2799</v>
      </c>
      <c r="P447" s="153">
        <v>461</v>
      </c>
      <c r="R447" s="153"/>
      <c r="S447" s="153"/>
    </row>
    <row r="448" spans="1:19" s="58" customFormat="1" ht="18" customHeight="1">
      <c r="A448" s="153">
        <v>485</v>
      </c>
      <c r="B448" s="153" t="s">
        <v>598</v>
      </c>
      <c r="C448" s="153">
        <v>50</v>
      </c>
      <c r="D448" s="168">
        <v>0</v>
      </c>
      <c r="E448" s="153" t="s">
        <v>543</v>
      </c>
      <c r="F448" s="153"/>
      <c r="G448" s="153">
        <v>50</v>
      </c>
      <c r="H448" s="153" t="s">
        <v>1615</v>
      </c>
      <c r="I448" s="153" t="s">
        <v>2646</v>
      </c>
      <c r="J448" s="153" t="s">
        <v>351</v>
      </c>
      <c r="K448" s="153" t="s">
        <v>1595</v>
      </c>
      <c r="L448" s="153" t="s">
        <v>598</v>
      </c>
      <c r="M448" s="153">
        <v>50</v>
      </c>
      <c r="N448" s="153" t="s">
        <v>2799</v>
      </c>
      <c r="P448" s="153">
        <v>462</v>
      </c>
      <c r="R448" s="153"/>
      <c r="S448" s="153"/>
    </row>
    <row r="449" spans="1:19" s="58" customFormat="1" ht="18" customHeight="1">
      <c r="A449" s="153">
        <v>486</v>
      </c>
      <c r="B449" s="153" t="s">
        <v>598</v>
      </c>
      <c r="C449" s="153">
        <v>75</v>
      </c>
      <c r="D449" s="168">
        <v>0</v>
      </c>
      <c r="E449" s="153" t="s">
        <v>543</v>
      </c>
      <c r="F449" s="153"/>
      <c r="G449" s="153">
        <v>75</v>
      </c>
      <c r="H449" s="153" t="s">
        <v>1615</v>
      </c>
      <c r="I449" s="153" t="s">
        <v>2646</v>
      </c>
      <c r="J449" s="153" t="s">
        <v>351</v>
      </c>
      <c r="K449" s="153" t="s">
        <v>1595</v>
      </c>
      <c r="L449" s="153" t="s">
        <v>598</v>
      </c>
      <c r="M449" s="153">
        <v>75</v>
      </c>
      <c r="N449" s="153" t="s">
        <v>2799</v>
      </c>
      <c r="P449" s="153">
        <v>463</v>
      </c>
      <c r="R449" s="153"/>
      <c r="S449" s="153"/>
    </row>
    <row r="450" spans="1:19" s="58" customFormat="1" ht="18" customHeight="1">
      <c r="A450" s="153">
        <v>487</v>
      </c>
      <c r="B450" s="153" t="s">
        <v>598</v>
      </c>
      <c r="C450" s="153">
        <v>100</v>
      </c>
      <c r="D450" s="168">
        <v>0</v>
      </c>
      <c r="E450" s="153" t="s">
        <v>543</v>
      </c>
      <c r="F450" s="153"/>
      <c r="G450" s="153">
        <v>100</v>
      </c>
      <c r="H450" s="153" t="s">
        <v>1615</v>
      </c>
      <c r="I450" s="153" t="s">
        <v>2646</v>
      </c>
      <c r="J450" s="153" t="s">
        <v>351</v>
      </c>
      <c r="K450" s="153" t="s">
        <v>1595</v>
      </c>
      <c r="L450" s="153" t="s">
        <v>598</v>
      </c>
      <c r="M450" s="153">
        <v>100</v>
      </c>
      <c r="N450" s="153" t="s">
        <v>2799</v>
      </c>
      <c r="P450" s="153">
        <v>460</v>
      </c>
      <c r="R450" s="153"/>
      <c r="S450" s="153"/>
    </row>
    <row r="451" spans="1:19" s="58" customFormat="1" ht="18" customHeight="1">
      <c r="A451" s="153">
        <v>517</v>
      </c>
      <c r="B451" s="153" t="s">
        <v>612</v>
      </c>
      <c r="C451" s="153" t="s">
        <v>483</v>
      </c>
      <c r="D451" s="168">
        <v>28</v>
      </c>
      <c r="E451" s="153" t="s">
        <v>532</v>
      </c>
      <c r="F451" s="153"/>
      <c r="G451" s="153" t="s">
        <v>483</v>
      </c>
      <c r="H451" s="153" t="s">
        <v>1589</v>
      </c>
      <c r="I451" s="153"/>
      <c r="J451" s="153" t="s">
        <v>351</v>
      </c>
      <c r="K451" s="153" t="s">
        <v>1595</v>
      </c>
      <c r="L451" s="153" t="s">
        <v>612</v>
      </c>
      <c r="M451" s="153" t="s">
        <v>483</v>
      </c>
      <c r="N451" s="153" t="s">
        <v>2800</v>
      </c>
      <c r="P451" s="153">
        <v>238</v>
      </c>
      <c r="R451" s="153"/>
      <c r="S451" s="153"/>
    </row>
    <row r="452" spans="1:19" s="58" customFormat="1" ht="18" customHeight="1">
      <c r="A452" s="153">
        <v>518</v>
      </c>
      <c r="B452" s="153" t="s">
        <v>612</v>
      </c>
      <c r="C452" s="153" t="s">
        <v>867</v>
      </c>
      <c r="D452" s="168">
        <v>32</v>
      </c>
      <c r="E452" s="153" t="s">
        <v>532</v>
      </c>
      <c r="F452" s="153"/>
      <c r="G452" s="153" t="s">
        <v>867</v>
      </c>
      <c r="H452" s="153" t="s">
        <v>1589</v>
      </c>
      <c r="I452" s="153"/>
      <c r="J452" s="153" t="s">
        <v>351</v>
      </c>
      <c r="K452" s="153" t="s">
        <v>1595</v>
      </c>
      <c r="L452" s="153" t="s">
        <v>612</v>
      </c>
      <c r="M452" s="153" t="s">
        <v>867</v>
      </c>
      <c r="N452" s="153" t="s">
        <v>2800</v>
      </c>
      <c r="P452" s="153">
        <v>240</v>
      </c>
      <c r="R452" s="153"/>
      <c r="S452" s="153"/>
    </row>
    <row r="453" spans="1:19" s="58" customFormat="1" ht="18" customHeight="1">
      <c r="A453" s="153">
        <v>519</v>
      </c>
      <c r="B453" s="153" t="s">
        <v>612</v>
      </c>
      <c r="C453" s="153" t="s">
        <v>614</v>
      </c>
      <c r="D453" s="168">
        <v>36</v>
      </c>
      <c r="E453" s="153" t="s">
        <v>532</v>
      </c>
      <c r="F453" s="153"/>
      <c r="G453" s="153" t="s">
        <v>614</v>
      </c>
      <c r="H453" s="153" t="s">
        <v>1589</v>
      </c>
      <c r="I453" s="153"/>
      <c r="J453" s="153" t="s">
        <v>351</v>
      </c>
      <c r="K453" s="153" t="s">
        <v>1595</v>
      </c>
      <c r="L453" s="153" t="s">
        <v>612</v>
      </c>
      <c r="M453" s="153" t="s">
        <v>614</v>
      </c>
      <c r="N453" s="153" t="s">
        <v>2800</v>
      </c>
      <c r="P453" s="153">
        <v>329</v>
      </c>
      <c r="R453" s="153"/>
      <c r="S453" s="153"/>
    </row>
    <row r="454" spans="1:19" s="58" customFormat="1" ht="18" customHeight="1">
      <c r="A454" s="153">
        <v>520</v>
      </c>
      <c r="B454" s="153" t="s">
        <v>612</v>
      </c>
      <c r="C454" s="153" t="s">
        <v>613</v>
      </c>
      <c r="D454" s="168">
        <v>59</v>
      </c>
      <c r="E454" s="153" t="s">
        <v>532</v>
      </c>
      <c r="F454" s="153"/>
      <c r="G454" s="153" t="s">
        <v>613</v>
      </c>
      <c r="H454" s="153" t="s">
        <v>1589</v>
      </c>
      <c r="I454" s="153"/>
      <c r="J454" s="153" t="s">
        <v>351</v>
      </c>
      <c r="K454" s="153" t="s">
        <v>1595</v>
      </c>
      <c r="L454" s="153" t="s">
        <v>612</v>
      </c>
      <c r="M454" s="153" t="s">
        <v>613</v>
      </c>
      <c r="N454" s="153" t="s">
        <v>2800</v>
      </c>
      <c r="P454" s="153">
        <v>35</v>
      </c>
      <c r="R454" s="153"/>
      <c r="S454" s="153"/>
    </row>
    <row r="455" spans="1:19" s="58" customFormat="1" ht="18" customHeight="1">
      <c r="A455" s="153">
        <v>521</v>
      </c>
      <c r="B455" s="153" t="s">
        <v>612</v>
      </c>
      <c r="C455" s="153" t="s">
        <v>865</v>
      </c>
      <c r="D455" s="168">
        <v>96</v>
      </c>
      <c r="E455" s="153" t="s">
        <v>532</v>
      </c>
      <c r="F455" s="153"/>
      <c r="G455" s="153" t="s">
        <v>865</v>
      </c>
      <c r="H455" s="153" t="s">
        <v>1589</v>
      </c>
      <c r="I455" s="153"/>
      <c r="J455" s="153" t="s">
        <v>351</v>
      </c>
      <c r="K455" s="153" t="s">
        <v>1595</v>
      </c>
      <c r="L455" s="153" t="s">
        <v>612</v>
      </c>
      <c r="M455" s="153" t="s">
        <v>865</v>
      </c>
      <c r="N455" s="153" t="s">
        <v>2800</v>
      </c>
      <c r="P455" s="153">
        <v>252</v>
      </c>
      <c r="R455" s="153"/>
      <c r="S455" s="153"/>
    </row>
    <row r="456" spans="1:19" s="58" customFormat="1" ht="18" customHeight="1">
      <c r="A456" s="153">
        <v>522</v>
      </c>
      <c r="B456" s="153" t="s">
        <v>612</v>
      </c>
      <c r="C456" s="153" t="s">
        <v>866</v>
      </c>
      <c r="D456" s="168">
        <v>97</v>
      </c>
      <c r="E456" s="153" t="s">
        <v>532</v>
      </c>
      <c r="F456" s="153"/>
      <c r="G456" s="153" t="s">
        <v>866</v>
      </c>
      <c r="H456" s="153" t="s">
        <v>1589</v>
      </c>
      <c r="I456" s="153"/>
      <c r="J456" s="153" t="s">
        <v>351</v>
      </c>
      <c r="K456" s="153" t="s">
        <v>1595</v>
      </c>
      <c r="L456" s="153" t="s">
        <v>612</v>
      </c>
      <c r="M456" s="153" t="s">
        <v>866</v>
      </c>
      <c r="N456" s="153" t="s">
        <v>2800</v>
      </c>
      <c r="P456" s="153">
        <v>253</v>
      </c>
      <c r="R456" s="153"/>
      <c r="S456" s="153"/>
    </row>
    <row r="457" spans="1:19" s="58" customFormat="1" ht="18" customHeight="1">
      <c r="A457" s="153">
        <v>523</v>
      </c>
      <c r="B457" s="153" t="s">
        <v>612</v>
      </c>
      <c r="C457" s="153" t="s">
        <v>2164</v>
      </c>
      <c r="D457" s="168">
        <v>41</v>
      </c>
      <c r="E457" s="153" t="s">
        <v>532</v>
      </c>
      <c r="F457" s="153" t="s">
        <v>2102</v>
      </c>
      <c r="G457" s="153" t="s">
        <v>242</v>
      </c>
      <c r="H457" s="153" t="s">
        <v>1958</v>
      </c>
      <c r="I457" s="153"/>
      <c r="J457" s="153" t="s">
        <v>351</v>
      </c>
      <c r="K457" s="153" t="s">
        <v>1595</v>
      </c>
      <c r="L457" s="153" t="s">
        <v>612</v>
      </c>
      <c r="M457" s="153" t="s">
        <v>2164</v>
      </c>
      <c r="N457" s="153" t="s">
        <v>2800</v>
      </c>
      <c r="P457" s="153">
        <v>244</v>
      </c>
      <c r="R457" s="153"/>
      <c r="S457" s="153"/>
    </row>
    <row r="458" spans="1:19" s="58" customFormat="1" ht="18" customHeight="1">
      <c r="A458" s="153">
        <v>524</v>
      </c>
      <c r="B458" s="153" t="s">
        <v>612</v>
      </c>
      <c r="C458" s="153" t="s">
        <v>2165</v>
      </c>
      <c r="D458" s="168">
        <v>6</v>
      </c>
      <c r="E458" s="153" t="s">
        <v>532</v>
      </c>
      <c r="F458" s="153" t="s">
        <v>2102</v>
      </c>
      <c r="G458" s="153" t="s">
        <v>242</v>
      </c>
      <c r="H458" s="153" t="s">
        <v>1958</v>
      </c>
      <c r="I458" s="153"/>
      <c r="J458" s="153" t="s">
        <v>351</v>
      </c>
      <c r="K458" s="153" t="s">
        <v>1595</v>
      </c>
      <c r="L458" s="153" t="s">
        <v>612</v>
      </c>
      <c r="M458" s="153" t="s">
        <v>2165</v>
      </c>
      <c r="N458" s="153" t="s">
        <v>2800</v>
      </c>
      <c r="P458" s="153">
        <v>36</v>
      </c>
      <c r="R458" s="153"/>
      <c r="S458" s="153"/>
    </row>
    <row r="459" spans="1:19" s="58" customFormat="1" ht="18" customHeight="1">
      <c r="A459" s="153">
        <v>525</v>
      </c>
      <c r="B459" s="153" t="s">
        <v>612</v>
      </c>
      <c r="C459" s="153" t="s">
        <v>2166</v>
      </c>
      <c r="D459" s="168">
        <v>38</v>
      </c>
      <c r="E459" s="153" t="s">
        <v>532</v>
      </c>
      <c r="F459" s="153" t="s">
        <v>2102</v>
      </c>
      <c r="G459" s="153" t="s">
        <v>242</v>
      </c>
      <c r="H459" s="153" t="s">
        <v>1958</v>
      </c>
      <c r="I459" s="153"/>
      <c r="J459" s="153" t="s">
        <v>351</v>
      </c>
      <c r="K459" s="153" t="s">
        <v>1595</v>
      </c>
      <c r="L459" s="153" t="s">
        <v>612</v>
      </c>
      <c r="M459" s="153" t="s">
        <v>2166</v>
      </c>
      <c r="N459" s="153" t="s">
        <v>2800</v>
      </c>
      <c r="P459" s="153">
        <v>243</v>
      </c>
      <c r="R459" s="153"/>
      <c r="S459" s="153"/>
    </row>
    <row r="460" spans="1:19" s="58" customFormat="1" ht="18" customHeight="1">
      <c r="A460" s="153">
        <v>526</v>
      </c>
      <c r="B460" s="153" t="s">
        <v>612</v>
      </c>
      <c r="C460" s="153" t="s">
        <v>2167</v>
      </c>
      <c r="D460" s="168">
        <v>3</v>
      </c>
      <c r="E460" s="153" t="s">
        <v>532</v>
      </c>
      <c r="F460" s="153" t="s">
        <v>2102</v>
      </c>
      <c r="G460" s="153" t="s">
        <v>242</v>
      </c>
      <c r="H460" s="153" t="s">
        <v>1958</v>
      </c>
      <c r="I460" s="153"/>
      <c r="J460" s="153" t="s">
        <v>351</v>
      </c>
      <c r="K460" s="153" t="s">
        <v>1595</v>
      </c>
      <c r="L460" s="153" t="s">
        <v>612</v>
      </c>
      <c r="M460" s="153" t="s">
        <v>2167</v>
      </c>
      <c r="N460" s="153" t="s">
        <v>2800</v>
      </c>
      <c r="P460" s="153">
        <v>34</v>
      </c>
      <c r="R460" s="153"/>
      <c r="S460" s="153"/>
    </row>
    <row r="461" spans="1:19" s="58" customFormat="1" ht="18" customHeight="1">
      <c r="A461" s="153">
        <v>527</v>
      </c>
      <c r="B461" s="153" t="s">
        <v>612</v>
      </c>
      <c r="C461" s="153" t="s">
        <v>528</v>
      </c>
      <c r="D461" s="168">
        <v>2</v>
      </c>
      <c r="E461" s="153" t="s">
        <v>532</v>
      </c>
      <c r="F461" s="153" t="s">
        <v>2102</v>
      </c>
      <c r="G461" s="153" t="s">
        <v>242</v>
      </c>
      <c r="H461" s="153" t="s">
        <v>1958</v>
      </c>
      <c r="I461" s="153"/>
      <c r="J461" s="153" t="s">
        <v>351</v>
      </c>
      <c r="K461" s="153" t="s">
        <v>1595</v>
      </c>
      <c r="L461" s="153" t="s">
        <v>612</v>
      </c>
      <c r="M461" s="153" t="s">
        <v>528</v>
      </c>
      <c r="N461" s="153" t="s">
        <v>2800</v>
      </c>
      <c r="P461" s="153">
        <v>33</v>
      </c>
      <c r="R461" s="153"/>
      <c r="S461" s="153"/>
    </row>
    <row r="462" spans="1:19" s="58" customFormat="1" ht="18" customHeight="1">
      <c r="A462" s="153">
        <v>528</v>
      </c>
      <c r="B462" s="153" t="s">
        <v>612</v>
      </c>
      <c r="C462" s="153" t="s">
        <v>2168</v>
      </c>
      <c r="D462" s="168">
        <v>116</v>
      </c>
      <c r="E462" s="153" t="s">
        <v>532</v>
      </c>
      <c r="F462" s="153" t="s">
        <v>2102</v>
      </c>
      <c r="G462" s="153" t="s">
        <v>242</v>
      </c>
      <c r="H462" s="153" t="s">
        <v>1958</v>
      </c>
      <c r="I462" s="153"/>
      <c r="J462" s="153" t="s">
        <v>351</v>
      </c>
      <c r="K462" s="153" t="s">
        <v>1595</v>
      </c>
      <c r="L462" s="153" t="s">
        <v>612</v>
      </c>
      <c r="M462" s="153" t="s">
        <v>2168</v>
      </c>
      <c r="N462" s="153" t="s">
        <v>2800</v>
      </c>
      <c r="P462" s="153">
        <v>257</v>
      </c>
      <c r="R462" s="153"/>
      <c r="S462" s="153"/>
    </row>
    <row r="463" spans="1:19" s="58" customFormat="1" ht="18" customHeight="1">
      <c r="A463" s="153">
        <v>529</v>
      </c>
      <c r="B463" s="153" t="s">
        <v>612</v>
      </c>
      <c r="C463" s="153" t="s">
        <v>2169</v>
      </c>
      <c r="D463" s="168">
        <v>91</v>
      </c>
      <c r="E463" s="153" t="s">
        <v>532</v>
      </c>
      <c r="F463" s="153" t="s">
        <v>2102</v>
      </c>
      <c r="G463" s="153" t="s">
        <v>242</v>
      </c>
      <c r="H463" s="153" t="s">
        <v>1958</v>
      </c>
      <c r="I463" s="153"/>
      <c r="J463" s="153" t="s">
        <v>351</v>
      </c>
      <c r="K463" s="153" t="s">
        <v>1595</v>
      </c>
      <c r="L463" s="153" t="s">
        <v>612</v>
      </c>
      <c r="M463" s="153" t="s">
        <v>2169</v>
      </c>
      <c r="N463" s="153" t="s">
        <v>2800</v>
      </c>
      <c r="P463" s="153">
        <v>251</v>
      </c>
      <c r="R463" s="153"/>
      <c r="S463" s="153"/>
    </row>
    <row r="464" spans="1:19" s="58" customFormat="1" ht="18" customHeight="1">
      <c r="A464" s="153">
        <v>530</v>
      </c>
      <c r="B464" s="153" t="s">
        <v>612</v>
      </c>
      <c r="C464" s="153" t="s">
        <v>2170</v>
      </c>
      <c r="D464" s="168">
        <v>52</v>
      </c>
      <c r="E464" s="153" t="s">
        <v>532</v>
      </c>
      <c r="F464" s="153" t="s">
        <v>2102</v>
      </c>
      <c r="G464" s="153" t="s">
        <v>242</v>
      </c>
      <c r="H464" s="153" t="s">
        <v>1958</v>
      </c>
      <c r="I464" s="153"/>
      <c r="J464" s="153" t="s">
        <v>351</v>
      </c>
      <c r="K464" s="153" t="s">
        <v>1595</v>
      </c>
      <c r="L464" s="153" t="s">
        <v>612</v>
      </c>
      <c r="M464" s="153" t="s">
        <v>2170</v>
      </c>
      <c r="N464" s="153" t="s">
        <v>2800</v>
      </c>
      <c r="P464" s="153">
        <v>246</v>
      </c>
      <c r="R464" s="153"/>
      <c r="S464" s="153"/>
    </row>
    <row r="465" spans="1:19" s="58" customFormat="1" ht="18" customHeight="1">
      <c r="A465" s="153">
        <v>531</v>
      </c>
      <c r="B465" s="153" t="s">
        <v>612</v>
      </c>
      <c r="C465" s="153" t="s">
        <v>2171</v>
      </c>
      <c r="D465" s="168">
        <v>29</v>
      </c>
      <c r="E465" s="153" t="s">
        <v>532</v>
      </c>
      <c r="F465" s="153" t="s">
        <v>2102</v>
      </c>
      <c r="G465" s="153" t="s">
        <v>242</v>
      </c>
      <c r="H465" s="153" t="s">
        <v>1958</v>
      </c>
      <c r="I465" s="153"/>
      <c r="J465" s="153" t="s">
        <v>351</v>
      </c>
      <c r="K465" s="153" t="s">
        <v>1595</v>
      </c>
      <c r="L465" s="153" t="s">
        <v>612</v>
      </c>
      <c r="M465" s="153" t="s">
        <v>2171</v>
      </c>
      <c r="N465" s="153" t="s">
        <v>2800</v>
      </c>
      <c r="P465" s="153">
        <v>239</v>
      </c>
      <c r="R465" s="153"/>
      <c r="S465" s="153"/>
    </row>
    <row r="466" spans="1:19" s="58" customFormat="1" ht="18" customHeight="1">
      <c r="A466" s="153">
        <v>532</v>
      </c>
      <c r="B466" s="153" t="s">
        <v>612</v>
      </c>
      <c r="C466" s="153" t="s">
        <v>588</v>
      </c>
      <c r="D466" s="168">
        <v>4</v>
      </c>
      <c r="E466" s="153" t="s">
        <v>532</v>
      </c>
      <c r="F466" s="153" t="s">
        <v>2102</v>
      </c>
      <c r="G466" s="153" t="s">
        <v>242</v>
      </c>
      <c r="H466" s="153" t="s">
        <v>1958</v>
      </c>
      <c r="I466" s="153"/>
      <c r="J466" s="153" t="s">
        <v>351</v>
      </c>
      <c r="K466" s="153" t="s">
        <v>1595</v>
      </c>
      <c r="L466" s="153" t="s">
        <v>612</v>
      </c>
      <c r="M466" s="153" t="s">
        <v>588</v>
      </c>
      <c r="N466" s="153" t="s">
        <v>2800</v>
      </c>
      <c r="P466" s="153">
        <v>330</v>
      </c>
      <c r="R466" s="153"/>
      <c r="S466" s="153"/>
    </row>
    <row r="467" spans="1:19" s="58" customFormat="1" ht="18" customHeight="1">
      <c r="A467" s="153">
        <v>533</v>
      </c>
      <c r="B467" s="153" t="s">
        <v>612</v>
      </c>
      <c r="C467" s="153" t="s">
        <v>2172</v>
      </c>
      <c r="D467" s="168">
        <v>101</v>
      </c>
      <c r="E467" s="153" t="s">
        <v>532</v>
      </c>
      <c r="F467" s="153" t="s">
        <v>2102</v>
      </c>
      <c r="G467" s="153" t="s">
        <v>242</v>
      </c>
      <c r="H467" s="153" t="s">
        <v>1958</v>
      </c>
      <c r="I467" s="153"/>
      <c r="J467" s="153" t="s">
        <v>351</v>
      </c>
      <c r="K467" s="153" t="s">
        <v>1595</v>
      </c>
      <c r="L467" s="153" t="s">
        <v>612</v>
      </c>
      <c r="M467" s="153" t="s">
        <v>2172</v>
      </c>
      <c r="N467" s="153" t="s">
        <v>2800</v>
      </c>
      <c r="P467" s="153">
        <v>254</v>
      </c>
      <c r="R467" s="153"/>
      <c r="S467" s="153"/>
    </row>
    <row r="468" spans="1:19" s="58" customFormat="1" ht="18" customHeight="1">
      <c r="A468" s="153">
        <v>534</v>
      </c>
      <c r="B468" s="153" t="s">
        <v>612</v>
      </c>
      <c r="C468" s="153" t="s">
        <v>2173</v>
      </c>
      <c r="D468" s="168">
        <v>86</v>
      </c>
      <c r="E468" s="153" t="s">
        <v>532</v>
      </c>
      <c r="F468" s="153" t="s">
        <v>2102</v>
      </c>
      <c r="G468" s="153" t="s">
        <v>242</v>
      </c>
      <c r="H468" s="153" t="s">
        <v>1958</v>
      </c>
      <c r="I468" s="153"/>
      <c r="J468" s="153" t="s">
        <v>351</v>
      </c>
      <c r="K468" s="153" t="s">
        <v>1595</v>
      </c>
      <c r="L468" s="153" t="s">
        <v>612</v>
      </c>
      <c r="M468" s="153" t="s">
        <v>2173</v>
      </c>
      <c r="N468" s="153" t="s">
        <v>2800</v>
      </c>
      <c r="P468" s="153">
        <v>250</v>
      </c>
      <c r="R468" s="153"/>
      <c r="S468" s="153"/>
    </row>
    <row r="469" spans="1:19" s="58" customFormat="1" ht="18" customHeight="1">
      <c r="A469" s="153">
        <v>535</v>
      </c>
      <c r="B469" s="153" t="s">
        <v>612</v>
      </c>
      <c r="C469" s="153" t="s">
        <v>2174</v>
      </c>
      <c r="D469" s="168">
        <v>118</v>
      </c>
      <c r="E469" s="153" t="s">
        <v>532</v>
      </c>
      <c r="F469" s="153" t="s">
        <v>2102</v>
      </c>
      <c r="G469" s="153" t="s">
        <v>242</v>
      </c>
      <c r="H469" s="153" t="s">
        <v>1958</v>
      </c>
      <c r="I469" s="153"/>
      <c r="J469" s="153" t="s">
        <v>351</v>
      </c>
      <c r="K469" s="153" t="s">
        <v>1595</v>
      </c>
      <c r="L469" s="153" t="s">
        <v>612</v>
      </c>
      <c r="M469" s="153" t="s">
        <v>2174</v>
      </c>
      <c r="N469" s="153" t="s">
        <v>2800</v>
      </c>
      <c r="P469" s="153">
        <v>258</v>
      </c>
      <c r="R469" s="153"/>
      <c r="S469" s="153"/>
    </row>
    <row r="470" spans="1:19" s="58" customFormat="1" ht="18" customHeight="1">
      <c r="A470" s="153">
        <v>536</v>
      </c>
      <c r="B470" s="153" t="s">
        <v>612</v>
      </c>
      <c r="C470" s="153" t="s">
        <v>1388</v>
      </c>
      <c r="D470" s="168">
        <v>14</v>
      </c>
      <c r="E470" s="153" t="s">
        <v>532</v>
      </c>
      <c r="F470" s="153" t="s">
        <v>2102</v>
      </c>
      <c r="G470" s="153" t="s">
        <v>242</v>
      </c>
      <c r="H470" s="153" t="s">
        <v>1958</v>
      </c>
      <c r="I470" s="153"/>
      <c r="J470" s="153" t="s">
        <v>351</v>
      </c>
      <c r="K470" s="153" t="s">
        <v>1595</v>
      </c>
      <c r="L470" s="153" t="s">
        <v>612</v>
      </c>
      <c r="M470" s="153" t="s">
        <v>1388</v>
      </c>
      <c r="N470" s="153" t="s">
        <v>2800</v>
      </c>
      <c r="P470" s="153">
        <v>236</v>
      </c>
      <c r="R470" s="153"/>
      <c r="S470" s="153"/>
    </row>
    <row r="471" spans="1:19" s="58" customFormat="1" ht="18" customHeight="1">
      <c r="A471" s="153">
        <v>537</v>
      </c>
      <c r="B471" s="153" t="s">
        <v>612</v>
      </c>
      <c r="C471" s="153" t="s">
        <v>2175</v>
      </c>
      <c r="D471" s="168">
        <v>115</v>
      </c>
      <c r="E471" s="153" t="s">
        <v>532</v>
      </c>
      <c r="F471" s="153" t="s">
        <v>2102</v>
      </c>
      <c r="G471" s="153" t="s">
        <v>242</v>
      </c>
      <c r="H471" s="153" t="s">
        <v>1958</v>
      </c>
      <c r="I471" s="153"/>
      <c r="J471" s="153" t="s">
        <v>351</v>
      </c>
      <c r="K471" s="153" t="s">
        <v>1595</v>
      </c>
      <c r="L471" s="153" t="s">
        <v>612</v>
      </c>
      <c r="M471" s="153" t="s">
        <v>2175</v>
      </c>
      <c r="N471" s="153" t="s">
        <v>2800</v>
      </c>
      <c r="P471" s="153">
        <v>256</v>
      </c>
      <c r="R471" s="153"/>
      <c r="S471" s="153"/>
    </row>
    <row r="472" spans="1:19" s="58" customFormat="1" ht="18" customHeight="1">
      <c r="A472" s="153">
        <v>538</v>
      </c>
      <c r="B472" s="153" t="s">
        <v>612</v>
      </c>
      <c r="C472" s="153" t="s">
        <v>2176</v>
      </c>
      <c r="D472" s="168">
        <v>65</v>
      </c>
      <c r="E472" s="153" t="s">
        <v>532</v>
      </c>
      <c r="F472" s="153" t="s">
        <v>2102</v>
      </c>
      <c r="G472" s="153" t="s">
        <v>242</v>
      </c>
      <c r="H472" s="153" t="s">
        <v>1958</v>
      </c>
      <c r="I472" s="153"/>
      <c r="J472" s="153" t="s">
        <v>351</v>
      </c>
      <c r="K472" s="153" t="s">
        <v>1595</v>
      </c>
      <c r="L472" s="153" t="s">
        <v>612</v>
      </c>
      <c r="M472" s="153" t="s">
        <v>2176</v>
      </c>
      <c r="N472" s="153" t="s">
        <v>2800</v>
      </c>
      <c r="P472" s="153">
        <v>249</v>
      </c>
      <c r="R472" s="153"/>
      <c r="S472" s="153"/>
    </row>
    <row r="473" spans="1:19" s="58" customFormat="1" ht="18" customHeight="1">
      <c r="A473" s="153">
        <v>539</v>
      </c>
      <c r="B473" s="153" t="s">
        <v>612</v>
      </c>
      <c r="C473" s="153" t="s">
        <v>2177</v>
      </c>
      <c r="D473" s="168">
        <v>106</v>
      </c>
      <c r="E473" s="153" t="s">
        <v>532</v>
      </c>
      <c r="F473" s="153" t="s">
        <v>2102</v>
      </c>
      <c r="G473" s="153" t="s">
        <v>242</v>
      </c>
      <c r="H473" s="153" t="s">
        <v>1958</v>
      </c>
      <c r="I473" s="153"/>
      <c r="J473" s="153" t="s">
        <v>351</v>
      </c>
      <c r="K473" s="153" t="s">
        <v>1595</v>
      </c>
      <c r="L473" s="153" t="s">
        <v>612</v>
      </c>
      <c r="M473" s="153" t="s">
        <v>2177</v>
      </c>
      <c r="N473" s="153" t="s">
        <v>2800</v>
      </c>
      <c r="P473" s="153">
        <v>255</v>
      </c>
      <c r="R473" s="153"/>
      <c r="S473" s="153"/>
    </row>
    <row r="474" spans="1:19" s="58" customFormat="1" ht="18" customHeight="1">
      <c r="A474" s="153">
        <v>540</v>
      </c>
      <c r="B474" s="153" t="s">
        <v>612</v>
      </c>
      <c r="C474" s="153" t="s">
        <v>2178</v>
      </c>
      <c r="D474" s="168">
        <v>37</v>
      </c>
      <c r="E474" s="153" t="s">
        <v>532</v>
      </c>
      <c r="F474" s="153" t="s">
        <v>2102</v>
      </c>
      <c r="G474" s="153" t="s">
        <v>242</v>
      </c>
      <c r="H474" s="153" t="s">
        <v>1958</v>
      </c>
      <c r="I474" s="153"/>
      <c r="J474" s="153" t="s">
        <v>351</v>
      </c>
      <c r="K474" s="153" t="s">
        <v>1595</v>
      </c>
      <c r="L474" s="153" t="s">
        <v>612</v>
      </c>
      <c r="M474" s="153" t="s">
        <v>2178</v>
      </c>
      <c r="N474" s="153" t="s">
        <v>2800</v>
      </c>
      <c r="P474" s="153">
        <v>242</v>
      </c>
      <c r="R474" s="153"/>
      <c r="S474" s="153"/>
    </row>
    <row r="475" spans="1:19" s="58" customFormat="1" ht="18" customHeight="1">
      <c r="A475" s="153">
        <v>541</v>
      </c>
      <c r="B475" s="153" t="s">
        <v>612</v>
      </c>
      <c r="C475" s="153" t="s">
        <v>2179</v>
      </c>
      <c r="D475" s="168">
        <v>33</v>
      </c>
      <c r="E475" s="153" t="s">
        <v>532</v>
      </c>
      <c r="F475" s="153" t="s">
        <v>2102</v>
      </c>
      <c r="G475" s="153" t="s">
        <v>242</v>
      </c>
      <c r="H475" s="153" t="s">
        <v>1958</v>
      </c>
      <c r="I475" s="153"/>
      <c r="J475" s="153" t="s">
        <v>351</v>
      </c>
      <c r="K475" s="153" t="s">
        <v>1595</v>
      </c>
      <c r="L475" s="153" t="s">
        <v>612</v>
      </c>
      <c r="M475" s="153" t="s">
        <v>2179</v>
      </c>
      <c r="N475" s="153" t="s">
        <v>2800</v>
      </c>
      <c r="P475" s="153">
        <v>241</v>
      </c>
      <c r="R475" s="153"/>
      <c r="S475" s="153"/>
    </row>
    <row r="476" spans="1:19" s="58" customFormat="1" ht="18" customHeight="1">
      <c r="A476" s="153">
        <v>542</v>
      </c>
      <c r="B476" s="153" t="s">
        <v>612</v>
      </c>
      <c r="C476" s="153" t="s">
        <v>2180</v>
      </c>
      <c r="D476" s="168">
        <v>53</v>
      </c>
      <c r="E476" s="153" t="s">
        <v>532</v>
      </c>
      <c r="F476" s="153" t="s">
        <v>2102</v>
      </c>
      <c r="G476" s="153" t="s">
        <v>242</v>
      </c>
      <c r="H476" s="153" t="s">
        <v>1958</v>
      </c>
      <c r="I476" s="153"/>
      <c r="J476" s="153" t="s">
        <v>351</v>
      </c>
      <c r="K476" s="153" t="s">
        <v>1595</v>
      </c>
      <c r="L476" s="153" t="s">
        <v>612</v>
      </c>
      <c r="M476" s="153" t="s">
        <v>2180</v>
      </c>
      <c r="N476" s="153" t="s">
        <v>2800</v>
      </c>
      <c r="P476" s="153">
        <v>247</v>
      </c>
      <c r="R476" s="153"/>
      <c r="S476" s="153"/>
    </row>
    <row r="477" spans="1:19" s="58" customFormat="1" ht="18" customHeight="1">
      <c r="A477" s="153">
        <v>543</v>
      </c>
      <c r="B477" s="153" t="s">
        <v>612</v>
      </c>
      <c r="C477" s="153" t="s">
        <v>2181</v>
      </c>
      <c r="D477" s="168">
        <v>57</v>
      </c>
      <c r="E477" s="153" t="s">
        <v>532</v>
      </c>
      <c r="F477" s="153" t="s">
        <v>2102</v>
      </c>
      <c r="G477" s="153" t="s">
        <v>242</v>
      </c>
      <c r="H477" s="153" t="s">
        <v>1958</v>
      </c>
      <c r="I477" s="153"/>
      <c r="J477" s="153" t="s">
        <v>351</v>
      </c>
      <c r="K477" s="153" t="s">
        <v>1595</v>
      </c>
      <c r="L477" s="153" t="s">
        <v>612</v>
      </c>
      <c r="M477" s="153" t="s">
        <v>2181</v>
      </c>
      <c r="N477" s="153" t="s">
        <v>2800</v>
      </c>
      <c r="P477" s="153">
        <v>248</v>
      </c>
      <c r="R477" s="153"/>
      <c r="S477" s="153"/>
    </row>
    <row r="478" spans="1:19" s="58" customFormat="1" ht="18" customHeight="1">
      <c r="A478" s="153">
        <v>544</v>
      </c>
      <c r="B478" s="153" t="s">
        <v>612</v>
      </c>
      <c r="C478" s="153" t="s">
        <v>2182</v>
      </c>
      <c r="D478" s="168">
        <v>51</v>
      </c>
      <c r="E478" s="153" t="s">
        <v>532</v>
      </c>
      <c r="F478" s="153" t="s">
        <v>2102</v>
      </c>
      <c r="G478" s="153" t="s">
        <v>242</v>
      </c>
      <c r="H478" s="153" t="s">
        <v>1958</v>
      </c>
      <c r="I478" s="153"/>
      <c r="J478" s="153" t="s">
        <v>351</v>
      </c>
      <c r="K478" s="153" t="s">
        <v>1595</v>
      </c>
      <c r="L478" s="153" t="s">
        <v>612</v>
      </c>
      <c r="M478" s="153" t="s">
        <v>2182</v>
      </c>
      <c r="N478" s="153" t="s">
        <v>2800</v>
      </c>
      <c r="P478" s="153">
        <v>245</v>
      </c>
      <c r="R478" s="153"/>
      <c r="S478" s="153"/>
    </row>
    <row r="479" spans="1:19" s="58" customFormat="1" ht="18" customHeight="1">
      <c r="A479" s="153">
        <v>545</v>
      </c>
      <c r="B479" s="153" t="s">
        <v>612</v>
      </c>
      <c r="C479" s="153" t="s">
        <v>2183</v>
      </c>
      <c r="D479" s="168">
        <v>24</v>
      </c>
      <c r="E479" s="153" t="s">
        <v>532</v>
      </c>
      <c r="F479" s="153" t="s">
        <v>2102</v>
      </c>
      <c r="G479" s="153" t="s">
        <v>242</v>
      </c>
      <c r="H479" s="153" t="s">
        <v>1958</v>
      </c>
      <c r="I479" s="153"/>
      <c r="J479" s="153" t="s">
        <v>351</v>
      </c>
      <c r="K479" s="153" t="s">
        <v>1595</v>
      </c>
      <c r="L479" s="153" t="s">
        <v>612</v>
      </c>
      <c r="M479" s="153" t="s">
        <v>2183</v>
      </c>
      <c r="N479" s="153" t="s">
        <v>2800</v>
      </c>
      <c r="P479" s="153">
        <v>237</v>
      </c>
      <c r="R479" s="153"/>
      <c r="S479" s="153"/>
    </row>
    <row r="480" spans="1:19" s="58" customFormat="1" ht="18" customHeight="1">
      <c r="A480" s="153">
        <v>546</v>
      </c>
      <c r="B480" s="153" t="s">
        <v>615</v>
      </c>
      <c r="C480" s="153" t="s">
        <v>616</v>
      </c>
      <c r="D480" s="168">
        <v>1</v>
      </c>
      <c r="E480" s="153" t="s">
        <v>531</v>
      </c>
      <c r="F480" s="153"/>
      <c r="G480" s="153" t="s">
        <v>616</v>
      </c>
      <c r="H480" s="153" t="s">
        <v>1618</v>
      </c>
      <c r="I480" s="153" t="s">
        <v>2646</v>
      </c>
      <c r="J480" s="153" t="s">
        <v>351</v>
      </c>
      <c r="K480" s="153" t="s">
        <v>1595</v>
      </c>
      <c r="L480" s="153" t="s">
        <v>615</v>
      </c>
      <c r="M480" s="153" t="s">
        <v>616</v>
      </c>
      <c r="N480" s="153" t="s">
        <v>2801</v>
      </c>
      <c r="P480" s="153"/>
      <c r="R480" s="153"/>
      <c r="S480" s="153"/>
    </row>
    <row r="481" spans="1:19" s="58" customFormat="1" ht="18" customHeight="1">
      <c r="A481" s="153">
        <v>547</v>
      </c>
      <c r="B481" s="153" t="s">
        <v>615</v>
      </c>
      <c r="C481" s="153" t="s">
        <v>617</v>
      </c>
      <c r="D481" s="168">
        <v>2</v>
      </c>
      <c r="E481" s="153" t="s">
        <v>531</v>
      </c>
      <c r="F481" s="153"/>
      <c r="G481" s="153" t="s">
        <v>617</v>
      </c>
      <c r="H481" s="153" t="s">
        <v>1618</v>
      </c>
      <c r="I481" s="153" t="s">
        <v>2646</v>
      </c>
      <c r="J481" s="153" t="s">
        <v>351</v>
      </c>
      <c r="K481" s="153" t="s">
        <v>1595</v>
      </c>
      <c r="L481" s="153" t="s">
        <v>615</v>
      </c>
      <c r="M481" s="153" t="s">
        <v>617</v>
      </c>
      <c r="N481" s="153" t="s">
        <v>2801</v>
      </c>
      <c r="P481" s="153"/>
      <c r="R481" s="153"/>
      <c r="S481" s="153"/>
    </row>
    <row r="482" spans="1:19" s="58" customFormat="1" ht="18" customHeight="1">
      <c r="A482" s="153">
        <v>548</v>
      </c>
      <c r="B482" s="153" t="s">
        <v>615</v>
      </c>
      <c r="C482" s="153" t="s">
        <v>618</v>
      </c>
      <c r="D482" s="168">
        <v>3</v>
      </c>
      <c r="E482" s="153" t="s">
        <v>531</v>
      </c>
      <c r="F482" s="153"/>
      <c r="G482" s="153" t="s">
        <v>618</v>
      </c>
      <c r="H482" s="153" t="s">
        <v>1618</v>
      </c>
      <c r="I482" s="153" t="s">
        <v>2646</v>
      </c>
      <c r="J482" s="153" t="s">
        <v>351</v>
      </c>
      <c r="K482" s="153" t="s">
        <v>1595</v>
      </c>
      <c r="L482" s="153" t="s">
        <v>615</v>
      </c>
      <c r="M482" s="153" t="s">
        <v>618</v>
      </c>
      <c r="N482" s="153" t="s">
        <v>2801</v>
      </c>
      <c r="P482" s="153"/>
      <c r="R482" s="153"/>
      <c r="S482" s="153"/>
    </row>
    <row r="483" spans="1:19" s="58" customFormat="1" ht="18" customHeight="1">
      <c r="A483" s="153">
        <v>549</v>
      </c>
      <c r="B483" s="153" t="s">
        <v>615</v>
      </c>
      <c r="C483" s="153" t="s">
        <v>619</v>
      </c>
      <c r="D483" s="168">
        <v>4</v>
      </c>
      <c r="E483" s="153" t="s">
        <v>531</v>
      </c>
      <c r="F483" s="153"/>
      <c r="G483" s="153" t="s">
        <v>619</v>
      </c>
      <c r="H483" s="153" t="s">
        <v>1618</v>
      </c>
      <c r="I483" s="153" t="s">
        <v>2646</v>
      </c>
      <c r="J483" s="153" t="s">
        <v>351</v>
      </c>
      <c r="K483" s="153" t="s">
        <v>1595</v>
      </c>
      <c r="L483" s="153" t="s">
        <v>615</v>
      </c>
      <c r="M483" s="153" t="s">
        <v>619</v>
      </c>
      <c r="N483" s="153" t="s">
        <v>2801</v>
      </c>
      <c r="P483" s="153"/>
      <c r="R483" s="153"/>
      <c r="S483" s="153"/>
    </row>
    <row r="484" spans="1:19" s="58" customFormat="1" ht="18" customHeight="1">
      <c r="A484" s="153">
        <v>550</v>
      </c>
      <c r="B484" s="153" t="s">
        <v>615</v>
      </c>
      <c r="C484" s="153" t="s">
        <v>199</v>
      </c>
      <c r="D484" s="168">
        <v>5</v>
      </c>
      <c r="E484" s="153" t="s">
        <v>531</v>
      </c>
      <c r="F484" s="153"/>
      <c r="G484" s="153" t="s">
        <v>199</v>
      </c>
      <c r="H484" s="153" t="s">
        <v>1618</v>
      </c>
      <c r="I484" s="153" t="s">
        <v>2646</v>
      </c>
      <c r="J484" s="153" t="s">
        <v>351</v>
      </c>
      <c r="K484" s="153" t="s">
        <v>1595</v>
      </c>
      <c r="L484" s="153" t="s">
        <v>615</v>
      </c>
      <c r="M484" s="153" t="s">
        <v>199</v>
      </c>
      <c r="N484" s="153" t="s">
        <v>2801</v>
      </c>
      <c r="P484" s="153"/>
      <c r="R484" s="153"/>
      <c r="S484" s="153"/>
    </row>
    <row r="485" spans="1:19" s="58" customFormat="1" ht="18" customHeight="1">
      <c r="A485" s="153">
        <v>551</v>
      </c>
      <c r="B485" s="153" t="s">
        <v>615</v>
      </c>
      <c r="C485" s="153" t="s">
        <v>868</v>
      </c>
      <c r="D485" s="168">
        <v>5</v>
      </c>
      <c r="E485" s="153" t="s">
        <v>531</v>
      </c>
      <c r="F485" s="153"/>
      <c r="G485" s="153" t="s">
        <v>868</v>
      </c>
      <c r="H485" s="153" t="s">
        <v>1618</v>
      </c>
      <c r="I485" s="153" t="s">
        <v>2646</v>
      </c>
      <c r="J485" s="153" t="s">
        <v>351</v>
      </c>
      <c r="K485" s="153" t="s">
        <v>1595</v>
      </c>
      <c r="L485" s="153" t="s">
        <v>615</v>
      </c>
      <c r="M485" s="153" t="s">
        <v>868</v>
      </c>
      <c r="N485" s="153" t="s">
        <v>2801</v>
      </c>
      <c r="P485" s="153"/>
      <c r="R485" s="153"/>
      <c r="S485" s="153"/>
    </row>
    <row r="486" spans="1:19" s="58" customFormat="1" ht="18" customHeight="1">
      <c r="A486" s="153">
        <v>552</v>
      </c>
      <c r="B486" s="153" t="s">
        <v>615</v>
      </c>
      <c r="C486" s="153" t="s">
        <v>2733</v>
      </c>
      <c r="D486" s="168">
        <v>6</v>
      </c>
      <c r="E486" s="153" t="s">
        <v>531</v>
      </c>
      <c r="F486" s="153"/>
      <c r="G486" s="153" t="s">
        <v>838</v>
      </c>
      <c r="H486" s="153" t="s">
        <v>1618</v>
      </c>
      <c r="I486" s="153"/>
      <c r="J486" s="153" t="s">
        <v>351</v>
      </c>
      <c r="K486" s="153" t="s">
        <v>1595</v>
      </c>
      <c r="L486" s="153" t="s">
        <v>615</v>
      </c>
      <c r="M486" s="153" t="s">
        <v>242</v>
      </c>
      <c r="N486" s="153" t="s">
        <v>2801</v>
      </c>
      <c r="P486" s="153"/>
      <c r="R486" s="153"/>
      <c r="S486" s="153"/>
    </row>
    <row r="487" spans="1:19" s="58" customFormat="1" ht="18" customHeight="1">
      <c r="A487" s="153">
        <v>553</v>
      </c>
      <c r="B487" s="153" t="s">
        <v>615</v>
      </c>
      <c r="C487" s="153" t="s">
        <v>2162</v>
      </c>
      <c r="D487" s="168">
        <v>24</v>
      </c>
      <c r="E487" s="153" t="s">
        <v>531</v>
      </c>
      <c r="F487" s="153" t="s">
        <v>2102</v>
      </c>
      <c r="G487" s="153" t="s">
        <v>242</v>
      </c>
      <c r="H487" s="153" t="s">
        <v>1959</v>
      </c>
      <c r="I487" s="153" t="s">
        <v>2646</v>
      </c>
      <c r="J487" s="153" t="s">
        <v>351</v>
      </c>
      <c r="K487" s="153" t="s">
        <v>1595</v>
      </c>
      <c r="L487" s="153" t="s">
        <v>615</v>
      </c>
      <c r="M487" s="153" t="s">
        <v>2184</v>
      </c>
      <c r="N487" s="153" t="s">
        <v>2801</v>
      </c>
      <c r="P487" s="153"/>
      <c r="R487" s="153"/>
      <c r="S487" s="153"/>
    </row>
    <row r="488" spans="1:19" s="58" customFormat="1" ht="18" customHeight="1">
      <c r="A488" s="153">
        <v>554</v>
      </c>
      <c r="B488" s="153" t="s">
        <v>615</v>
      </c>
      <c r="C488" s="153" t="s">
        <v>2119</v>
      </c>
      <c r="D488" s="168">
        <v>10</v>
      </c>
      <c r="E488" s="153" t="s">
        <v>531</v>
      </c>
      <c r="F488" s="153" t="s">
        <v>2102</v>
      </c>
      <c r="G488" s="153" t="s">
        <v>242</v>
      </c>
      <c r="H488" s="153" t="s">
        <v>2185</v>
      </c>
      <c r="I488" s="153" t="s">
        <v>2646</v>
      </c>
      <c r="J488" s="153" t="s">
        <v>351</v>
      </c>
      <c r="K488" s="153" t="s">
        <v>1595</v>
      </c>
      <c r="L488" s="153" t="s">
        <v>615</v>
      </c>
      <c r="M488" s="153" t="s">
        <v>2119</v>
      </c>
      <c r="N488" s="153" t="s">
        <v>2801</v>
      </c>
      <c r="P488" s="153">
        <v>224</v>
      </c>
      <c r="R488" s="153"/>
      <c r="S488" s="153"/>
    </row>
    <row r="489" spans="1:19" s="58" customFormat="1" ht="18" customHeight="1">
      <c r="A489" s="153">
        <v>555</v>
      </c>
      <c r="B489" s="153" t="s">
        <v>615</v>
      </c>
      <c r="C489" s="153" t="s">
        <v>2186</v>
      </c>
      <c r="D489" s="168">
        <v>17</v>
      </c>
      <c r="E489" s="153" t="s">
        <v>531</v>
      </c>
      <c r="F489" s="153" t="s">
        <v>2102</v>
      </c>
      <c r="G489" s="153" t="s">
        <v>242</v>
      </c>
      <c r="H489" s="153" t="s">
        <v>2185</v>
      </c>
      <c r="I489" s="153" t="s">
        <v>2646</v>
      </c>
      <c r="J489" s="153" t="s">
        <v>351</v>
      </c>
      <c r="K489" s="153" t="s">
        <v>1595</v>
      </c>
      <c r="L489" s="153" t="s">
        <v>615</v>
      </c>
      <c r="M489" s="153" t="s">
        <v>2186</v>
      </c>
      <c r="N489" s="153" t="s">
        <v>2801</v>
      </c>
      <c r="P489" s="153"/>
      <c r="R489" s="153"/>
      <c r="S489" s="153"/>
    </row>
    <row r="490" spans="1:19" s="58" customFormat="1" ht="18" customHeight="1">
      <c r="A490" s="153">
        <v>556</v>
      </c>
      <c r="B490" s="153" t="s">
        <v>615</v>
      </c>
      <c r="C490" s="153" t="s">
        <v>2187</v>
      </c>
      <c r="D490" s="168">
        <v>12</v>
      </c>
      <c r="E490" s="153" t="s">
        <v>531</v>
      </c>
      <c r="F490" s="153" t="s">
        <v>2102</v>
      </c>
      <c r="G490" s="153" t="s">
        <v>242</v>
      </c>
      <c r="H490" s="153" t="s">
        <v>2185</v>
      </c>
      <c r="I490" s="153" t="s">
        <v>2646</v>
      </c>
      <c r="J490" s="153" t="s">
        <v>351</v>
      </c>
      <c r="K490" s="153" t="s">
        <v>1595</v>
      </c>
      <c r="L490" s="153" t="s">
        <v>615</v>
      </c>
      <c r="M490" s="153" t="s">
        <v>2187</v>
      </c>
      <c r="N490" s="153" t="s">
        <v>2801</v>
      </c>
      <c r="P490" s="153"/>
      <c r="R490" s="153"/>
      <c r="S490" s="153"/>
    </row>
    <row r="491" spans="1:19" s="58" customFormat="1" ht="18" customHeight="1">
      <c r="A491" s="153">
        <v>557</v>
      </c>
      <c r="B491" s="153" t="s">
        <v>615</v>
      </c>
      <c r="C491" s="153" t="s">
        <v>2188</v>
      </c>
      <c r="D491" s="168">
        <v>20</v>
      </c>
      <c r="E491" s="153" t="s">
        <v>531</v>
      </c>
      <c r="F491" s="153" t="s">
        <v>2102</v>
      </c>
      <c r="G491" s="153" t="s">
        <v>242</v>
      </c>
      <c r="H491" s="153" t="s">
        <v>1959</v>
      </c>
      <c r="I491" s="153" t="s">
        <v>2646</v>
      </c>
      <c r="J491" s="153" t="s">
        <v>351</v>
      </c>
      <c r="K491" s="153" t="s">
        <v>1595</v>
      </c>
      <c r="L491" s="153" t="s">
        <v>615</v>
      </c>
      <c r="M491" s="153" t="s">
        <v>2188</v>
      </c>
      <c r="N491" s="153" t="s">
        <v>2801</v>
      </c>
      <c r="P491" s="153">
        <v>229</v>
      </c>
      <c r="R491" s="153"/>
      <c r="S491" s="153"/>
    </row>
    <row r="492" spans="1:19" s="58" customFormat="1" ht="18" customHeight="1">
      <c r="A492" s="153">
        <v>558</v>
      </c>
      <c r="B492" s="153" t="s">
        <v>615</v>
      </c>
      <c r="C492" s="153" t="s">
        <v>2189</v>
      </c>
      <c r="D492" s="168">
        <v>41</v>
      </c>
      <c r="E492" s="153" t="s">
        <v>531</v>
      </c>
      <c r="F492" s="153" t="s">
        <v>2102</v>
      </c>
      <c r="G492" s="153" t="s">
        <v>242</v>
      </c>
      <c r="H492" s="153" t="s">
        <v>2190</v>
      </c>
      <c r="I492" s="153" t="s">
        <v>2646</v>
      </c>
      <c r="J492" s="153" t="s">
        <v>351</v>
      </c>
      <c r="K492" s="153" t="s">
        <v>1595</v>
      </c>
      <c r="L492" s="153" t="s">
        <v>615</v>
      </c>
      <c r="M492" s="153" t="s">
        <v>2189</v>
      </c>
      <c r="N492" s="153" t="s">
        <v>2801</v>
      </c>
      <c r="P492" s="153"/>
      <c r="R492" s="153"/>
      <c r="S492" s="153"/>
    </row>
    <row r="493" spans="1:19" s="58" customFormat="1" ht="18" customHeight="1">
      <c r="A493" s="153">
        <v>559</v>
      </c>
      <c r="B493" s="153" t="s">
        <v>615</v>
      </c>
      <c r="C493" s="153" t="s">
        <v>2191</v>
      </c>
      <c r="D493" s="168">
        <v>14</v>
      </c>
      <c r="E493" s="153" t="s">
        <v>531</v>
      </c>
      <c r="F493" s="153" t="s">
        <v>2102</v>
      </c>
      <c r="G493" s="153" t="s">
        <v>242</v>
      </c>
      <c r="H493" s="153" t="s">
        <v>2185</v>
      </c>
      <c r="I493" s="153" t="s">
        <v>2646</v>
      </c>
      <c r="J493" s="153" t="s">
        <v>351</v>
      </c>
      <c r="K493" s="153" t="s">
        <v>1595</v>
      </c>
      <c r="L493" s="153" t="s">
        <v>615</v>
      </c>
      <c r="M493" s="153" t="s">
        <v>2191</v>
      </c>
      <c r="N493" s="153" t="s">
        <v>2801</v>
      </c>
      <c r="P493" s="153"/>
      <c r="R493" s="153"/>
      <c r="S493" s="153"/>
    </row>
    <row r="494" spans="1:19" s="58" customFormat="1" ht="18" customHeight="1">
      <c r="A494" s="153">
        <v>560</v>
      </c>
      <c r="B494" s="153" t="s">
        <v>615</v>
      </c>
      <c r="C494" s="153" t="s">
        <v>2192</v>
      </c>
      <c r="D494" s="168">
        <v>36</v>
      </c>
      <c r="E494" s="153" t="s">
        <v>531</v>
      </c>
      <c r="F494" s="153" t="s">
        <v>2102</v>
      </c>
      <c r="G494" s="153" t="s">
        <v>242</v>
      </c>
      <c r="H494" s="153" t="s">
        <v>2193</v>
      </c>
      <c r="I494" s="153" t="s">
        <v>2646</v>
      </c>
      <c r="J494" s="153" t="s">
        <v>351</v>
      </c>
      <c r="K494" s="153" t="s">
        <v>1595</v>
      </c>
      <c r="L494" s="153" t="s">
        <v>615</v>
      </c>
      <c r="M494" s="153" t="s">
        <v>2192</v>
      </c>
      <c r="N494" s="153" t="s">
        <v>2801</v>
      </c>
      <c r="P494" s="153"/>
      <c r="R494" s="153"/>
      <c r="S494" s="153"/>
    </row>
    <row r="495" spans="1:19" s="58" customFormat="1" ht="18" customHeight="1">
      <c r="A495" s="153">
        <v>561</v>
      </c>
      <c r="B495" s="153" t="s">
        <v>615</v>
      </c>
      <c r="C495" s="153" t="s">
        <v>2194</v>
      </c>
      <c r="D495" s="168">
        <v>23</v>
      </c>
      <c r="E495" s="153" t="s">
        <v>531</v>
      </c>
      <c r="F495" s="153" t="s">
        <v>2102</v>
      </c>
      <c r="G495" s="153" t="s">
        <v>242</v>
      </c>
      <c r="H495" s="153" t="s">
        <v>1959</v>
      </c>
      <c r="I495" s="153" t="s">
        <v>2646</v>
      </c>
      <c r="J495" s="153" t="s">
        <v>351</v>
      </c>
      <c r="K495" s="153" t="s">
        <v>1595</v>
      </c>
      <c r="L495" s="153" t="s">
        <v>615</v>
      </c>
      <c r="M495" s="153" t="s">
        <v>2194</v>
      </c>
      <c r="N495" s="153" t="s">
        <v>2801</v>
      </c>
      <c r="P495" s="153">
        <v>232</v>
      </c>
      <c r="R495" s="153"/>
      <c r="S495" s="153"/>
    </row>
    <row r="496" spans="1:19" s="58" customFormat="1" ht="18" customHeight="1">
      <c r="A496" s="153">
        <v>562</v>
      </c>
      <c r="B496" s="153" t="s">
        <v>615</v>
      </c>
      <c r="C496" s="153" t="s">
        <v>2195</v>
      </c>
      <c r="D496" s="168">
        <v>22</v>
      </c>
      <c r="E496" s="153" t="s">
        <v>531</v>
      </c>
      <c r="F496" s="153" t="s">
        <v>2102</v>
      </c>
      <c r="G496" s="153" t="s">
        <v>242</v>
      </c>
      <c r="H496" s="153" t="s">
        <v>1959</v>
      </c>
      <c r="I496" s="153" t="s">
        <v>2646</v>
      </c>
      <c r="J496" s="153" t="s">
        <v>351</v>
      </c>
      <c r="K496" s="153" t="s">
        <v>1595</v>
      </c>
      <c r="L496" s="153" t="s">
        <v>615</v>
      </c>
      <c r="M496" s="153" t="s">
        <v>2195</v>
      </c>
      <c r="N496" s="153" t="s">
        <v>2801</v>
      </c>
      <c r="P496" s="153">
        <v>231</v>
      </c>
      <c r="R496" s="153"/>
      <c r="S496" s="153"/>
    </row>
    <row r="497" spans="1:19" s="58" customFormat="1" ht="18" customHeight="1">
      <c r="A497" s="153">
        <v>563</v>
      </c>
      <c r="B497" s="153" t="s">
        <v>615</v>
      </c>
      <c r="C497" s="153" t="s">
        <v>2196</v>
      </c>
      <c r="D497" s="168">
        <v>3</v>
      </c>
      <c r="E497" s="153" t="s">
        <v>531</v>
      </c>
      <c r="F497" s="153" t="s">
        <v>2102</v>
      </c>
      <c r="G497" s="153" t="s">
        <v>242</v>
      </c>
      <c r="H497" s="153" t="s">
        <v>2197</v>
      </c>
      <c r="I497" s="153" t="s">
        <v>2646</v>
      </c>
      <c r="J497" s="153" t="s">
        <v>351</v>
      </c>
      <c r="K497" s="153" t="s">
        <v>1595</v>
      </c>
      <c r="L497" s="153" t="s">
        <v>615</v>
      </c>
      <c r="M497" s="153" t="s">
        <v>2196</v>
      </c>
      <c r="N497" s="153" t="s">
        <v>2801</v>
      </c>
      <c r="P497" s="153">
        <v>23</v>
      </c>
      <c r="R497" s="153"/>
      <c r="S497" s="153"/>
    </row>
    <row r="498" spans="1:19" s="58" customFormat="1" ht="18" customHeight="1">
      <c r="A498" s="153">
        <v>564</v>
      </c>
      <c r="B498" s="153" t="s">
        <v>615</v>
      </c>
      <c r="C498" s="153" t="s">
        <v>2198</v>
      </c>
      <c r="D498" s="168">
        <v>47</v>
      </c>
      <c r="E498" s="153" t="s">
        <v>531</v>
      </c>
      <c r="F498" s="153" t="s">
        <v>2102</v>
      </c>
      <c r="G498" s="153" t="s">
        <v>242</v>
      </c>
      <c r="H498" s="153" t="s">
        <v>2197</v>
      </c>
      <c r="I498" s="153" t="s">
        <v>2646</v>
      </c>
      <c r="J498" s="153" t="s">
        <v>351</v>
      </c>
      <c r="K498" s="153" t="s">
        <v>1595</v>
      </c>
      <c r="L498" s="153" t="s">
        <v>615</v>
      </c>
      <c r="M498" s="153" t="s">
        <v>2198</v>
      </c>
      <c r="N498" s="153" t="s">
        <v>2801</v>
      </c>
      <c r="P498" s="153"/>
      <c r="R498" s="153"/>
      <c r="S498" s="153"/>
    </row>
    <row r="499" spans="1:19" s="58" customFormat="1" ht="18" customHeight="1">
      <c r="A499" s="153">
        <v>565</v>
      </c>
      <c r="B499" s="153" t="s">
        <v>615</v>
      </c>
      <c r="C499" s="153" t="s">
        <v>2199</v>
      </c>
      <c r="D499" s="168">
        <v>21</v>
      </c>
      <c r="E499" s="153" t="s">
        <v>531</v>
      </c>
      <c r="F499" s="153" t="s">
        <v>2102</v>
      </c>
      <c r="G499" s="153" t="s">
        <v>242</v>
      </c>
      <c r="H499" s="153" t="s">
        <v>1959</v>
      </c>
      <c r="I499" s="153" t="s">
        <v>2646</v>
      </c>
      <c r="J499" s="153" t="s">
        <v>351</v>
      </c>
      <c r="K499" s="153" t="s">
        <v>1595</v>
      </c>
      <c r="L499" s="153" t="s">
        <v>615</v>
      </c>
      <c r="M499" s="153" t="s">
        <v>2199</v>
      </c>
      <c r="N499" s="153" t="s">
        <v>2801</v>
      </c>
      <c r="P499" s="153">
        <v>230</v>
      </c>
      <c r="R499" s="153"/>
      <c r="S499" s="153"/>
    </row>
    <row r="500" spans="1:19" s="58" customFormat="1" ht="18" customHeight="1">
      <c r="A500" s="153">
        <v>566</v>
      </c>
      <c r="B500" s="153" t="s">
        <v>615</v>
      </c>
      <c r="C500" s="153" t="s">
        <v>2200</v>
      </c>
      <c r="D500" s="168">
        <v>28</v>
      </c>
      <c r="E500" s="153" t="s">
        <v>531</v>
      </c>
      <c r="F500" s="153" t="s">
        <v>2102</v>
      </c>
      <c r="G500" s="153" t="s">
        <v>242</v>
      </c>
      <c r="H500" s="153" t="s">
        <v>2197</v>
      </c>
      <c r="I500" s="153" t="s">
        <v>2646</v>
      </c>
      <c r="J500" s="153" t="s">
        <v>351</v>
      </c>
      <c r="K500" s="153" t="s">
        <v>1595</v>
      </c>
      <c r="L500" s="153" t="s">
        <v>615</v>
      </c>
      <c r="M500" s="153" t="s">
        <v>2200</v>
      </c>
      <c r="N500" s="153" t="s">
        <v>2801</v>
      </c>
      <c r="P500" s="153"/>
      <c r="R500" s="153"/>
      <c r="S500" s="153"/>
    </row>
    <row r="501" spans="1:19" s="58" customFormat="1" ht="18" customHeight="1">
      <c r="A501" s="153">
        <v>567</v>
      </c>
      <c r="B501" s="153" t="s">
        <v>615</v>
      </c>
      <c r="C501" s="153" t="s">
        <v>2201</v>
      </c>
      <c r="D501" s="168">
        <v>40</v>
      </c>
      <c r="E501" s="153" t="s">
        <v>531</v>
      </c>
      <c r="F501" s="153" t="s">
        <v>2102</v>
      </c>
      <c r="G501" s="153" t="s">
        <v>242</v>
      </c>
      <c r="H501" s="153" t="s">
        <v>2190</v>
      </c>
      <c r="I501" s="153" t="s">
        <v>2646</v>
      </c>
      <c r="J501" s="153" t="s">
        <v>351</v>
      </c>
      <c r="K501" s="153" t="s">
        <v>1595</v>
      </c>
      <c r="L501" s="153" t="s">
        <v>615</v>
      </c>
      <c r="M501" s="153" t="s">
        <v>2201</v>
      </c>
      <c r="N501" s="153" t="s">
        <v>2801</v>
      </c>
      <c r="P501" s="153"/>
      <c r="R501" s="153"/>
      <c r="S501" s="153"/>
    </row>
    <row r="502" spans="1:19" s="58" customFormat="1" ht="18" customHeight="1">
      <c r="A502" s="153">
        <v>568</v>
      </c>
      <c r="B502" s="153" t="s">
        <v>615</v>
      </c>
      <c r="C502" s="153" t="s">
        <v>2202</v>
      </c>
      <c r="D502" s="168">
        <v>45</v>
      </c>
      <c r="E502" s="153" t="s">
        <v>531</v>
      </c>
      <c r="F502" s="153" t="s">
        <v>2102</v>
      </c>
      <c r="G502" s="153" t="s">
        <v>242</v>
      </c>
      <c r="H502" s="153" t="s">
        <v>2203</v>
      </c>
      <c r="I502" s="153" t="s">
        <v>2646</v>
      </c>
      <c r="J502" s="153" t="s">
        <v>351</v>
      </c>
      <c r="K502" s="153" t="s">
        <v>1595</v>
      </c>
      <c r="L502" s="153" t="s">
        <v>615</v>
      </c>
      <c r="M502" s="153" t="s">
        <v>2202</v>
      </c>
      <c r="N502" s="153" t="s">
        <v>2801</v>
      </c>
      <c r="P502" s="153"/>
      <c r="R502" s="153"/>
      <c r="S502" s="153"/>
    </row>
    <row r="503" spans="1:19" s="58" customFormat="1" ht="18" customHeight="1">
      <c r="A503" s="153">
        <v>569</v>
      </c>
      <c r="B503" s="153" t="s">
        <v>615</v>
      </c>
      <c r="C503" s="153" t="s">
        <v>2204</v>
      </c>
      <c r="D503" s="168">
        <v>39</v>
      </c>
      <c r="E503" s="153" t="s">
        <v>531</v>
      </c>
      <c r="F503" s="153" t="s">
        <v>2102</v>
      </c>
      <c r="G503" s="153" t="s">
        <v>242</v>
      </c>
      <c r="H503" s="153" t="s">
        <v>2190</v>
      </c>
      <c r="I503" s="153" t="s">
        <v>2646</v>
      </c>
      <c r="J503" s="153" t="s">
        <v>351</v>
      </c>
      <c r="K503" s="153" t="s">
        <v>1595</v>
      </c>
      <c r="L503" s="153" t="s">
        <v>615</v>
      </c>
      <c r="M503" s="153" t="s">
        <v>2204</v>
      </c>
      <c r="N503" s="153" t="s">
        <v>2801</v>
      </c>
      <c r="P503" s="153"/>
      <c r="R503" s="153"/>
      <c r="S503" s="153"/>
    </row>
    <row r="504" spans="1:19" s="58" customFormat="1" ht="18" customHeight="1">
      <c r="A504" s="153">
        <v>570</v>
      </c>
      <c r="B504" s="153" t="s">
        <v>615</v>
      </c>
      <c r="C504" s="153" t="s">
        <v>611</v>
      </c>
      <c r="D504" s="168">
        <v>38</v>
      </c>
      <c r="E504" s="153" t="s">
        <v>531</v>
      </c>
      <c r="F504" s="153" t="s">
        <v>2102</v>
      </c>
      <c r="G504" s="153" t="s">
        <v>242</v>
      </c>
      <c r="H504" s="153" t="s">
        <v>2190</v>
      </c>
      <c r="I504" s="153" t="s">
        <v>2646</v>
      </c>
      <c r="J504" s="153" t="s">
        <v>351</v>
      </c>
      <c r="K504" s="153" t="s">
        <v>1595</v>
      </c>
      <c r="L504" s="153" t="s">
        <v>615</v>
      </c>
      <c r="M504" s="153" t="s">
        <v>611</v>
      </c>
      <c r="N504" s="153" t="s">
        <v>2801</v>
      </c>
      <c r="P504" s="153"/>
      <c r="R504" s="153"/>
      <c r="S504" s="153"/>
    </row>
    <row r="505" spans="1:19" s="58" customFormat="1" ht="18" customHeight="1">
      <c r="A505" s="153">
        <v>571</v>
      </c>
      <c r="B505" s="153" t="s">
        <v>615</v>
      </c>
      <c r="C505" s="153" t="s">
        <v>2205</v>
      </c>
      <c r="D505" s="168">
        <v>33</v>
      </c>
      <c r="E505" s="153" t="s">
        <v>531</v>
      </c>
      <c r="F505" s="153" t="s">
        <v>2102</v>
      </c>
      <c r="G505" s="153" t="s">
        <v>242</v>
      </c>
      <c r="H505" s="153" t="s">
        <v>2193</v>
      </c>
      <c r="I505" s="153" t="s">
        <v>2646</v>
      </c>
      <c r="J505" s="153" t="s">
        <v>351</v>
      </c>
      <c r="K505" s="153" t="s">
        <v>1595</v>
      </c>
      <c r="L505" s="153" t="s">
        <v>615</v>
      </c>
      <c r="M505" s="153" t="s">
        <v>2205</v>
      </c>
      <c r="N505" s="153" t="s">
        <v>2801</v>
      </c>
      <c r="P505" s="153"/>
      <c r="R505" s="153"/>
      <c r="S505" s="153"/>
    </row>
    <row r="506" spans="1:19" s="58" customFormat="1" ht="18" customHeight="1">
      <c r="A506" s="153">
        <v>572</v>
      </c>
      <c r="B506" s="153" t="s">
        <v>615</v>
      </c>
      <c r="C506" s="153" t="s">
        <v>559</v>
      </c>
      <c r="D506" s="168">
        <v>16</v>
      </c>
      <c r="E506" s="153" t="s">
        <v>531</v>
      </c>
      <c r="F506" s="153" t="s">
        <v>2102</v>
      </c>
      <c r="G506" s="153" t="s">
        <v>242</v>
      </c>
      <c r="H506" s="153" t="s">
        <v>2185</v>
      </c>
      <c r="I506" s="153" t="s">
        <v>2646</v>
      </c>
      <c r="J506" s="153" t="s">
        <v>351</v>
      </c>
      <c r="K506" s="153" t="s">
        <v>1595</v>
      </c>
      <c r="L506" s="153" t="s">
        <v>615</v>
      </c>
      <c r="M506" s="153" t="s">
        <v>559</v>
      </c>
      <c r="N506" s="153" t="s">
        <v>2801</v>
      </c>
      <c r="P506" s="153">
        <v>226</v>
      </c>
      <c r="R506" s="153"/>
      <c r="S506" s="153"/>
    </row>
    <row r="507" spans="1:19" s="58" customFormat="1" ht="18" customHeight="1">
      <c r="A507" s="153">
        <v>573</v>
      </c>
      <c r="B507" s="153" t="s">
        <v>615</v>
      </c>
      <c r="C507" s="153" t="s">
        <v>2131</v>
      </c>
      <c r="D507" s="168">
        <v>32</v>
      </c>
      <c r="E507" s="153" t="s">
        <v>531</v>
      </c>
      <c r="F507" s="153" t="s">
        <v>2102</v>
      </c>
      <c r="G507" s="153" t="s">
        <v>242</v>
      </c>
      <c r="H507" s="153" t="s">
        <v>2193</v>
      </c>
      <c r="I507" s="153" t="s">
        <v>2646</v>
      </c>
      <c r="J507" s="153" t="s">
        <v>351</v>
      </c>
      <c r="K507" s="153" t="s">
        <v>1595</v>
      </c>
      <c r="L507" s="153" t="s">
        <v>615</v>
      </c>
      <c r="M507" s="153" t="s">
        <v>2131</v>
      </c>
      <c r="N507" s="153" t="s">
        <v>2801</v>
      </c>
      <c r="P507" s="153"/>
      <c r="R507" s="153"/>
      <c r="S507" s="153"/>
    </row>
    <row r="508" spans="1:19" s="58" customFormat="1" ht="18" customHeight="1">
      <c r="A508" s="153">
        <v>574</v>
      </c>
      <c r="B508" s="153" t="s">
        <v>615</v>
      </c>
      <c r="C508" s="153" t="s">
        <v>2206</v>
      </c>
      <c r="D508" s="168">
        <v>49</v>
      </c>
      <c r="E508" s="153" t="s">
        <v>531</v>
      </c>
      <c r="F508" s="153" t="s">
        <v>2102</v>
      </c>
      <c r="G508" s="153" t="s">
        <v>242</v>
      </c>
      <c r="H508" s="153" t="s">
        <v>1959</v>
      </c>
      <c r="I508" s="153" t="s">
        <v>2646</v>
      </c>
      <c r="J508" s="153" t="s">
        <v>351</v>
      </c>
      <c r="K508" s="153" t="s">
        <v>1595</v>
      </c>
      <c r="L508" s="153" t="s">
        <v>615</v>
      </c>
      <c r="M508" s="153" t="s">
        <v>2206</v>
      </c>
      <c r="N508" s="153" t="s">
        <v>2801</v>
      </c>
      <c r="P508" s="153"/>
      <c r="R508" s="153"/>
      <c r="S508" s="153"/>
    </row>
    <row r="509" spans="1:19" s="58" customFormat="1" ht="18" customHeight="1">
      <c r="A509" s="153">
        <v>575</v>
      </c>
      <c r="B509" s="153" t="s">
        <v>615</v>
      </c>
      <c r="C509" s="153" t="s">
        <v>2207</v>
      </c>
      <c r="D509" s="168">
        <v>50</v>
      </c>
      <c r="E509" s="153" t="s">
        <v>531</v>
      </c>
      <c r="F509" s="153" t="s">
        <v>2102</v>
      </c>
      <c r="G509" s="153" t="s">
        <v>242</v>
      </c>
      <c r="H509" s="153" t="s">
        <v>1959</v>
      </c>
      <c r="I509" s="153" t="s">
        <v>2646</v>
      </c>
      <c r="J509" s="153" t="s">
        <v>351</v>
      </c>
      <c r="K509" s="153" t="s">
        <v>1595</v>
      </c>
      <c r="L509" s="153" t="s">
        <v>615</v>
      </c>
      <c r="M509" s="153" t="s">
        <v>2207</v>
      </c>
      <c r="N509" s="153" t="s">
        <v>2801</v>
      </c>
      <c r="P509" s="153"/>
      <c r="R509" s="153"/>
      <c r="S509" s="153"/>
    </row>
    <row r="510" spans="1:19" s="58" customFormat="1" ht="18" customHeight="1">
      <c r="A510" s="153">
        <v>576</v>
      </c>
      <c r="B510" s="153" t="s">
        <v>615</v>
      </c>
      <c r="C510" s="153" t="s">
        <v>2208</v>
      </c>
      <c r="D510" s="168">
        <v>7</v>
      </c>
      <c r="E510" s="153" t="s">
        <v>531</v>
      </c>
      <c r="F510" s="153" t="s">
        <v>2102</v>
      </c>
      <c r="G510" s="153" t="s">
        <v>242</v>
      </c>
      <c r="H510" s="153" t="s">
        <v>2209</v>
      </c>
      <c r="I510" s="153" t="s">
        <v>2646</v>
      </c>
      <c r="J510" s="153" t="s">
        <v>351</v>
      </c>
      <c r="K510" s="153" t="s">
        <v>1595</v>
      </c>
      <c r="L510" s="153" t="s">
        <v>615</v>
      </c>
      <c r="M510" s="153" t="s">
        <v>2208</v>
      </c>
      <c r="N510" s="153" t="s">
        <v>2801</v>
      </c>
      <c r="P510" s="153">
        <v>24</v>
      </c>
      <c r="R510" s="153"/>
      <c r="S510" s="153"/>
    </row>
    <row r="511" spans="1:19" s="58" customFormat="1" ht="18" customHeight="1">
      <c r="A511" s="153">
        <v>577</v>
      </c>
      <c r="B511" s="153" t="s">
        <v>615</v>
      </c>
      <c r="C511" s="153" t="s">
        <v>2154</v>
      </c>
      <c r="D511" s="168">
        <v>8</v>
      </c>
      <c r="E511" s="153" t="s">
        <v>531</v>
      </c>
      <c r="F511" s="153" t="s">
        <v>2102</v>
      </c>
      <c r="G511" s="153" t="s">
        <v>242</v>
      </c>
      <c r="H511" s="153" t="s">
        <v>2209</v>
      </c>
      <c r="I511" s="153" t="s">
        <v>2646</v>
      </c>
      <c r="J511" s="153" t="s">
        <v>351</v>
      </c>
      <c r="K511" s="153" t="s">
        <v>1595</v>
      </c>
      <c r="L511" s="153" t="s">
        <v>615</v>
      </c>
      <c r="M511" s="153" t="s">
        <v>2154</v>
      </c>
      <c r="N511" s="153" t="s">
        <v>2801</v>
      </c>
      <c r="P511" s="153">
        <v>25</v>
      </c>
      <c r="R511" s="153"/>
      <c r="S511" s="153"/>
    </row>
    <row r="512" spans="1:19" s="58" customFormat="1" ht="18" customHeight="1">
      <c r="A512" s="153">
        <v>578</v>
      </c>
      <c r="B512" s="153" t="s">
        <v>615</v>
      </c>
      <c r="C512" s="153" t="s">
        <v>2132</v>
      </c>
      <c r="D512" s="168">
        <v>42</v>
      </c>
      <c r="E512" s="153" t="s">
        <v>531</v>
      </c>
      <c r="F512" s="153" t="s">
        <v>2102</v>
      </c>
      <c r="G512" s="153" t="s">
        <v>242</v>
      </c>
      <c r="H512" s="153" t="s">
        <v>2210</v>
      </c>
      <c r="I512" s="153" t="s">
        <v>2646</v>
      </c>
      <c r="J512" s="153" t="s">
        <v>351</v>
      </c>
      <c r="K512" s="153" t="s">
        <v>1595</v>
      </c>
      <c r="L512" s="153" t="s">
        <v>615</v>
      </c>
      <c r="M512" s="153" t="s">
        <v>2132</v>
      </c>
      <c r="N512" s="153" t="s">
        <v>2801</v>
      </c>
      <c r="P512" s="153"/>
      <c r="R512" s="153"/>
      <c r="S512" s="153"/>
    </row>
    <row r="513" spans="1:19" s="58" customFormat="1" ht="18" customHeight="1">
      <c r="A513" s="153">
        <v>579</v>
      </c>
      <c r="B513" s="153" t="s">
        <v>615</v>
      </c>
      <c r="C513" s="153" t="s">
        <v>2211</v>
      </c>
      <c r="D513" s="168">
        <v>34</v>
      </c>
      <c r="E513" s="153" t="s">
        <v>531</v>
      </c>
      <c r="F513" s="153" t="s">
        <v>2102</v>
      </c>
      <c r="G513" s="153" t="s">
        <v>242</v>
      </c>
      <c r="H513" s="153" t="s">
        <v>2193</v>
      </c>
      <c r="I513" s="153" t="s">
        <v>2646</v>
      </c>
      <c r="J513" s="153" t="s">
        <v>351</v>
      </c>
      <c r="K513" s="153" t="s">
        <v>1595</v>
      </c>
      <c r="L513" s="153" t="s">
        <v>615</v>
      </c>
      <c r="M513" s="153" t="s">
        <v>2211</v>
      </c>
      <c r="N513" s="153" t="s">
        <v>2801</v>
      </c>
      <c r="P513" s="153"/>
      <c r="R513" s="153"/>
      <c r="S513" s="153"/>
    </row>
    <row r="514" spans="1:19" s="58" customFormat="1" ht="18" customHeight="1">
      <c r="A514" s="153">
        <v>580</v>
      </c>
      <c r="B514" s="153" t="s">
        <v>615</v>
      </c>
      <c r="C514" s="153" t="s">
        <v>2212</v>
      </c>
      <c r="D514" s="168">
        <v>35</v>
      </c>
      <c r="E514" s="153" t="s">
        <v>531</v>
      </c>
      <c r="F514" s="153" t="s">
        <v>2102</v>
      </c>
      <c r="G514" s="153" t="s">
        <v>242</v>
      </c>
      <c r="H514" s="153" t="s">
        <v>2193</v>
      </c>
      <c r="I514" s="153" t="s">
        <v>2646</v>
      </c>
      <c r="J514" s="153" t="s">
        <v>351</v>
      </c>
      <c r="K514" s="153" t="s">
        <v>1595</v>
      </c>
      <c r="L514" s="153" t="s">
        <v>615</v>
      </c>
      <c r="M514" s="153" t="s">
        <v>2212</v>
      </c>
      <c r="N514" s="153" t="s">
        <v>2801</v>
      </c>
      <c r="P514" s="153"/>
      <c r="R514" s="153"/>
      <c r="S514" s="153"/>
    </row>
    <row r="515" spans="1:19" s="58" customFormat="1" ht="18" customHeight="1">
      <c r="A515" s="153">
        <v>581</v>
      </c>
      <c r="B515" s="153" t="s">
        <v>615</v>
      </c>
      <c r="C515" s="153" t="s">
        <v>2213</v>
      </c>
      <c r="D515" s="168">
        <v>30</v>
      </c>
      <c r="E515" s="153" t="s">
        <v>531</v>
      </c>
      <c r="F515" s="153" t="s">
        <v>2102</v>
      </c>
      <c r="G515" s="153" t="s">
        <v>242</v>
      </c>
      <c r="H515" s="153" t="s">
        <v>2214</v>
      </c>
      <c r="I515" s="153" t="s">
        <v>2646</v>
      </c>
      <c r="J515" s="153" t="s">
        <v>351</v>
      </c>
      <c r="K515" s="153" t="s">
        <v>1595</v>
      </c>
      <c r="L515" s="153" t="s">
        <v>615</v>
      </c>
      <c r="M515" s="153" t="s">
        <v>2213</v>
      </c>
      <c r="N515" s="153" t="s">
        <v>2801</v>
      </c>
      <c r="P515" s="153"/>
      <c r="R515" s="153"/>
      <c r="S515" s="153"/>
    </row>
    <row r="516" spans="1:19" s="58" customFormat="1" ht="18" customHeight="1">
      <c r="A516" s="153">
        <v>582</v>
      </c>
      <c r="B516" s="153" t="s">
        <v>615</v>
      </c>
      <c r="C516" s="153" t="s">
        <v>2136</v>
      </c>
      <c r="D516" s="168">
        <v>15</v>
      </c>
      <c r="E516" s="153" t="s">
        <v>531</v>
      </c>
      <c r="F516" s="153" t="s">
        <v>2102</v>
      </c>
      <c r="G516" s="153" t="s">
        <v>242</v>
      </c>
      <c r="H516" s="153" t="s">
        <v>2185</v>
      </c>
      <c r="I516" s="153" t="s">
        <v>2646</v>
      </c>
      <c r="J516" s="153" t="s">
        <v>351</v>
      </c>
      <c r="K516" s="153" t="s">
        <v>1595</v>
      </c>
      <c r="L516" s="153" t="s">
        <v>615</v>
      </c>
      <c r="M516" s="153" t="s">
        <v>2136</v>
      </c>
      <c r="N516" s="153" t="s">
        <v>2801</v>
      </c>
      <c r="P516" s="153"/>
      <c r="R516" s="153"/>
      <c r="S516" s="153"/>
    </row>
    <row r="517" spans="1:19" s="58" customFormat="1" ht="18" customHeight="1">
      <c r="A517" s="153">
        <v>583</v>
      </c>
      <c r="B517" s="153" t="s">
        <v>615</v>
      </c>
      <c r="C517" s="153" t="s">
        <v>2215</v>
      </c>
      <c r="D517" s="168">
        <v>51</v>
      </c>
      <c r="E517" s="153" t="s">
        <v>531</v>
      </c>
      <c r="F517" s="153" t="s">
        <v>2102</v>
      </c>
      <c r="G517" s="153" t="s">
        <v>242</v>
      </c>
      <c r="H517" s="153" t="s">
        <v>1959</v>
      </c>
      <c r="I517" s="153" t="s">
        <v>2646</v>
      </c>
      <c r="J517" s="153" t="s">
        <v>351</v>
      </c>
      <c r="K517" s="153" t="s">
        <v>1595</v>
      </c>
      <c r="L517" s="153" t="s">
        <v>615</v>
      </c>
      <c r="M517" s="153" t="s">
        <v>2215</v>
      </c>
      <c r="N517" s="153" t="s">
        <v>2801</v>
      </c>
      <c r="P517" s="153"/>
      <c r="R517" s="153"/>
      <c r="S517" s="153"/>
    </row>
    <row r="518" spans="1:19" s="58" customFormat="1" ht="18" customHeight="1">
      <c r="A518" s="153">
        <v>584</v>
      </c>
      <c r="B518" s="153" t="s">
        <v>615</v>
      </c>
      <c r="C518" s="153" t="s">
        <v>2140</v>
      </c>
      <c r="D518" s="168">
        <v>29</v>
      </c>
      <c r="E518" s="153" t="s">
        <v>531</v>
      </c>
      <c r="F518" s="153" t="s">
        <v>2102</v>
      </c>
      <c r="G518" s="153" t="s">
        <v>242</v>
      </c>
      <c r="H518" s="153" t="s">
        <v>2214</v>
      </c>
      <c r="I518" s="153" t="s">
        <v>2646</v>
      </c>
      <c r="J518" s="153" t="s">
        <v>351</v>
      </c>
      <c r="K518" s="153" t="s">
        <v>1595</v>
      </c>
      <c r="L518" s="153" t="s">
        <v>615</v>
      </c>
      <c r="M518" s="153" t="s">
        <v>2140</v>
      </c>
      <c r="N518" s="153" t="s">
        <v>2801</v>
      </c>
      <c r="P518" s="153"/>
      <c r="R518" s="153"/>
      <c r="S518" s="153"/>
    </row>
    <row r="519" spans="1:19" s="58" customFormat="1" ht="18" customHeight="1">
      <c r="A519" s="153">
        <v>585</v>
      </c>
      <c r="B519" s="153" t="s">
        <v>615</v>
      </c>
      <c r="C519" s="153" t="s">
        <v>2216</v>
      </c>
      <c r="D519" s="168">
        <v>44</v>
      </c>
      <c r="E519" s="153" t="s">
        <v>531</v>
      </c>
      <c r="F519" s="153" t="s">
        <v>2102</v>
      </c>
      <c r="G519" s="153" t="s">
        <v>242</v>
      </c>
      <c r="H519" s="153" t="s">
        <v>2203</v>
      </c>
      <c r="I519" s="153" t="s">
        <v>2646</v>
      </c>
      <c r="J519" s="153" t="s">
        <v>351</v>
      </c>
      <c r="K519" s="153" t="s">
        <v>1595</v>
      </c>
      <c r="L519" s="153" t="s">
        <v>615</v>
      </c>
      <c r="M519" s="153" t="s">
        <v>2216</v>
      </c>
      <c r="N519" s="153" t="s">
        <v>2801</v>
      </c>
      <c r="P519" s="153"/>
      <c r="R519" s="153"/>
      <c r="S519" s="153"/>
    </row>
    <row r="520" spans="1:19" s="58" customFormat="1" ht="18" customHeight="1">
      <c r="A520" s="153">
        <v>586</v>
      </c>
      <c r="B520" s="153" t="s">
        <v>615</v>
      </c>
      <c r="C520" s="153" t="s">
        <v>2217</v>
      </c>
      <c r="D520" s="168">
        <v>31</v>
      </c>
      <c r="E520" s="153" t="s">
        <v>531</v>
      </c>
      <c r="F520" s="153" t="s">
        <v>2102</v>
      </c>
      <c r="G520" s="153" t="s">
        <v>242</v>
      </c>
      <c r="H520" s="153" t="s">
        <v>2214</v>
      </c>
      <c r="I520" s="153" t="s">
        <v>2646</v>
      </c>
      <c r="J520" s="153" t="s">
        <v>351</v>
      </c>
      <c r="K520" s="153" t="s">
        <v>1595</v>
      </c>
      <c r="L520" s="153" t="s">
        <v>615</v>
      </c>
      <c r="M520" s="153" t="s">
        <v>2217</v>
      </c>
      <c r="N520" s="153" t="s">
        <v>2801</v>
      </c>
      <c r="P520" s="153"/>
      <c r="R520" s="153"/>
      <c r="S520" s="153"/>
    </row>
    <row r="521" spans="1:19" s="58" customFormat="1" ht="18" customHeight="1">
      <c r="A521" s="153">
        <v>587</v>
      </c>
      <c r="B521" s="153" t="s">
        <v>615</v>
      </c>
      <c r="C521" s="153" t="s">
        <v>2218</v>
      </c>
      <c r="D521" s="168">
        <v>25</v>
      </c>
      <c r="E521" s="153" t="s">
        <v>531</v>
      </c>
      <c r="F521" s="153" t="s">
        <v>2102</v>
      </c>
      <c r="G521" s="153" t="s">
        <v>242</v>
      </c>
      <c r="H521" s="153" t="s">
        <v>1959</v>
      </c>
      <c r="I521" s="153" t="s">
        <v>2646</v>
      </c>
      <c r="J521" s="153" t="s">
        <v>351</v>
      </c>
      <c r="K521" s="153" t="s">
        <v>1595</v>
      </c>
      <c r="L521" s="153" t="s">
        <v>615</v>
      </c>
      <c r="M521" s="153" t="s">
        <v>2218</v>
      </c>
      <c r="N521" s="153" t="s">
        <v>2801</v>
      </c>
      <c r="P521" s="153"/>
      <c r="R521" s="153"/>
      <c r="S521" s="153"/>
    </row>
    <row r="522" spans="1:19" s="58" customFormat="1" ht="18" customHeight="1">
      <c r="A522" s="153">
        <v>588</v>
      </c>
      <c r="B522" s="153" t="s">
        <v>615</v>
      </c>
      <c r="C522" s="153" t="s">
        <v>2142</v>
      </c>
      <c r="D522" s="168">
        <v>43</v>
      </c>
      <c r="E522" s="153" t="s">
        <v>531</v>
      </c>
      <c r="F522" s="153" t="s">
        <v>2102</v>
      </c>
      <c r="G522" s="153" t="s">
        <v>242</v>
      </c>
      <c r="H522" s="153" t="s">
        <v>2210</v>
      </c>
      <c r="I522" s="153" t="s">
        <v>2646</v>
      </c>
      <c r="J522" s="153" t="s">
        <v>351</v>
      </c>
      <c r="K522" s="153" t="s">
        <v>1595</v>
      </c>
      <c r="L522" s="153" t="s">
        <v>615</v>
      </c>
      <c r="M522" s="153" t="s">
        <v>2142</v>
      </c>
      <c r="N522" s="153" t="s">
        <v>2801</v>
      </c>
      <c r="P522" s="153"/>
      <c r="R522" s="153"/>
      <c r="S522" s="153"/>
    </row>
    <row r="523" spans="1:19" s="58" customFormat="1" ht="18" customHeight="1">
      <c r="A523" s="153">
        <v>589</v>
      </c>
      <c r="B523" s="153" t="s">
        <v>615</v>
      </c>
      <c r="C523" s="153" t="s">
        <v>2219</v>
      </c>
      <c r="D523" s="168">
        <v>19</v>
      </c>
      <c r="E523" s="153" t="s">
        <v>531</v>
      </c>
      <c r="F523" s="153" t="s">
        <v>2102</v>
      </c>
      <c r="G523" s="153" t="s">
        <v>242</v>
      </c>
      <c r="H523" s="153" t="s">
        <v>1959</v>
      </c>
      <c r="I523" s="153" t="s">
        <v>2646</v>
      </c>
      <c r="J523" s="153" t="s">
        <v>351</v>
      </c>
      <c r="K523" s="153" t="s">
        <v>1595</v>
      </c>
      <c r="L523" s="153" t="s">
        <v>615</v>
      </c>
      <c r="M523" s="153" t="s">
        <v>2219</v>
      </c>
      <c r="N523" s="153" t="s">
        <v>2801</v>
      </c>
      <c r="P523" s="153">
        <v>228</v>
      </c>
      <c r="R523" s="153"/>
      <c r="S523" s="153"/>
    </row>
    <row r="524" spans="1:19" s="58" customFormat="1" ht="18" customHeight="1">
      <c r="A524" s="153">
        <v>590</v>
      </c>
      <c r="B524" s="153" t="s">
        <v>615</v>
      </c>
      <c r="C524" s="153" t="s">
        <v>2220</v>
      </c>
      <c r="D524" s="168">
        <v>46</v>
      </c>
      <c r="E524" s="153" t="s">
        <v>531</v>
      </c>
      <c r="F524" s="153" t="s">
        <v>2102</v>
      </c>
      <c r="G524" s="153" t="s">
        <v>242</v>
      </c>
      <c r="H524" s="153" t="s">
        <v>2203</v>
      </c>
      <c r="I524" s="153" t="s">
        <v>2646</v>
      </c>
      <c r="J524" s="153" t="s">
        <v>351</v>
      </c>
      <c r="K524" s="153" t="s">
        <v>1595</v>
      </c>
      <c r="L524" s="153" t="s">
        <v>615</v>
      </c>
      <c r="M524" s="153" t="s">
        <v>2220</v>
      </c>
      <c r="N524" s="153" t="s">
        <v>2801</v>
      </c>
      <c r="P524" s="153"/>
      <c r="R524" s="153"/>
      <c r="S524" s="153"/>
    </row>
    <row r="525" spans="1:19" s="58" customFormat="1" ht="18" customHeight="1">
      <c r="A525" s="153">
        <v>591</v>
      </c>
      <c r="B525" s="153" t="s">
        <v>615</v>
      </c>
      <c r="C525" s="153" t="s">
        <v>2179</v>
      </c>
      <c r="D525" s="168">
        <v>18</v>
      </c>
      <c r="E525" s="153" t="s">
        <v>531</v>
      </c>
      <c r="F525" s="153" t="s">
        <v>2102</v>
      </c>
      <c r="G525" s="153" t="s">
        <v>242</v>
      </c>
      <c r="H525" s="153" t="s">
        <v>1959</v>
      </c>
      <c r="I525" s="153" t="s">
        <v>2646</v>
      </c>
      <c r="J525" s="153" t="s">
        <v>351</v>
      </c>
      <c r="K525" s="153" t="s">
        <v>1595</v>
      </c>
      <c r="L525" s="153" t="s">
        <v>615</v>
      </c>
      <c r="M525" s="153" t="s">
        <v>2179</v>
      </c>
      <c r="N525" s="153" t="s">
        <v>2801</v>
      </c>
      <c r="P525" s="153">
        <v>227</v>
      </c>
      <c r="R525" s="153"/>
      <c r="S525" s="153"/>
    </row>
    <row r="526" spans="1:19" s="58" customFormat="1" ht="18" customHeight="1">
      <c r="A526" s="153">
        <v>592</v>
      </c>
      <c r="B526" s="153" t="s">
        <v>615</v>
      </c>
      <c r="C526" s="153" t="s">
        <v>2221</v>
      </c>
      <c r="D526" s="168">
        <v>11</v>
      </c>
      <c r="E526" s="153" t="s">
        <v>531</v>
      </c>
      <c r="F526" s="153" t="s">
        <v>2102</v>
      </c>
      <c r="G526" s="153" t="s">
        <v>242</v>
      </c>
      <c r="H526" s="153" t="s">
        <v>2185</v>
      </c>
      <c r="I526" s="153" t="s">
        <v>2646</v>
      </c>
      <c r="J526" s="153" t="s">
        <v>351</v>
      </c>
      <c r="K526" s="153" t="s">
        <v>1595</v>
      </c>
      <c r="L526" s="153" t="s">
        <v>615</v>
      </c>
      <c r="M526" s="153" t="s">
        <v>2221</v>
      </c>
      <c r="N526" s="153" t="s">
        <v>2801</v>
      </c>
      <c r="P526" s="153">
        <v>225</v>
      </c>
      <c r="R526" s="153"/>
      <c r="S526" s="153"/>
    </row>
    <row r="527" spans="1:19" s="58" customFormat="1" ht="18" customHeight="1">
      <c r="A527" s="153">
        <v>593</v>
      </c>
      <c r="B527" s="153" t="s">
        <v>615</v>
      </c>
      <c r="C527" s="153" t="s">
        <v>2222</v>
      </c>
      <c r="D527" s="168">
        <v>9</v>
      </c>
      <c r="E527" s="153" t="s">
        <v>531</v>
      </c>
      <c r="F527" s="153" t="s">
        <v>2102</v>
      </c>
      <c r="G527" s="153" t="s">
        <v>242</v>
      </c>
      <c r="H527" s="153" t="s">
        <v>2185</v>
      </c>
      <c r="I527" s="153" t="s">
        <v>2646</v>
      </c>
      <c r="J527" s="153" t="s">
        <v>351</v>
      </c>
      <c r="K527" s="153" t="s">
        <v>1595</v>
      </c>
      <c r="L527" s="153" t="s">
        <v>615</v>
      </c>
      <c r="M527" s="153" t="s">
        <v>2222</v>
      </c>
      <c r="N527" s="153" t="s">
        <v>2801</v>
      </c>
      <c r="P527" s="153">
        <v>26</v>
      </c>
      <c r="R527" s="153"/>
      <c r="S527" s="153"/>
    </row>
    <row r="528" spans="1:19" s="58" customFormat="1" ht="18" customHeight="1">
      <c r="A528" s="153">
        <v>594</v>
      </c>
      <c r="B528" s="153" t="s">
        <v>615</v>
      </c>
      <c r="C528" s="153" t="s">
        <v>2223</v>
      </c>
      <c r="D528" s="168">
        <v>27</v>
      </c>
      <c r="E528" s="153" t="s">
        <v>531</v>
      </c>
      <c r="F528" s="153" t="s">
        <v>2102</v>
      </c>
      <c r="G528" s="153" t="s">
        <v>242</v>
      </c>
      <c r="H528" s="153" t="s">
        <v>2197</v>
      </c>
      <c r="I528" s="153" t="s">
        <v>2646</v>
      </c>
      <c r="J528" s="153" t="s">
        <v>351</v>
      </c>
      <c r="K528" s="153" t="s">
        <v>1595</v>
      </c>
      <c r="L528" s="153" t="s">
        <v>615</v>
      </c>
      <c r="M528" s="153" t="s">
        <v>2223</v>
      </c>
      <c r="N528" s="153" t="s">
        <v>2801</v>
      </c>
      <c r="P528" s="153">
        <v>235</v>
      </c>
      <c r="R528" s="153"/>
      <c r="S528" s="153"/>
    </row>
    <row r="529" spans="1:19" s="58" customFormat="1" ht="18" customHeight="1">
      <c r="A529" s="153">
        <v>595</v>
      </c>
      <c r="B529" s="153" t="s">
        <v>615</v>
      </c>
      <c r="C529" s="153" t="s">
        <v>2224</v>
      </c>
      <c r="D529" s="168">
        <v>48</v>
      </c>
      <c r="E529" s="153" t="s">
        <v>531</v>
      </c>
      <c r="F529" s="153" t="s">
        <v>2102</v>
      </c>
      <c r="G529" s="153" t="s">
        <v>242</v>
      </c>
      <c r="H529" s="153" t="s">
        <v>2214</v>
      </c>
      <c r="I529" s="153" t="s">
        <v>2646</v>
      </c>
      <c r="J529" s="153" t="s">
        <v>351</v>
      </c>
      <c r="K529" s="153" t="s">
        <v>1595</v>
      </c>
      <c r="L529" s="153" t="s">
        <v>615</v>
      </c>
      <c r="M529" s="153" t="s">
        <v>2224</v>
      </c>
      <c r="N529" s="153" t="s">
        <v>2801</v>
      </c>
      <c r="P529" s="153"/>
      <c r="R529" s="153"/>
      <c r="S529" s="153"/>
    </row>
    <row r="530" spans="1:19" s="58" customFormat="1" ht="18" customHeight="1">
      <c r="A530" s="153">
        <v>596</v>
      </c>
      <c r="B530" s="153" t="s">
        <v>615</v>
      </c>
      <c r="C530" s="153" t="s">
        <v>2225</v>
      </c>
      <c r="D530" s="168">
        <v>2</v>
      </c>
      <c r="E530" s="153" t="s">
        <v>531</v>
      </c>
      <c r="F530" s="153" t="s">
        <v>2102</v>
      </c>
      <c r="G530" s="153" t="s">
        <v>242</v>
      </c>
      <c r="H530" s="153" t="s">
        <v>2214</v>
      </c>
      <c r="I530" s="153" t="s">
        <v>2646</v>
      </c>
      <c r="J530" s="153" t="s">
        <v>351</v>
      </c>
      <c r="K530" s="153" t="s">
        <v>1595</v>
      </c>
      <c r="L530" s="153" t="s">
        <v>615</v>
      </c>
      <c r="M530" s="153" t="s">
        <v>2225</v>
      </c>
      <c r="N530" s="153" t="s">
        <v>2801</v>
      </c>
      <c r="P530" s="153">
        <v>22</v>
      </c>
      <c r="R530" s="153"/>
      <c r="S530" s="153"/>
    </row>
    <row r="531" spans="1:19" s="58" customFormat="1" ht="18" customHeight="1">
      <c r="A531" s="153">
        <v>597</v>
      </c>
      <c r="B531" s="153" t="s">
        <v>615</v>
      </c>
      <c r="C531" s="153" t="s">
        <v>2226</v>
      </c>
      <c r="D531" s="168">
        <v>37</v>
      </c>
      <c r="E531" s="153" t="s">
        <v>531</v>
      </c>
      <c r="F531" s="153" t="s">
        <v>2102</v>
      </c>
      <c r="G531" s="153" t="s">
        <v>242</v>
      </c>
      <c r="H531" s="153" t="s">
        <v>2190</v>
      </c>
      <c r="I531" s="153" t="s">
        <v>2646</v>
      </c>
      <c r="J531" s="153" t="s">
        <v>351</v>
      </c>
      <c r="K531" s="153" t="s">
        <v>1595</v>
      </c>
      <c r="L531" s="153" t="s">
        <v>615</v>
      </c>
      <c r="M531" s="153" t="s">
        <v>2226</v>
      </c>
      <c r="N531" s="153" t="s">
        <v>2801</v>
      </c>
      <c r="P531" s="153"/>
      <c r="R531" s="153"/>
      <c r="S531" s="153"/>
    </row>
    <row r="532" spans="1:19" s="58" customFormat="1" ht="18" customHeight="1">
      <c r="A532" s="153">
        <v>598</v>
      </c>
      <c r="B532" s="153" t="s">
        <v>615</v>
      </c>
      <c r="C532" s="153" t="s">
        <v>2227</v>
      </c>
      <c r="D532" s="168">
        <v>26</v>
      </c>
      <c r="E532" s="153" t="s">
        <v>531</v>
      </c>
      <c r="F532" s="153" t="s">
        <v>2102</v>
      </c>
      <c r="G532" s="153" t="s">
        <v>242</v>
      </c>
      <c r="H532" s="153" t="s">
        <v>2197</v>
      </c>
      <c r="I532" s="153" t="s">
        <v>2646</v>
      </c>
      <c r="J532" s="153" t="s">
        <v>351</v>
      </c>
      <c r="K532" s="153" t="s">
        <v>1595</v>
      </c>
      <c r="L532" s="153" t="s">
        <v>615</v>
      </c>
      <c r="M532" s="153" t="s">
        <v>2227</v>
      </c>
      <c r="N532" s="153" t="s">
        <v>2801</v>
      </c>
      <c r="P532" s="153">
        <v>234</v>
      </c>
      <c r="R532" s="153"/>
      <c r="S532" s="153"/>
    </row>
    <row r="533" spans="1:19" s="58" customFormat="1" ht="18" customHeight="1">
      <c r="A533" s="153">
        <v>599</v>
      </c>
      <c r="B533" s="153" t="s">
        <v>615</v>
      </c>
      <c r="C533" s="153" t="s">
        <v>2228</v>
      </c>
      <c r="D533" s="168">
        <v>13</v>
      </c>
      <c r="E533" s="153" t="s">
        <v>531</v>
      </c>
      <c r="F533" s="153" t="s">
        <v>2102</v>
      </c>
      <c r="G533" s="153" t="s">
        <v>242</v>
      </c>
      <c r="H533" s="153" t="s">
        <v>2185</v>
      </c>
      <c r="I533" s="153" t="s">
        <v>2646</v>
      </c>
      <c r="J533" s="153" t="s">
        <v>351</v>
      </c>
      <c r="K533" s="153" t="s">
        <v>1595</v>
      </c>
      <c r="L533" s="153" t="s">
        <v>615</v>
      </c>
      <c r="M533" s="153" t="s">
        <v>2228</v>
      </c>
      <c r="N533" s="153" t="s">
        <v>2801</v>
      </c>
      <c r="P533" s="153"/>
      <c r="R533" s="153"/>
      <c r="S533" s="153"/>
    </row>
    <row r="534" spans="1:19" s="58" customFormat="1" ht="18" customHeight="1">
      <c r="A534" s="153">
        <v>32</v>
      </c>
      <c r="B534" s="153" t="s">
        <v>364</v>
      </c>
      <c r="C534" s="153">
        <v>4</v>
      </c>
      <c r="D534" s="168">
        <v>3</v>
      </c>
      <c r="E534" s="153" t="s">
        <v>517</v>
      </c>
      <c r="F534" s="153"/>
      <c r="G534" s="153">
        <v>4</v>
      </c>
      <c r="H534" s="153" t="s">
        <v>1599</v>
      </c>
      <c r="I534" s="153" t="s">
        <v>2646</v>
      </c>
      <c r="J534" s="153" t="s">
        <v>351</v>
      </c>
      <c r="K534" s="153" t="s">
        <v>1595</v>
      </c>
      <c r="L534" s="153" t="s">
        <v>364</v>
      </c>
      <c r="M534" s="153">
        <v>4</v>
      </c>
      <c r="N534" s="153" t="s">
        <v>2802</v>
      </c>
      <c r="P534" s="153">
        <v>323</v>
      </c>
      <c r="R534" s="153"/>
      <c r="S534" s="153"/>
    </row>
    <row r="535" spans="1:19" s="58" customFormat="1" ht="18" customHeight="1">
      <c r="A535" s="153">
        <v>32.200000000000003</v>
      </c>
      <c r="B535" s="153" t="s">
        <v>364</v>
      </c>
      <c r="C535" s="153">
        <v>2</v>
      </c>
      <c r="D535" s="168">
        <v>1</v>
      </c>
      <c r="E535" s="153" t="s">
        <v>517</v>
      </c>
      <c r="F535" s="153"/>
      <c r="G535" s="153">
        <v>2</v>
      </c>
      <c r="H535" s="153" t="s">
        <v>1599</v>
      </c>
      <c r="I535" s="153" t="s">
        <v>2646</v>
      </c>
      <c r="J535" s="153" t="s">
        <v>351</v>
      </c>
      <c r="K535" s="153" t="s">
        <v>1595</v>
      </c>
      <c r="L535" s="153" t="s">
        <v>364</v>
      </c>
      <c r="M535" s="153">
        <v>2</v>
      </c>
      <c r="N535" s="153" t="s">
        <v>2802</v>
      </c>
      <c r="P535" s="153">
        <v>322</v>
      </c>
      <c r="R535" s="153"/>
      <c r="S535" s="153"/>
    </row>
    <row r="536" spans="1:19" s="58" customFormat="1" ht="18" customHeight="1">
      <c r="A536" s="153">
        <v>32.1</v>
      </c>
      <c r="B536" s="153" t="s">
        <v>364</v>
      </c>
      <c r="C536" s="153">
        <v>3.75</v>
      </c>
      <c r="D536" s="168">
        <v>2</v>
      </c>
      <c r="E536" s="153" t="s">
        <v>517</v>
      </c>
      <c r="F536" s="153"/>
      <c r="G536" s="153">
        <v>3.75</v>
      </c>
      <c r="H536" s="153" t="s">
        <v>1599</v>
      </c>
      <c r="I536" s="153" t="s">
        <v>2646</v>
      </c>
      <c r="J536" s="153" t="s">
        <v>351</v>
      </c>
      <c r="K536" s="153" t="s">
        <v>1595</v>
      </c>
      <c r="L536" s="153" t="s">
        <v>364</v>
      </c>
      <c r="M536" s="153">
        <v>3.75</v>
      </c>
      <c r="N536" s="153" t="s">
        <v>2802</v>
      </c>
      <c r="P536" s="153">
        <v>327</v>
      </c>
      <c r="R536" s="153"/>
      <c r="S536" s="153"/>
    </row>
    <row r="537" spans="1:19" s="58" customFormat="1" ht="18" customHeight="1">
      <c r="A537" s="153">
        <v>33</v>
      </c>
      <c r="B537" s="153" t="s">
        <v>364</v>
      </c>
      <c r="C537" s="153">
        <v>7.5</v>
      </c>
      <c r="D537" s="168">
        <v>5</v>
      </c>
      <c r="E537" s="153" t="s">
        <v>517</v>
      </c>
      <c r="F537" s="153"/>
      <c r="G537" s="153">
        <v>7.5</v>
      </c>
      <c r="H537" s="153" t="s">
        <v>1599</v>
      </c>
      <c r="I537" s="153" t="s">
        <v>2646</v>
      </c>
      <c r="J537" s="153" t="s">
        <v>351</v>
      </c>
      <c r="K537" s="153" t="s">
        <v>1595</v>
      </c>
      <c r="L537" s="153" t="s">
        <v>364</v>
      </c>
      <c r="M537" s="153">
        <v>7.5</v>
      </c>
      <c r="N537" s="153" t="s">
        <v>2802</v>
      </c>
      <c r="P537" s="153">
        <v>326</v>
      </c>
      <c r="R537" s="153"/>
      <c r="S537" s="153"/>
    </row>
    <row r="538" spans="1:19" s="58" customFormat="1" ht="18" customHeight="1">
      <c r="A538" s="153">
        <v>34</v>
      </c>
      <c r="B538" s="153" t="s">
        <v>364</v>
      </c>
      <c r="C538" s="153">
        <v>8</v>
      </c>
      <c r="D538" s="168">
        <v>6</v>
      </c>
      <c r="E538" s="153" t="s">
        <v>517</v>
      </c>
      <c r="F538" s="153"/>
      <c r="G538" s="153">
        <v>8</v>
      </c>
      <c r="H538" s="153" t="s">
        <v>1599</v>
      </c>
      <c r="I538" s="153" t="s">
        <v>2646</v>
      </c>
      <c r="J538" s="153" t="s">
        <v>351</v>
      </c>
      <c r="K538" s="153" t="s">
        <v>1595</v>
      </c>
      <c r="L538" s="153" t="s">
        <v>364</v>
      </c>
      <c r="M538" s="153">
        <v>8</v>
      </c>
      <c r="N538" s="153" t="s">
        <v>2802</v>
      </c>
      <c r="P538" s="153">
        <v>325</v>
      </c>
      <c r="R538" s="153"/>
      <c r="S538" s="153"/>
    </row>
    <row r="539" spans="1:19" s="58" customFormat="1" ht="18" customHeight="1">
      <c r="A539" s="153">
        <v>34.1</v>
      </c>
      <c r="B539" s="153" t="s">
        <v>364</v>
      </c>
      <c r="C539" s="153">
        <v>6</v>
      </c>
      <c r="D539" s="168">
        <v>4</v>
      </c>
      <c r="E539" s="153" t="s">
        <v>517</v>
      </c>
      <c r="F539" s="153"/>
      <c r="G539" s="153">
        <v>6</v>
      </c>
      <c r="H539" s="153" t="s">
        <v>1599</v>
      </c>
      <c r="I539" s="153" t="s">
        <v>2646</v>
      </c>
      <c r="J539" s="153" t="s">
        <v>351</v>
      </c>
      <c r="K539" s="153" t="s">
        <v>1595</v>
      </c>
      <c r="L539" s="153" t="s">
        <v>364</v>
      </c>
      <c r="M539" s="153">
        <v>6</v>
      </c>
      <c r="N539" s="153" t="s">
        <v>2802</v>
      </c>
      <c r="P539" s="153">
        <v>324</v>
      </c>
      <c r="R539" s="153"/>
      <c r="S539" s="153"/>
    </row>
    <row r="540" spans="1:19" s="58" customFormat="1" ht="18" customHeight="1">
      <c r="A540" s="153">
        <v>35</v>
      </c>
      <c r="B540" s="153" t="s">
        <v>364</v>
      </c>
      <c r="C540" s="153">
        <v>24</v>
      </c>
      <c r="D540" s="168">
        <v>7</v>
      </c>
      <c r="E540" s="153" t="s">
        <v>517</v>
      </c>
      <c r="F540" s="153"/>
      <c r="G540" s="153">
        <v>24</v>
      </c>
      <c r="H540" s="153" t="s">
        <v>1599</v>
      </c>
      <c r="I540" s="153" t="s">
        <v>2646</v>
      </c>
      <c r="J540" s="153" t="s">
        <v>351</v>
      </c>
      <c r="K540" s="153" t="s">
        <v>1595</v>
      </c>
      <c r="L540" s="153" t="s">
        <v>364</v>
      </c>
      <c r="M540" s="153">
        <v>24</v>
      </c>
      <c r="N540" s="153" t="s">
        <v>2802</v>
      </c>
      <c r="P540" s="153">
        <v>328</v>
      </c>
      <c r="R540" s="153"/>
      <c r="S540" s="153"/>
    </row>
    <row r="541" spans="1:19" s="58" customFormat="1" ht="18" customHeight="1">
      <c r="A541" s="153">
        <v>675</v>
      </c>
      <c r="B541" s="153" t="s">
        <v>653</v>
      </c>
      <c r="C541" s="153" t="s">
        <v>654</v>
      </c>
      <c r="D541" s="168">
        <v>0</v>
      </c>
      <c r="E541" s="153" t="s">
        <v>542</v>
      </c>
      <c r="F541" s="153"/>
      <c r="G541" s="153" t="s">
        <v>655</v>
      </c>
      <c r="H541" s="153" t="s">
        <v>1590</v>
      </c>
      <c r="I541" s="153" t="s">
        <v>2646</v>
      </c>
      <c r="J541" s="153" t="s">
        <v>351</v>
      </c>
      <c r="K541" s="153" t="s">
        <v>1595</v>
      </c>
      <c r="L541" s="153" t="s">
        <v>873</v>
      </c>
      <c r="M541" s="153" t="s">
        <v>654</v>
      </c>
      <c r="N541" s="153" t="s">
        <v>2803</v>
      </c>
      <c r="P541" s="153">
        <v>27</v>
      </c>
      <c r="R541" s="153"/>
      <c r="S541" s="153"/>
    </row>
    <row r="542" spans="1:19" s="58" customFormat="1" ht="18" customHeight="1">
      <c r="A542" s="153">
        <v>676</v>
      </c>
      <c r="B542" s="153" t="s">
        <v>653</v>
      </c>
      <c r="C542" s="153" t="s">
        <v>1417</v>
      </c>
      <c r="D542" s="168">
        <v>0</v>
      </c>
      <c r="E542" s="153" t="s">
        <v>542</v>
      </c>
      <c r="F542" s="153"/>
      <c r="G542" s="153" t="s">
        <v>657</v>
      </c>
      <c r="H542" s="153" t="s">
        <v>1590</v>
      </c>
      <c r="I542" s="153" t="s">
        <v>2646</v>
      </c>
      <c r="J542" s="153" t="s">
        <v>351</v>
      </c>
      <c r="K542" s="153" t="s">
        <v>1595</v>
      </c>
      <c r="L542" s="153" t="s">
        <v>873</v>
      </c>
      <c r="M542" s="153" t="s">
        <v>1417</v>
      </c>
      <c r="N542" s="153" t="s">
        <v>2803</v>
      </c>
      <c r="P542" s="153">
        <v>28</v>
      </c>
      <c r="R542" s="153"/>
      <c r="S542" s="153"/>
    </row>
    <row r="543" spans="1:19" s="58" customFormat="1" ht="18" customHeight="1">
      <c r="A543" s="153">
        <v>677</v>
      </c>
      <c r="B543" s="153" t="s">
        <v>653</v>
      </c>
      <c r="C543" s="153" t="s">
        <v>658</v>
      </c>
      <c r="D543" s="168">
        <v>0</v>
      </c>
      <c r="E543" s="153" t="s">
        <v>542</v>
      </c>
      <c r="F543" s="153"/>
      <c r="G543" s="153" t="s">
        <v>658</v>
      </c>
      <c r="H543" s="153" t="s">
        <v>1590</v>
      </c>
      <c r="I543" s="153" t="s">
        <v>2646</v>
      </c>
      <c r="J543" s="153" t="s">
        <v>351</v>
      </c>
      <c r="K543" s="153" t="s">
        <v>1595</v>
      </c>
      <c r="L543" s="153" t="s">
        <v>873</v>
      </c>
      <c r="M543" s="153" t="s">
        <v>658</v>
      </c>
      <c r="N543" s="153" t="s">
        <v>2803</v>
      </c>
      <c r="P543" s="153">
        <v>29</v>
      </c>
      <c r="R543" s="153"/>
      <c r="S543" s="153"/>
    </row>
    <row r="544" spans="1:19" s="58" customFormat="1" ht="18" customHeight="1">
      <c r="A544" s="153">
        <v>684</v>
      </c>
      <c r="B544" s="153" t="s">
        <v>663</v>
      </c>
      <c r="C544" s="153" t="s">
        <v>524</v>
      </c>
      <c r="D544" s="168">
        <v>0</v>
      </c>
      <c r="E544" s="153" t="s">
        <v>541</v>
      </c>
      <c r="F544" s="153"/>
      <c r="G544" s="153" t="s">
        <v>583</v>
      </c>
      <c r="H544" s="153" t="s">
        <v>1592</v>
      </c>
      <c r="I544" s="153" t="s">
        <v>2646</v>
      </c>
      <c r="J544" s="153" t="s">
        <v>351</v>
      </c>
      <c r="K544" s="153" t="s">
        <v>1595</v>
      </c>
      <c r="L544" s="153" t="s">
        <v>663</v>
      </c>
      <c r="M544" s="153" t="s">
        <v>524</v>
      </c>
      <c r="N544" s="153" t="s">
        <v>2804</v>
      </c>
      <c r="P544" s="153">
        <v>213</v>
      </c>
      <c r="R544" s="153"/>
      <c r="S544" s="153"/>
    </row>
    <row r="545" spans="1:19" s="58" customFormat="1" ht="18" customHeight="1">
      <c r="A545" s="153">
        <v>685</v>
      </c>
      <c r="B545" s="153" t="s">
        <v>663</v>
      </c>
      <c r="C545" s="153" t="s">
        <v>664</v>
      </c>
      <c r="D545" s="168">
        <v>0</v>
      </c>
      <c r="E545" s="153" t="s">
        <v>541</v>
      </c>
      <c r="F545" s="153"/>
      <c r="G545" s="153" t="s">
        <v>582</v>
      </c>
      <c r="H545" s="153" t="s">
        <v>1592</v>
      </c>
      <c r="I545" s="153" t="s">
        <v>2646</v>
      </c>
      <c r="J545" s="153" t="s">
        <v>351</v>
      </c>
      <c r="K545" s="153" t="s">
        <v>1595</v>
      </c>
      <c r="L545" s="153" t="s">
        <v>663</v>
      </c>
      <c r="M545" s="153" t="s">
        <v>664</v>
      </c>
      <c r="N545" s="153" t="s">
        <v>2804</v>
      </c>
      <c r="P545" s="153">
        <v>212</v>
      </c>
      <c r="R545" s="153"/>
      <c r="S545" s="153"/>
    </row>
    <row r="546" spans="1:19" s="58" customFormat="1" ht="18" customHeight="1">
      <c r="A546" s="153">
        <v>686</v>
      </c>
      <c r="B546" s="153" t="s">
        <v>663</v>
      </c>
      <c r="C546" s="153" t="s">
        <v>665</v>
      </c>
      <c r="D546" s="168">
        <v>0</v>
      </c>
      <c r="E546" s="153" t="s">
        <v>541</v>
      </c>
      <c r="F546" s="153"/>
      <c r="G546" s="153" t="s">
        <v>665</v>
      </c>
      <c r="H546" s="153" t="s">
        <v>1592</v>
      </c>
      <c r="I546" s="153" t="s">
        <v>2646</v>
      </c>
      <c r="J546" s="153" t="s">
        <v>351</v>
      </c>
      <c r="K546" s="153" t="s">
        <v>1595</v>
      </c>
      <c r="L546" s="153" t="s">
        <v>663</v>
      </c>
      <c r="M546" s="153" t="s">
        <v>665</v>
      </c>
      <c r="N546" s="153" t="s">
        <v>2804</v>
      </c>
      <c r="P546" s="153">
        <v>214</v>
      </c>
      <c r="R546" s="153"/>
      <c r="S546" s="153"/>
    </row>
    <row r="547" spans="1:19" s="58" customFormat="1" ht="18" customHeight="1">
      <c r="A547" s="153">
        <v>801</v>
      </c>
      <c r="B547" s="153" t="s">
        <v>696</v>
      </c>
      <c r="C547" s="153" t="s">
        <v>697</v>
      </c>
      <c r="D547" s="168">
        <v>1</v>
      </c>
      <c r="E547" s="153" t="s">
        <v>539</v>
      </c>
      <c r="F547" s="153"/>
      <c r="G547" s="153" t="s">
        <v>698</v>
      </c>
      <c r="H547" s="153" t="s">
        <v>1593</v>
      </c>
      <c r="I547" s="153" t="s">
        <v>2646</v>
      </c>
      <c r="J547" s="153" t="s">
        <v>351</v>
      </c>
      <c r="K547" s="153" t="s">
        <v>1595</v>
      </c>
      <c r="L547" s="153" t="s">
        <v>696</v>
      </c>
      <c r="M547" s="153" t="s">
        <v>697</v>
      </c>
      <c r="N547" s="153" t="s">
        <v>2805</v>
      </c>
      <c r="P547" s="153">
        <v>37</v>
      </c>
      <c r="R547" s="153"/>
      <c r="S547" s="153"/>
    </row>
    <row r="548" spans="1:19" s="58" customFormat="1" ht="18" customHeight="1">
      <c r="A548" s="153">
        <v>802</v>
      </c>
      <c r="B548" s="153" t="s">
        <v>696</v>
      </c>
      <c r="C548" s="153" t="s">
        <v>699</v>
      </c>
      <c r="D548" s="168">
        <v>2</v>
      </c>
      <c r="E548" s="153" t="s">
        <v>539</v>
      </c>
      <c r="F548" s="153"/>
      <c r="G548" s="153" t="s">
        <v>700</v>
      </c>
      <c r="H548" s="153" t="s">
        <v>1593</v>
      </c>
      <c r="I548" s="153" t="s">
        <v>2646</v>
      </c>
      <c r="J548" s="153" t="s">
        <v>351</v>
      </c>
      <c r="K548" s="153" t="s">
        <v>1595</v>
      </c>
      <c r="L548" s="153" t="s">
        <v>696</v>
      </c>
      <c r="M548" s="153" t="s">
        <v>699</v>
      </c>
      <c r="N548" s="153" t="s">
        <v>2805</v>
      </c>
      <c r="P548" s="153">
        <v>38</v>
      </c>
      <c r="R548" s="153"/>
      <c r="S548" s="153"/>
    </row>
    <row r="549" spans="1:19" s="58" customFormat="1" ht="18" customHeight="1">
      <c r="A549" s="153">
        <v>803</v>
      </c>
      <c r="B549" s="153" t="s">
        <v>696</v>
      </c>
      <c r="C549" s="153" t="s">
        <v>701</v>
      </c>
      <c r="D549" s="168">
        <v>3</v>
      </c>
      <c r="E549" s="153" t="s">
        <v>539</v>
      </c>
      <c r="F549" s="153"/>
      <c r="G549" s="153" t="s">
        <v>698</v>
      </c>
      <c r="H549" s="153" t="s">
        <v>1593</v>
      </c>
      <c r="I549" s="153" t="s">
        <v>2646</v>
      </c>
      <c r="J549" s="153" t="s">
        <v>351</v>
      </c>
      <c r="K549" s="153" t="s">
        <v>1595</v>
      </c>
      <c r="L549" s="153" t="s">
        <v>696</v>
      </c>
      <c r="M549" s="153" t="s">
        <v>701</v>
      </c>
      <c r="N549" s="153" t="s">
        <v>2805</v>
      </c>
      <c r="P549" s="153">
        <v>39</v>
      </c>
      <c r="R549" s="153"/>
      <c r="S549" s="153"/>
    </row>
    <row r="550" spans="1:19" s="58" customFormat="1" ht="18" customHeight="1">
      <c r="A550" s="153">
        <v>804</v>
      </c>
      <c r="B550" s="153" t="s">
        <v>696</v>
      </c>
      <c r="C550" s="153" t="s">
        <v>2229</v>
      </c>
      <c r="D550" s="168">
        <v>3</v>
      </c>
      <c r="E550" s="153" t="s">
        <v>539</v>
      </c>
      <c r="F550" s="153" t="s">
        <v>2102</v>
      </c>
      <c r="G550" s="153" t="s">
        <v>698</v>
      </c>
      <c r="H550" s="153" t="s">
        <v>1968</v>
      </c>
      <c r="I550" s="153" t="s">
        <v>2646</v>
      </c>
      <c r="J550" s="153" t="s">
        <v>351</v>
      </c>
      <c r="K550" s="153" t="s">
        <v>1595</v>
      </c>
      <c r="L550" s="153" t="s">
        <v>696</v>
      </c>
      <c r="M550" s="153" t="s">
        <v>2229</v>
      </c>
      <c r="N550" s="153" t="s">
        <v>2805</v>
      </c>
      <c r="P550" s="153">
        <v>314</v>
      </c>
      <c r="R550" s="153"/>
      <c r="S550" s="153"/>
    </row>
    <row r="551" spans="1:19" s="58" customFormat="1" ht="18" customHeight="1">
      <c r="A551" s="153">
        <v>805</v>
      </c>
      <c r="B551" s="153" t="s">
        <v>696</v>
      </c>
      <c r="C551" s="153" t="s">
        <v>2230</v>
      </c>
      <c r="D551" s="168">
        <v>2</v>
      </c>
      <c r="E551" s="153" t="s">
        <v>539</v>
      </c>
      <c r="F551" s="153" t="s">
        <v>2102</v>
      </c>
      <c r="G551" s="153" t="s">
        <v>700</v>
      </c>
      <c r="H551" s="153" t="s">
        <v>1968</v>
      </c>
      <c r="I551" s="153" t="s">
        <v>2646</v>
      </c>
      <c r="J551" s="153" t="s">
        <v>351</v>
      </c>
      <c r="K551" s="153" t="s">
        <v>1595</v>
      </c>
      <c r="L551" s="153" t="s">
        <v>696</v>
      </c>
      <c r="M551" s="153" t="s">
        <v>2230</v>
      </c>
      <c r="N551" s="153" t="s">
        <v>2805</v>
      </c>
      <c r="P551" s="153">
        <v>313</v>
      </c>
      <c r="R551" s="153"/>
      <c r="S551" s="153"/>
    </row>
    <row r="552" spans="1:19" s="58" customFormat="1" ht="18" customHeight="1">
      <c r="A552" s="153">
        <v>806</v>
      </c>
      <c r="B552" s="153" t="s">
        <v>696</v>
      </c>
      <c r="C552" s="153" t="s">
        <v>2231</v>
      </c>
      <c r="D552" s="168">
        <v>1</v>
      </c>
      <c r="E552" s="153" t="s">
        <v>539</v>
      </c>
      <c r="F552" s="153" t="s">
        <v>2102</v>
      </c>
      <c r="G552" s="153" t="s">
        <v>698</v>
      </c>
      <c r="H552" s="153" t="s">
        <v>1968</v>
      </c>
      <c r="I552" s="153" t="s">
        <v>2646</v>
      </c>
      <c r="J552" s="153" t="s">
        <v>351</v>
      </c>
      <c r="K552" s="153" t="s">
        <v>1595</v>
      </c>
      <c r="L552" s="153" t="s">
        <v>696</v>
      </c>
      <c r="M552" s="153" t="s">
        <v>2231</v>
      </c>
      <c r="N552" s="153" t="s">
        <v>2805</v>
      </c>
      <c r="P552" s="153">
        <v>312</v>
      </c>
      <c r="R552" s="153"/>
      <c r="S552" s="153"/>
    </row>
    <row r="553" spans="1:19" s="58" customFormat="1" ht="18" customHeight="1">
      <c r="A553" s="153">
        <v>912</v>
      </c>
      <c r="B553" s="153" t="s">
        <v>702</v>
      </c>
      <c r="C553" s="153" t="s">
        <v>711</v>
      </c>
      <c r="D553" s="168">
        <v>0</v>
      </c>
      <c r="E553" s="153" t="s">
        <v>538</v>
      </c>
      <c r="F553" s="153"/>
      <c r="G553" s="153" t="s">
        <v>712</v>
      </c>
      <c r="H553" s="153" t="s">
        <v>1594</v>
      </c>
      <c r="I553" s="153" t="s">
        <v>2646</v>
      </c>
      <c r="J553" s="153" t="s">
        <v>351</v>
      </c>
      <c r="K553" s="153" t="s">
        <v>1595</v>
      </c>
      <c r="L553" s="153" t="s">
        <v>702</v>
      </c>
      <c r="M553" s="153" t="s">
        <v>711</v>
      </c>
      <c r="N553" s="153" t="s">
        <v>2806</v>
      </c>
      <c r="P553" s="153">
        <v>573</v>
      </c>
      <c r="R553" s="153"/>
      <c r="S553" s="153"/>
    </row>
    <row r="554" spans="1:19" s="58" customFormat="1" ht="18" customHeight="1">
      <c r="A554" s="153">
        <v>913</v>
      </c>
      <c r="B554" s="153" t="s">
        <v>702</v>
      </c>
      <c r="C554" s="153" t="s">
        <v>709</v>
      </c>
      <c r="D554" s="168">
        <v>0</v>
      </c>
      <c r="E554" s="153" t="s">
        <v>538</v>
      </c>
      <c r="F554" s="153"/>
      <c r="G554" s="153" t="s">
        <v>710</v>
      </c>
      <c r="H554" s="153" t="s">
        <v>1594</v>
      </c>
      <c r="I554" s="153" t="s">
        <v>2646</v>
      </c>
      <c r="J554" s="153" t="s">
        <v>351</v>
      </c>
      <c r="K554" s="153" t="s">
        <v>1595</v>
      </c>
      <c r="L554" s="153" t="s">
        <v>702</v>
      </c>
      <c r="M554" s="153" t="s">
        <v>709</v>
      </c>
      <c r="N554" s="153" t="s">
        <v>2806</v>
      </c>
      <c r="P554" s="153">
        <v>574</v>
      </c>
      <c r="R554" s="153"/>
      <c r="S554" s="153"/>
    </row>
    <row r="555" spans="1:19" s="58" customFormat="1" ht="18" customHeight="1">
      <c r="A555" s="153">
        <v>914</v>
      </c>
      <c r="B555" s="153" t="s">
        <v>702</v>
      </c>
      <c r="C555" s="153" t="s">
        <v>713</v>
      </c>
      <c r="D555" s="168">
        <v>0</v>
      </c>
      <c r="E555" s="153" t="s">
        <v>538</v>
      </c>
      <c r="F555" s="153"/>
      <c r="G555" s="153" t="s">
        <v>714</v>
      </c>
      <c r="H555" s="153" t="s">
        <v>1594</v>
      </c>
      <c r="I555" s="153" t="s">
        <v>2646</v>
      </c>
      <c r="J555" s="153" t="s">
        <v>351</v>
      </c>
      <c r="K555" s="153" t="s">
        <v>1595</v>
      </c>
      <c r="L555" s="153" t="s">
        <v>702</v>
      </c>
      <c r="M555" s="153" t="s">
        <v>713</v>
      </c>
      <c r="N555" s="153" t="s">
        <v>2806</v>
      </c>
      <c r="P555" s="153">
        <v>575</v>
      </c>
      <c r="R555" s="153"/>
      <c r="S555" s="153"/>
    </row>
    <row r="556" spans="1:19" s="58" customFormat="1" ht="18" customHeight="1">
      <c r="A556" s="153">
        <v>915</v>
      </c>
      <c r="B556" s="153" t="s">
        <v>702</v>
      </c>
      <c r="C556" s="153" t="s">
        <v>2232</v>
      </c>
      <c r="D556" s="168">
        <v>0</v>
      </c>
      <c r="E556" s="153" t="s">
        <v>538</v>
      </c>
      <c r="F556" s="153" t="s">
        <v>2102</v>
      </c>
      <c r="G556" s="153" t="s">
        <v>712</v>
      </c>
      <c r="H556" s="153" t="s">
        <v>1964</v>
      </c>
      <c r="I556" s="153" t="s">
        <v>2646</v>
      </c>
      <c r="J556" s="153" t="s">
        <v>351</v>
      </c>
      <c r="K556" s="153" t="s">
        <v>1595</v>
      </c>
      <c r="L556" s="153" t="s">
        <v>702</v>
      </c>
      <c r="M556" s="153" t="s">
        <v>2232</v>
      </c>
      <c r="N556" s="153" t="s">
        <v>2806</v>
      </c>
      <c r="P556" s="153">
        <v>40</v>
      </c>
      <c r="R556" s="153"/>
      <c r="S556" s="153"/>
    </row>
    <row r="557" spans="1:19" s="58" customFormat="1" ht="18" customHeight="1">
      <c r="A557" s="153">
        <v>916</v>
      </c>
      <c r="B557" s="153" t="s">
        <v>702</v>
      </c>
      <c r="C557" s="153" t="s">
        <v>2233</v>
      </c>
      <c r="D557" s="168">
        <v>0</v>
      </c>
      <c r="E557" s="153" t="s">
        <v>538</v>
      </c>
      <c r="F557" s="153" t="s">
        <v>2102</v>
      </c>
      <c r="G557" s="153" t="s">
        <v>710</v>
      </c>
      <c r="H557" s="153" t="s">
        <v>1964</v>
      </c>
      <c r="I557" s="153" t="s">
        <v>2646</v>
      </c>
      <c r="J557" s="153" t="s">
        <v>351</v>
      </c>
      <c r="K557" s="153" t="s">
        <v>1595</v>
      </c>
      <c r="L557" s="153" t="s">
        <v>702</v>
      </c>
      <c r="M557" s="153" t="s">
        <v>2233</v>
      </c>
      <c r="N557" s="153" t="s">
        <v>2806</v>
      </c>
      <c r="P557" s="153">
        <v>41</v>
      </c>
      <c r="R557" s="153"/>
      <c r="S557" s="153"/>
    </row>
    <row r="558" spans="1:19" s="58" customFormat="1" ht="18" customHeight="1">
      <c r="A558" s="153">
        <v>917</v>
      </c>
      <c r="B558" s="153" t="s">
        <v>702</v>
      </c>
      <c r="C558" s="153" t="s">
        <v>1092</v>
      </c>
      <c r="D558" s="168">
        <v>0</v>
      </c>
      <c r="E558" s="153" t="s">
        <v>538</v>
      </c>
      <c r="F558" s="153" t="s">
        <v>2102</v>
      </c>
      <c r="G558" s="153" t="s">
        <v>714</v>
      </c>
      <c r="H558" s="153" t="s">
        <v>1964</v>
      </c>
      <c r="I558" s="153" t="s">
        <v>2646</v>
      </c>
      <c r="J558" s="153" t="s">
        <v>351</v>
      </c>
      <c r="K558" s="153" t="s">
        <v>1595</v>
      </c>
      <c r="L558" s="153" t="s">
        <v>702</v>
      </c>
      <c r="M558" s="153" t="s">
        <v>1092</v>
      </c>
      <c r="N558" s="153" t="s">
        <v>2806</v>
      </c>
      <c r="P558" s="153">
        <v>42</v>
      </c>
      <c r="R558" s="153"/>
      <c r="S558" s="153"/>
    </row>
    <row r="559" spans="1:19" s="58" customFormat="1" ht="18" customHeight="1">
      <c r="A559" s="153">
        <v>918</v>
      </c>
      <c r="B559" s="153" t="s">
        <v>702</v>
      </c>
      <c r="C559" s="153" t="s">
        <v>2234</v>
      </c>
      <c r="D559" s="168">
        <v>0</v>
      </c>
      <c r="E559" s="153" t="s">
        <v>538</v>
      </c>
      <c r="F559" s="153" t="s">
        <v>2102</v>
      </c>
      <c r="G559" s="153" t="s">
        <v>712</v>
      </c>
      <c r="H559" s="153" t="s">
        <v>1964</v>
      </c>
      <c r="I559" s="153" t="s">
        <v>2646</v>
      </c>
      <c r="J559" s="153" t="s">
        <v>351</v>
      </c>
      <c r="K559" s="153" t="s">
        <v>1595</v>
      </c>
      <c r="L559" s="153" t="s">
        <v>702</v>
      </c>
      <c r="M559" s="153" t="s">
        <v>2234</v>
      </c>
      <c r="N559" s="153" t="s">
        <v>2806</v>
      </c>
      <c r="P559" s="153">
        <v>303</v>
      </c>
      <c r="R559" s="153"/>
      <c r="S559" s="153"/>
    </row>
    <row r="560" spans="1:19" s="58" customFormat="1" ht="18" customHeight="1">
      <c r="A560" s="153">
        <v>919</v>
      </c>
      <c r="B560" s="153" t="s">
        <v>702</v>
      </c>
      <c r="C560" s="153" t="s">
        <v>2235</v>
      </c>
      <c r="D560" s="168">
        <v>0</v>
      </c>
      <c r="E560" s="153" t="s">
        <v>538</v>
      </c>
      <c r="F560" s="153" t="s">
        <v>2102</v>
      </c>
      <c r="G560" s="153" t="s">
        <v>710</v>
      </c>
      <c r="H560" s="153" t="s">
        <v>1964</v>
      </c>
      <c r="I560" s="153" t="s">
        <v>2646</v>
      </c>
      <c r="J560" s="153" t="s">
        <v>351</v>
      </c>
      <c r="K560" s="153" t="s">
        <v>1595</v>
      </c>
      <c r="L560" s="153" t="s">
        <v>702</v>
      </c>
      <c r="M560" s="153" t="s">
        <v>2235</v>
      </c>
      <c r="N560" s="153" t="s">
        <v>2806</v>
      </c>
      <c r="P560" s="153">
        <v>304</v>
      </c>
      <c r="R560" s="153"/>
      <c r="S560" s="153"/>
    </row>
    <row r="561" spans="1:19" s="58" customFormat="1" ht="18" customHeight="1">
      <c r="A561" s="153">
        <v>920</v>
      </c>
      <c r="B561" s="153" t="s">
        <v>702</v>
      </c>
      <c r="C561" s="153" t="s">
        <v>2236</v>
      </c>
      <c r="D561" s="168">
        <v>0</v>
      </c>
      <c r="E561" s="153" t="s">
        <v>538</v>
      </c>
      <c r="F561" s="153" t="s">
        <v>2102</v>
      </c>
      <c r="G561" s="153" t="s">
        <v>714</v>
      </c>
      <c r="H561" s="153" t="s">
        <v>1964</v>
      </c>
      <c r="I561" s="153" t="s">
        <v>2646</v>
      </c>
      <c r="J561" s="153" t="s">
        <v>351</v>
      </c>
      <c r="K561" s="153" t="s">
        <v>1595</v>
      </c>
      <c r="L561" s="153" t="s">
        <v>702</v>
      </c>
      <c r="M561" s="153" t="s">
        <v>2236</v>
      </c>
      <c r="N561" s="153" t="s">
        <v>2806</v>
      </c>
      <c r="P561" s="153">
        <v>305</v>
      </c>
      <c r="R561" s="153"/>
      <c r="S561" s="153"/>
    </row>
    <row r="562" spans="1:19" s="58" customFormat="1" ht="18" customHeight="1">
      <c r="A562" s="153">
        <v>796</v>
      </c>
      <c r="B562" s="153" t="s">
        <v>261</v>
      </c>
      <c r="C562" s="153" t="s">
        <v>485</v>
      </c>
      <c r="D562" s="168">
        <v>0</v>
      </c>
      <c r="E562" s="153" t="s">
        <v>257</v>
      </c>
      <c r="F562" s="153" t="s">
        <v>349</v>
      </c>
      <c r="G562" s="153" t="s">
        <v>485</v>
      </c>
      <c r="H562" s="153" t="s">
        <v>695</v>
      </c>
      <c r="I562" s="153" t="s">
        <v>2636</v>
      </c>
      <c r="J562" s="153" t="s">
        <v>359</v>
      </c>
      <c r="K562" s="153" t="s">
        <v>84</v>
      </c>
      <c r="L562" s="153" t="s">
        <v>2704</v>
      </c>
      <c r="M562" s="153" t="s">
        <v>485</v>
      </c>
      <c r="N562" s="153"/>
      <c r="O562" s="58" t="s">
        <v>2714</v>
      </c>
      <c r="P562" s="153"/>
      <c r="Q562" s="58">
        <v>331</v>
      </c>
      <c r="R562" s="153"/>
      <c r="S562" s="153"/>
    </row>
    <row r="563" spans="1:19" s="58" customFormat="1" ht="18" customHeight="1">
      <c r="A563" s="153">
        <v>798</v>
      </c>
      <c r="B563" s="153" t="s">
        <v>261</v>
      </c>
      <c r="C563" s="153" t="s">
        <v>484</v>
      </c>
      <c r="D563" s="168">
        <v>0</v>
      </c>
      <c r="E563" s="153" t="s">
        <v>257</v>
      </c>
      <c r="F563" s="153" t="s">
        <v>349</v>
      </c>
      <c r="G563" s="153" t="s">
        <v>484</v>
      </c>
      <c r="H563" s="153" t="s">
        <v>694</v>
      </c>
      <c r="I563" s="153" t="s">
        <v>2636</v>
      </c>
      <c r="J563" s="153" t="s">
        <v>359</v>
      </c>
      <c r="K563" s="153" t="s">
        <v>84</v>
      </c>
      <c r="L563" s="153" t="s">
        <v>2704</v>
      </c>
      <c r="M563" s="153" t="s">
        <v>484</v>
      </c>
      <c r="N563" s="153"/>
      <c r="O563" s="58" t="s">
        <v>2714</v>
      </c>
      <c r="P563" s="153"/>
      <c r="Q563" s="58">
        <v>332</v>
      </c>
      <c r="R563" s="153"/>
      <c r="S563" s="153"/>
    </row>
    <row r="564" spans="1:19" s="58" customFormat="1" ht="18" customHeight="1">
      <c r="A564" s="153">
        <v>800</v>
      </c>
      <c r="B564" s="153" t="s">
        <v>261</v>
      </c>
      <c r="C564" s="153" t="s">
        <v>1206</v>
      </c>
      <c r="D564" s="168">
        <v>0</v>
      </c>
      <c r="E564" s="153" t="s">
        <v>257</v>
      </c>
      <c r="F564" s="153" t="s">
        <v>349</v>
      </c>
      <c r="G564" s="153" t="s">
        <v>1206</v>
      </c>
      <c r="H564" s="153" t="s">
        <v>1453</v>
      </c>
      <c r="I564" s="153" t="s">
        <v>2636</v>
      </c>
      <c r="J564" s="153" t="s">
        <v>359</v>
      </c>
      <c r="K564" s="153" t="s">
        <v>84</v>
      </c>
      <c r="L564" s="153" t="s">
        <v>2704</v>
      </c>
      <c r="M564" s="153" t="s">
        <v>1206</v>
      </c>
      <c r="N564" s="153"/>
      <c r="O564" s="58" t="s">
        <v>2714</v>
      </c>
      <c r="P564" s="153"/>
      <c r="Q564" s="58">
        <v>333</v>
      </c>
      <c r="R564" s="153"/>
      <c r="S564" s="153"/>
    </row>
    <row r="565" spans="1:19" s="58" customFormat="1" ht="18" customHeight="1">
      <c r="A565" s="153">
        <v>797</v>
      </c>
      <c r="B565" s="153" t="s">
        <v>261</v>
      </c>
      <c r="C565" s="153" t="s">
        <v>583</v>
      </c>
      <c r="D565" s="168">
        <v>0</v>
      </c>
      <c r="E565" s="153" t="s">
        <v>257</v>
      </c>
      <c r="F565" s="153" t="s">
        <v>349</v>
      </c>
      <c r="G565" s="153" t="s">
        <v>583</v>
      </c>
      <c r="H565" s="153" t="s">
        <v>695</v>
      </c>
      <c r="I565" s="153" t="s">
        <v>2646</v>
      </c>
      <c r="J565" s="153" t="s">
        <v>351</v>
      </c>
      <c r="K565" s="153" t="s">
        <v>84</v>
      </c>
      <c r="L565" s="153" t="s">
        <v>2704</v>
      </c>
      <c r="M565" s="153" t="s">
        <v>583</v>
      </c>
      <c r="N565" s="153"/>
      <c r="O565" s="58" t="s">
        <v>2714</v>
      </c>
      <c r="P565" s="153"/>
      <c r="Q565" s="58">
        <v>334</v>
      </c>
      <c r="R565" s="153"/>
      <c r="S565" s="153"/>
    </row>
    <row r="566" spans="1:19" s="58" customFormat="1" ht="18" customHeight="1">
      <c r="A566" s="153">
        <v>799</v>
      </c>
      <c r="B566" s="153" t="s">
        <v>261</v>
      </c>
      <c r="C566" s="153" t="s">
        <v>84</v>
      </c>
      <c r="D566" s="168">
        <v>0</v>
      </c>
      <c r="E566" s="153" t="s">
        <v>257</v>
      </c>
      <c r="F566" s="153" t="s">
        <v>349</v>
      </c>
      <c r="G566" s="153" t="s">
        <v>84</v>
      </c>
      <c r="H566" s="153" t="s">
        <v>695</v>
      </c>
      <c r="I566" s="153" t="s">
        <v>2646</v>
      </c>
      <c r="J566" s="153" t="s">
        <v>351</v>
      </c>
      <c r="K566" s="153" t="s">
        <v>84</v>
      </c>
      <c r="L566" s="153" t="s">
        <v>2704</v>
      </c>
      <c r="M566" s="153" t="s">
        <v>84</v>
      </c>
      <c r="N566" s="153"/>
      <c r="O566" s="58" t="s">
        <v>2714</v>
      </c>
      <c r="P566" s="153"/>
      <c r="Q566" s="58">
        <v>335</v>
      </c>
      <c r="R566" s="153"/>
      <c r="S566" s="153"/>
    </row>
    <row r="567" spans="1:19" s="58" customFormat="1" ht="18" customHeight="1">
      <c r="A567" s="153">
        <v>497</v>
      </c>
      <c r="B567" s="153" t="s">
        <v>2097</v>
      </c>
      <c r="C567" s="153" t="s">
        <v>353</v>
      </c>
      <c r="D567" s="168">
        <v>1</v>
      </c>
      <c r="E567" s="153" t="s">
        <v>337</v>
      </c>
      <c r="F567" s="153" t="s">
        <v>353</v>
      </c>
      <c r="G567" s="153" t="s">
        <v>353</v>
      </c>
      <c r="H567" s="153" t="s">
        <v>2098</v>
      </c>
      <c r="I567" s="153" t="s">
        <v>2649</v>
      </c>
      <c r="J567" s="153" t="s">
        <v>359</v>
      </c>
      <c r="K567" s="153" t="s">
        <v>2732</v>
      </c>
      <c r="L567" s="153"/>
      <c r="M567" s="153"/>
      <c r="N567" s="153"/>
      <c r="P567" s="153"/>
      <c r="R567" s="153"/>
      <c r="S567" s="153"/>
    </row>
    <row r="568" spans="1:19" s="58" customFormat="1" ht="18" customHeight="1">
      <c r="A568" s="153">
        <v>498</v>
      </c>
      <c r="B568" s="153" t="s">
        <v>2097</v>
      </c>
      <c r="C568" s="153" t="s">
        <v>705</v>
      </c>
      <c r="D568" s="168">
        <v>2</v>
      </c>
      <c r="E568" s="153" t="s">
        <v>337</v>
      </c>
      <c r="F568" s="153" t="s">
        <v>353</v>
      </c>
      <c r="G568" s="153" t="s">
        <v>705</v>
      </c>
      <c r="H568" s="153" t="s">
        <v>2098</v>
      </c>
      <c r="I568" s="153" t="s">
        <v>2649</v>
      </c>
      <c r="J568" s="153" t="s">
        <v>359</v>
      </c>
      <c r="K568" s="153" t="s">
        <v>2732</v>
      </c>
      <c r="L568" s="153"/>
      <c r="M568" s="153"/>
      <c r="N568" s="153"/>
      <c r="P568" s="153"/>
      <c r="R568" s="153"/>
      <c r="S568" s="153"/>
    </row>
    <row r="569" spans="1:19" s="58" customFormat="1" ht="18" customHeight="1">
      <c r="A569" s="153">
        <v>499</v>
      </c>
      <c r="B569" s="153" t="s">
        <v>2097</v>
      </c>
      <c r="C569" s="153" t="s">
        <v>2099</v>
      </c>
      <c r="D569" s="168">
        <v>3</v>
      </c>
      <c r="E569" s="153" t="s">
        <v>337</v>
      </c>
      <c r="F569" s="153" t="s">
        <v>353</v>
      </c>
      <c r="G569" s="153" t="s">
        <v>2099</v>
      </c>
      <c r="H569" s="153" t="s">
        <v>2098</v>
      </c>
      <c r="I569" s="153" t="s">
        <v>2649</v>
      </c>
      <c r="J569" s="153" t="s">
        <v>359</v>
      </c>
      <c r="K569" s="153" t="s">
        <v>2732</v>
      </c>
      <c r="L569" s="153"/>
      <c r="M569" s="153"/>
      <c r="N569" s="153"/>
      <c r="P569" s="153"/>
      <c r="R569" s="153"/>
      <c r="S569" s="153"/>
    </row>
    <row r="570" spans="1:19" s="58" customFormat="1" ht="18" customHeight="1">
      <c r="A570" s="153">
        <v>500</v>
      </c>
      <c r="B570" s="153" t="s">
        <v>2097</v>
      </c>
      <c r="C570" s="153" t="s">
        <v>2100</v>
      </c>
      <c r="D570" s="168">
        <v>4</v>
      </c>
      <c r="E570" s="153" t="s">
        <v>337</v>
      </c>
      <c r="F570" s="153" t="s">
        <v>353</v>
      </c>
      <c r="G570" s="153" t="s">
        <v>2100</v>
      </c>
      <c r="H570" s="153" t="s">
        <v>2098</v>
      </c>
      <c r="I570" s="153" t="s">
        <v>2649</v>
      </c>
      <c r="J570" s="153" t="s">
        <v>359</v>
      </c>
      <c r="K570" s="153" t="s">
        <v>2732</v>
      </c>
      <c r="L570" s="153"/>
      <c r="M570" s="153"/>
      <c r="N570" s="153"/>
      <c r="P570" s="153"/>
      <c r="R570" s="153"/>
      <c r="S570" s="153"/>
    </row>
    <row r="571" spans="1:19" s="58" customFormat="1" ht="18" customHeight="1">
      <c r="A571" s="153">
        <v>501</v>
      </c>
      <c r="B571" s="153" t="s">
        <v>2097</v>
      </c>
      <c r="C571" s="153" t="s">
        <v>2101</v>
      </c>
      <c r="D571" s="168">
        <v>5</v>
      </c>
      <c r="E571" s="153" t="s">
        <v>337</v>
      </c>
      <c r="F571" s="153" t="s">
        <v>353</v>
      </c>
      <c r="G571" s="153" t="s">
        <v>2101</v>
      </c>
      <c r="H571" s="153" t="s">
        <v>2098</v>
      </c>
      <c r="I571" s="153" t="s">
        <v>2649</v>
      </c>
      <c r="J571" s="153" t="s">
        <v>359</v>
      </c>
      <c r="K571" s="153" t="s">
        <v>2732</v>
      </c>
      <c r="L571" s="153"/>
      <c r="M571" s="153"/>
      <c r="N571" s="153"/>
      <c r="P571" s="153"/>
      <c r="R571" s="153"/>
      <c r="S571" s="153"/>
    </row>
    <row r="572" spans="1:19" s="58" customFormat="1" ht="18" customHeight="1">
      <c r="A572" s="153">
        <v>502</v>
      </c>
      <c r="B572" s="153" t="s">
        <v>2097</v>
      </c>
      <c r="C572" s="153" t="s">
        <v>619</v>
      </c>
      <c r="D572" s="168">
        <v>6</v>
      </c>
      <c r="E572" s="153" t="s">
        <v>337</v>
      </c>
      <c r="F572" s="153" t="s">
        <v>353</v>
      </c>
      <c r="G572" s="153" t="s">
        <v>619</v>
      </c>
      <c r="H572" s="153" t="s">
        <v>2098</v>
      </c>
      <c r="I572" s="153" t="s">
        <v>2649</v>
      </c>
      <c r="J572" s="153" t="s">
        <v>359</v>
      </c>
      <c r="K572" s="153" t="s">
        <v>2732</v>
      </c>
      <c r="L572" s="153"/>
      <c r="M572" s="153"/>
      <c r="N572" s="153"/>
      <c r="P572" s="153"/>
      <c r="R572" s="153"/>
      <c r="S572" s="153"/>
    </row>
    <row r="573" spans="1:19" s="58" customFormat="1" ht="18" customHeight="1">
      <c r="A573" s="153">
        <v>503</v>
      </c>
      <c r="B573" s="153" t="s">
        <v>2097</v>
      </c>
      <c r="C573" s="153" t="s">
        <v>2102</v>
      </c>
      <c r="D573" s="168">
        <v>7</v>
      </c>
      <c r="E573" s="153" t="s">
        <v>337</v>
      </c>
      <c r="F573" s="153" t="s">
        <v>353</v>
      </c>
      <c r="G573" s="153" t="s">
        <v>2102</v>
      </c>
      <c r="H573" s="153" t="s">
        <v>2098</v>
      </c>
      <c r="I573" s="153" t="s">
        <v>2649</v>
      </c>
      <c r="J573" s="153" t="s">
        <v>359</v>
      </c>
      <c r="K573" s="153" t="s">
        <v>2732</v>
      </c>
      <c r="L573" s="153"/>
      <c r="M573" s="153"/>
      <c r="N573" s="153"/>
      <c r="P573" s="153"/>
      <c r="R573" s="153"/>
      <c r="S573" s="153"/>
    </row>
    <row r="574" spans="1:19" s="58" customFormat="1" ht="18" customHeight="1">
      <c r="A574" s="153">
        <v>504</v>
      </c>
      <c r="B574" s="153" t="s">
        <v>2097</v>
      </c>
      <c r="C574" s="153" t="s">
        <v>2103</v>
      </c>
      <c r="D574" s="168">
        <v>8</v>
      </c>
      <c r="E574" s="153" t="s">
        <v>337</v>
      </c>
      <c r="F574" s="153" t="s">
        <v>353</v>
      </c>
      <c r="G574" s="153" t="s">
        <v>2103</v>
      </c>
      <c r="H574" s="153" t="s">
        <v>2098</v>
      </c>
      <c r="I574" s="153" t="s">
        <v>2649</v>
      </c>
      <c r="J574" s="153" t="s">
        <v>359</v>
      </c>
      <c r="K574" s="153" t="s">
        <v>2732</v>
      </c>
      <c r="L574" s="153"/>
      <c r="M574" s="153"/>
      <c r="N574" s="153"/>
      <c r="P574" s="153"/>
      <c r="R574" s="153"/>
      <c r="S574" s="153"/>
    </row>
    <row r="575" spans="1:19" s="58" customFormat="1" ht="18" customHeight="1">
      <c r="A575" s="153">
        <v>505</v>
      </c>
      <c r="B575" s="153" t="s">
        <v>2097</v>
      </c>
      <c r="C575" s="153" t="s">
        <v>2104</v>
      </c>
      <c r="D575" s="168">
        <v>9</v>
      </c>
      <c r="E575" s="153" t="s">
        <v>337</v>
      </c>
      <c r="F575" s="153" t="s">
        <v>353</v>
      </c>
      <c r="G575" s="153" t="s">
        <v>2104</v>
      </c>
      <c r="H575" s="153" t="s">
        <v>2098</v>
      </c>
      <c r="I575" s="153" t="s">
        <v>2649</v>
      </c>
      <c r="J575" s="153" t="s">
        <v>359</v>
      </c>
      <c r="K575" s="153" t="s">
        <v>2732</v>
      </c>
      <c r="L575" s="153"/>
      <c r="M575" s="153"/>
      <c r="N575" s="153"/>
      <c r="P575" s="153"/>
      <c r="R575" s="153"/>
      <c r="S575" s="153"/>
    </row>
    <row r="576" spans="1:19" s="58" customFormat="1" ht="18" customHeight="1">
      <c r="A576" s="153">
        <v>906</v>
      </c>
      <c r="B576" s="153" t="s">
        <v>30</v>
      </c>
      <c r="C576" s="153" t="s">
        <v>86</v>
      </c>
      <c r="D576" s="168">
        <v>1</v>
      </c>
      <c r="E576" s="153" t="s">
        <v>30</v>
      </c>
      <c r="F576" s="153"/>
      <c r="G576" s="153" t="s">
        <v>704</v>
      </c>
      <c r="H576" s="153" t="s">
        <v>1596</v>
      </c>
      <c r="I576" s="153" t="s">
        <v>2637</v>
      </c>
      <c r="J576" s="153" t="s">
        <v>359</v>
      </c>
      <c r="K576" s="153" t="s">
        <v>353</v>
      </c>
      <c r="L576" s="153" t="s">
        <v>2665</v>
      </c>
      <c r="M576" s="153" t="s">
        <v>86</v>
      </c>
      <c r="N576" s="153" t="s">
        <v>2814</v>
      </c>
      <c r="O576" s="58" t="s">
        <v>2807</v>
      </c>
      <c r="P576" s="153">
        <v>146</v>
      </c>
      <c r="Q576" s="58">
        <v>336</v>
      </c>
      <c r="R576" s="153"/>
      <c r="S576" s="153"/>
    </row>
    <row r="577" spans="1:19" s="58" customFormat="1" ht="18" customHeight="1">
      <c r="A577" s="153">
        <v>907</v>
      </c>
      <c r="B577" s="153" t="s">
        <v>30</v>
      </c>
      <c r="C577" s="153" t="s">
        <v>79</v>
      </c>
      <c r="D577" s="168">
        <v>2</v>
      </c>
      <c r="E577" s="153" t="s">
        <v>30</v>
      </c>
      <c r="F577" s="153"/>
      <c r="G577" s="153" t="s">
        <v>706</v>
      </c>
      <c r="H577" s="153" t="s">
        <v>1596</v>
      </c>
      <c r="I577" s="153" t="s">
        <v>2637</v>
      </c>
      <c r="J577" s="153" t="s">
        <v>359</v>
      </c>
      <c r="K577" s="153" t="s">
        <v>353</v>
      </c>
      <c r="L577" s="153" t="s">
        <v>2665</v>
      </c>
      <c r="M577" s="153" t="s">
        <v>79</v>
      </c>
      <c r="N577" s="153" t="s">
        <v>2814</v>
      </c>
      <c r="O577" s="58" t="s">
        <v>2807</v>
      </c>
      <c r="P577" s="153">
        <v>147</v>
      </c>
      <c r="Q577" s="58">
        <v>337</v>
      </c>
      <c r="R577" s="153"/>
      <c r="S577" s="153"/>
    </row>
    <row r="578" spans="1:19" s="58" customFormat="1" ht="18" customHeight="1">
      <c r="A578" s="153">
        <v>908</v>
      </c>
      <c r="B578" s="153" t="s">
        <v>30</v>
      </c>
      <c r="C578" s="153" t="s">
        <v>83</v>
      </c>
      <c r="D578" s="168">
        <v>3</v>
      </c>
      <c r="E578" s="153" t="s">
        <v>30</v>
      </c>
      <c r="F578" s="153"/>
      <c r="G578" s="153" t="s">
        <v>707</v>
      </c>
      <c r="H578" s="153" t="s">
        <v>1596</v>
      </c>
      <c r="I578" s="153" t="s">
        <v>2637</v>
      </c>
      <c r="J578" s="153" t="s">
        <v>359</v>
      </c>
      <c r="K578" s="153" t="s">
        <v>353</v>
      </c>
      <c r="L578" s="153" t="s">
        <v>2665</v>
      </c>
      <c r="M578" s="153" t="s">
        <v>83</v>
      </c>
      <c r="N578" s="153" t="s">
        <v>2814</v>
      </c>
      <c r="O578" s="58" t="s">
        <v>2807</v>
      </c>
      <c r="P578" s="153">
        <v>148</v>
      </c>
      <c r="Q578" s="58">
        <v>338</v>
      </c>
      <c r="R578" s="153"/>
      <c r="S578" s="153"/>
    </row>
    <row r="579" spans="1:19" s="58" customFormat="1" ht="18" customHeight="1">
      <c r="A579" s="153">
        <v>909</v>
      </c>
      <c r="B579" s="153" t="s">
        <v>30</v>
      </c>
      <c r="C579" s="153" t="s">
        <v>84</v>
      </c>
      <c r="D579" s="168">
        <v>4</v>
      </c>
      <c r="E579" s="153" t="s">
        <v>30</v>
      </c>
      <c r="F579" s="153"/>
      <c r="G579" s="153" t="s">
        <v>878</v>
      </c>
      <c r="H579" s="153" t="s">
        <v>1596</v>
      </c>
      <c r="I579" s="153" t="s">
        <v>2637</v>
      </c>
      <c r="J579" s="153" t="s">
        <v>359</v>
      </c>
      <c r="K579" s="153" t="s">
        <v>353</v>
      </c>
      <c r="L579" s="153" t="s">
        <v>2665</v>
      </c>
      <c r="M579" s="153" t="s">
        <v>84</v>
      </c>
      <c r="N579" s="153" t="s">
        <v>2814</v>
      </c>
      <c r="O579" s="58" t="s">
        <v>2807</v>
      </c>
      <c r="P579" s="153">
        <v>149</v>
      </c>
      <c r="Q579" s="58">
        <v>339</v>
      </c>
      <c r="R579" s="153"/>
      <c r="S579" s="153"/>
    </row>
    <row r="580" spans="1:19" s="58" customFormat="1" ht="18" customHeight="1">
      <c r="A580" s="153">
        <v>910</v>
      </c>
      <c r="B580" s="153" t="s">
        <v>30</v>
      </c>
      <c r="C580" s="153" t="s">
        <v>708</v>
      </c>
      <c r="D580" s="168">
        <v>5</v>
      </c>
      <c r="E580" s="153" t="s">
        <v>30</v>
      </c>
      <c r="F580" s="153"/>
      <c r="G580" s="153" t="s">
        <v>877</v>
      </c>
      <c r="H580" s="153" t="s">
        <v>1596</v>
      </c>
      <c r="I580" s="153" t="s">
        <v>2637</v>
      </c>
      <c r="J580" s="153" t="s">
        <v>359</v>
      </c>
      <c r="K580" s="153" t="s">
        <v>353</v>
      </c>
      <c r="L580" s="153" t="s">
        <v>2665</v>
      </c>
      <c r="M580" s="153" t="s">
        <v>708</v>
      </c>
      <c r="N580" s="153" t="s">
        <v>2814</v>
      </c>
      <c r="O580" s="58" t="s">
        <v>2807</v>
      </c>
      <c r="P580" s="153">
        <v>193</v>
      </c>
      <c r="Q580" s="58">
        <v>340</v>
      </c>
      <c r="R580" s="153"/>
      <c r="S580" s="153"/>
    </row>
    <row r="581" spans="1:19" s="58" customFormat="1" ht="18" customHeight="1">
      <c r="A581" s="153">
        <v>911</v>
      </c>
      <c r="B581" s="153" t="s">
        <v>30</v>
      </c>
      <c r="C581" s="153" t="s">
        <v>85</v>
      </c>
      <c r="D581" s="168">
        <v>6</v>
      </c>
      <c r="E581" s="153" t="s">
        <v>30</v>
      </c>
      <c r="F581" s="153"/>
      <c r="G581" s="153" t="s">
        <v>85</v>
      </c>
      <c r="H581" s="153" t="s">
        <v>1596</v>
      </c>
      <c r="I581" s="153" t="s">
        <v>2637</v>
      </c>
      <c r="J581" s="153" t="s">
        <v>359</v>
      </c>
      <c r="K581" s="153" t="s">
        <v>353</v>
      </c>
      <c r="L581" s="153" t="s">
        <v>2665</v>
      </c>
      <c r="M581" s="153" t="s">
        <v>85</v>
      </c>
      <c r="N581" s="153" t="s">
        <v>2814</v>
      </c>
      <c r="O581" s="58" t="s">
        <v>2807</v>
      </c>
      <c r="P581" s="153">
        <v>150</v>
      </c>
      <c r="Q581" s="58">
        <v>341</v>
      </c>
      <c r="R581" s="153"/>
      <c r="S581" s="153"/>
    </row>
    <row r="582" spans="1:19" s="58" customFormat="1" ht="18" customHeight="1">
      <c r="A582" s="153">
        <v>978</v>
      </c>
      <c r="B582" s="153" t="s">
        <v>2968</v>
      </c>
      <c r="C582" s="153" t="s">
        <v>247</v>
      </c>
      <c r="D582" s="168">
        <v>1</v>
      </c>
      <c r="E582" s="153" t="s">
        <v>2967</v>
      </c>
      <c r="F582" s="153"/>
      <c r="G582" s="153" t="s">
        <v>247</v>
      </c>
      <c r="H582" s="153" t="s">
        <v>2969</v>
      </c>
      <c r="I582" s="153" t="s">
        <v>2970</v>
      </c>
      <c r="J582" s="153" t="s">
        <v>351</v>
      </c>
      <c r="K582" s="153" t="s">
        <v>79</v>
      </c>
      <c r="L582" s="153"/>
      <c r="M582" s="153"/>
      <c r="N582" s="153"/>
      <c r="P582" s="153"/>
      <c r="R582" s="153"/>
      <c r="S582" s="153"/>
    </row>
    <row r="583" spans="1:19" s="58" customFormat="1" ht="18" customHeight="1">
      <c r="A583" s="153">
        <v>979</v>
      </c>
      <c r="B583" s="153" t="s">
        <v>2968</v>
      </c>
      <c r="C583" s="153" t="s">
        <v>2971</v>
      </c>
      <c r="D583" s="168">
        <v>2</v>
      </c>
      <c r="E583" s="153" t="s">
        <v>2967</v>
      </c>
      <c r="F583" s="153"/>
      <c r="G583" s="153" t="s">
        <v>2971</v>
      </c>
      <c r="H583" s="153" t="s">
        <v>2972</v>
      </c>
      <c r="I583" s="153" t="s">
        <v>2970</v>
      </c>
      <c r="J583" s="153" t="s">
        <v>351</v>
      </c>
      <c r="K583" s="153" t="s">
        <v>79</v>
      </c>
      <c r="L583" s="153"/>
      <c r="M583" s="153"/>
      <c r="N583" s="153"/>
      <c r="P583" s="153"/>
      <c r="R583" s="153"/>
      <c r="S583" s="153"/>
    </row>
    <row r="584" spans="1:19" s="58" customFormat="1" ht="18" customHeight="1">
      <c r="A584" s="153">
        <v>980</v>
      </c>
      <c r="B584" s="153" t="s">
        <v>2968</v>
      </c>
      <c r="C584" s="153" t="s">
        <v>1352</v>
      </c>
      <c r="D584" s="168">
        <v>3</v>
      </c>
      <c r="E584" s="153" t="s">
        <v>2967</v>
      </c>
      <c r="F584" s="153"/>
      <c r="G584" s="153" t="s">
        <v>1352</v>
      </c>
      <c r="H584" s="153" t="s">
        <v>2973</v>
      </c>
      <c r="I584" s="153" t="s">
        <v>2970</v>
      </c>
      <c r="J584" s="153" t="s">
        <v>351</v>
      </c>
      <c r="K584" s="153" t="s">
        <v>79</v>
      </c>
      <c r="L584" s="153"/>
      <c r="M584" s="153"/>
      <c r="N584" s="153"/>
      <c r="P584" s="153"/>
      <c r="R584" s="153"/>
      <c r="S584" s="153"/>
    </row>
    <row r="585" spans="1:19">
      <c r="O585"/>
      <c r="Q585"/>
    </row>
    <row r="586" spans="1:19">
      <c r="O586"/>
      <c r="Q586"/>
    </row>
    <row r="587" spans="1:19">
      <c r="O587"/>
      <c r="Q587"/>
    </row>
    <row r="588" spans="1:19">
      <c r="O588"/>
      <c r="Q588"/>
    </row>
    <row r="589" spans="1:19">
      <c r="O589"/>
      <c r="Q589"/>
    </row>
    <row r="590" spans="1:19">
      <c r="O590"/>
      <c r="Q590"/>
    </row>
    <row r="591" spans="1:19">
      <c r="O591"/>
      <c r="Q591"/>
    </row>
    <row r="592" spans="1:19">
      <c r="O592"/>
      <c r="Q592"/>
    </row>
    <row r="593" spans="15:17">
      <c r="O593"/>
      <c r="Q593"/>
    </row>
    <row r="594" spans="15:17">
      <c r="O594"/>
      <c r="Q594"/>
    </row>
    <row r="595" spans="15:17">
      <c r="O595"/>
      <c r="Q595"/>
    </row>
    <row r="596" spans="15:17">
      <c r="O596"/>
      <c r="Q596"/>
    </row>
    <row r="597" spans="15:17">
      <c r="O597"/>
      <c r="Q597"/>
    </row>
    <row r="598" spans="15:17">
      <c r="O598"/>
      <c r="Q598"/>
    </row>
    <row r="599" spans="15:17">
      <c r="O599"/>
      <c r="Q599"/>
    </row>
    <row r="600" spans="15:17">
      <c r="O600"/>
      <c r="Q600"/>
    </row>
    <row r="601" spans="15:17">
      <c r="O601"/>
      <c r="Q601"/>
    </row>
    <row r="602" spans="15:17">
      <c r="O602"/>
      <c r="Q602"/>
    </row>
    <row r="603" spans="15:17">
      <c r="O603"/>
      <c r="Q603"/>
    </row>
    <row r="604" spans="15:17">
      <c r="O604"/>
      <c r="Q604"/>
    </row>
  </sheetData>
  <autoFilter ref="A3:S584" xr:uid="{47371596-8A6B-435D-9E6E-DFF986A7148E}"/>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63874-87AE-4CF2-ADAE-BE3A0045810B}">
  <sheetPr codeName="CoreReportSht"/>
  <dimension ref="A1:L214"/>
  <sheetViews>
    <sheetView zoomScaleNormal="100" workbookViewId="0">
      <pane ySplit="3" topLeftCell="A6" activePane="bottomLeft" state="frozen"/>
      <selection pane="bottomLeft" activeCell="I6" sqref="I6"/>
    </sheetView>
  </sheetViews>
  <sheetFormatPr defaultColWidth="11.53125" defaultRowHeight="14.25"/>
  <cols>
    <col min="1" max="2" width="12.86328125" style="26" customWidth="1"/>
    <col min="3" max="3" width="42.86328125" style="26" customWidth="1"/>
    <col min="4" max="4" width="28.19921875" style="26" customWidth="1"/>
    <col min="5" max="6" width="12.86328125" style="26" customWidth="1"/>
    <col min="7" max="7" width="15.1328125" style="26" customWidth="1"/>
    <col min="8" max="8" width="16.19921875" style="26" bestFit="1" customWidth="1"/>
    <col min="9" max="9" width="16.33203125" style="26" bestFit="1" customWidth="1"/>
    <col min="10" max="10" width="13.3984375" style="26" customWidth="1"/>
    <col min="11" max="11" width="26.33203125" style="26" bestFit="1" customWidth="1"/>
    <col min="12" max="12" width="20.73046875" style="26" customWidth="1"/>
  </cols>
  <sheetData>
    <row r="1" spans="1:12" ht="20.25" customHeight="1">
      <c r="A1" s="76" t="s">
        <v>1008</v>
      </c>
      <c r="B1" s="76" t="s">
        <v>2415</v>
      </c>
      <c r="C1" s="76" t="s">
        <v>1007</v>
      </c>
      <c r="D1" s="76" t="s">
        <v>1006</v>
      </c>
      <c r="E1" s="76" t="s">
        <v>1005</v>
      </c>
      <c r="F1" s="76" t="s">
        <v>1004</v>
      </c>
      <c r="G1" s="76" t="s">
        <v>1003</v>
      </c>
      <c r="H1" s="76" t="s">
        <v>1002</v>
      </c>
      <c r="I1" s="76" t="s">
        <v>1001</v>
      </c>
      <c r="J1" s="76" t="s">
        <v>1000</v>
      </c>
      <c r="K1" s="76" t="s">
        <v>2412</v>
      </c>
      <c r="L1" s="76" t="s">
        <v>2417</v>
      </c>
    </row>
    <row r="2" spans="1:12" ht="35.85" customHeight="1">
      <c r="A2" s="56" t="s">
        <v>2577</v>
      </c>
      <c r="B2" s="27"/>
      <c r="C2" s="56"/>
      <c r="D2" s="142" t="s">
        <v>2578</v>
      </c>
      <c r="E2" s="29"/>
      <c r="F2" s="29"/>
      <c r="G2" s="29"/>
      <c r="H2" s="29"/>
      <c r="I2" s="29"/>
      <c r="J2" s="28"/>
      <c r="K2" s="27"/>
      <c r="L2" s="27" t="s">
        <v>2576</v>
      </c>
    </row>
    <row r="3" spans="1:12" ht="34.35" customHeight="1">
      <c r="A3" s="71" t="s">
        <v>999</v>
      </c>
      <c r="B3" s="71" t="s">
        <v>2386</v>
      </c>
      <c r="C3" s="71" t="s">
        <v>998</v>
      </c>
      <c r="D3" s="71" t="s">
        <v>997</v>
      </c>
      <c r="E3" s="71" t="s">
        <v>996</v>
      </c>
      <c r="F3" s="71" t="s">
        <v>995</v>
      </c>
      <c r="G3" s="71" t="s">
        <v>994</v>
      </c>
      <c r="H3" s="71" t="s">
        <v>993</v>
      </c>
      <c r="I3" s="71" t="s">
        <v>992</v>
      </c>
      <c r="J3" s="71" t="s">
        <v>991</v>
      </c>
      <c r="K3" s="71" t="s">
        <v>2388</v>
      </c>
      <c r="L3" s="71" t="s">
        <v>883</v>
      </c>
    </row>
    <row r="4" spans="1:12">
      <c r="A4">
        <v>1001</v>
      </c>
      <c r="B4" t="s">
        <v>2387</v>
      </c>
      <c r="C4" t="s">
        <v>2389</v>
      </c>
      <c r="D4" t="s">
        <v>23</v>
      </c>
      <c r="E4" t="s">
        <v>990</v>
      </c>
      <c r="F4" t="s">
        <v>990</v>
      </c>
      <c r="G4" t="s">
        <v>990</v>
      </c>
      <c r="H4" t="s">
        <v>990</v>
      </c>
      <c r="I4" t="s">
        <v>990</v>
      </c>
      <c r="J4">
        <v>1</v>
      </c>
      <c r="K4" t="s">
        <v>2270</v>
      </c>
      <c r="L4" t="s">
        <v>1</v>
      </c>
    </row>
    <row r="5" spans="1:12">
      <c r="A5">
        <v>1002</v>
      </c>
      <c r="B5" t="s">
        <v>2387</v>
      </c>
      <c r="C5" t="s">
        <v>2389</v>
      </c>
      <c r="D5" t="s">
        <v>24</v>
      </c>
      <c r="E5"/>
      <c r="F5" t="s">
        <v>990</v>
      </c>
      <c r="G5" t="s">
        <v>990</v>
      </c>
      <c r="H5" t="s">
        <v>990</v>
      </c>
      <c r="I5" t="s">
        <v>990</v>
      </c>
      <c r="J5">
        <v>1</v>
      </c>
      <c r="K5" t="s">
        <v>2270</v>
      </c>
      <c r="L5" t="s">
        <v>260</v>
      </c>
    </row>
    <row r="6" spans="1:12">
      <c r="A6">
        <v>1002.1</v>
      </c>
      <c r="B6" t="s">
        <v>2387</v>
      </c>
      <c r="C6" t="s">
        <v>2389</v>
      </c>
      <c r="D6" t="s">
        <v>257</v>
      </c>
      <c r="E6"/>
      <c r="F6"/>
      <c r="G6"/>
      <c r="H6" t="s">
        <v>990</v>
      </c>
      <c r="I6"/>
      <c r="J6">
        <v>1</v>
      </c>
      <c r="K6" t="s">
        <v>2270</v>
      </c>
      <c r="L6" t="s">
        <v>261</v>
      </c>
    </row>
    <row r="7" spans="1:12">
      <c r="A7">
        <v>1003</v>
      </c>
      <c r="B7" t="s">
        <v>2387</v>
      </c>
      <c r="C7" t="s">
        <v>2389</v>
      </c>
      <c r="D7" t="s">
        <v>28</v>
      </c>
      <c r="E7"/>
      <c r="F7" t="s">
        <v>990</v>
      </c>
      <c r="G7" t="s">
        <v>990</v>
      </c>
      <c r="H7" t="s">
        <v>990</v>
      </c>
      <c r="I7" t="s">
        <v>990</v>
      </c>
      <c r="J7">
        <v>1</v>
      </c>
      <c r="K7" t="s">
        <v>2270</v>
      </c>
      <c r="L7" t="s">
        <v>445</v>
      </c>
    </row>
    <row r="8" spans="1:12">
      <c r="A8">
        <v>1004</v>
      </c>
      <c r="B8" t="s">
        <v>2387</v>
      </c>
      <c r="C8" t="s">
        <v>2389</v>
      </c>
      <c r="D8" t="s">
        <v>29</v>
      </c>
      <c r="E8" t="s">
        <v>990</v>
      </c>
      <c r="F8" t="s">
        <v>990</v>
      </c>
      <c r="G8" t="s">
        <v>990</v>
      </c>
      <c r="H8" t="s">
        <v>990</v>
      </c>
      <c r="I8" t="s">
        <v>990</v>
      </c>
      <c r="J8">
        <v>1</v>
      </c>
      <c r="K8" t="s">
        <v>2270</v>
      </c>
      <c r="L8" t="s">
        <v>2</v>
      </c>
    </row>
    <row r="9" spans="1:12">
      <c r="A9">
        <v>1005</v>
      </c>
      <c r="B9" t="s">
        <v>2387</v>
      </c>
      <c r="C9" t="s">
        <v>2389</v>
      </c>
      <c r="D9" t="s">
        <v>44</v>
      </c>
      <c r="E9" t="s">
        <v>990</v>
      </c>
      <c r="F9" t="s">
        <v>990</v>
      </c>
      <c r="G9" t="s">
        <v>990</v>
      </c>
      <c r="H9" t="s">
        <v>990</v>
      </c>
      <c r="I9" t="s">
        <v>990</v>
      </c>
      <c r="J9">
        <v>1</v>
      </c>
      <c r="K9" t="s">
        <v>2270</v>
      </c>
      <c r="L9" t="s">
        <v>265</v>
      </c>
    </row>
    <row r="10" spans="1:12">
      <c r="A10">
        <v>1006</v>
      </c>
      <c r="B10" t="s">
        <v>2387</v>
      </c>
      <c r="C10" t="s">
        <v>2389</v>
      </c>
      <c r="D10" t="s">
        <v>122</v>
      </c>
      <c r="E10"/>
      <c r="F10" t="s">
        <v>990</v>
      </c>
      <c r="G10"/>
      <c r="H10"/>
      <c r="I10"/>
      <c r="J10">
        <v>1</v>
      </c>
      <c r="K10" t="s">
        <v>2270</v>
      </c>
      <c r="L10" t="s">
        <v>191</v>
      </c>
    </row>
    <row r="11" spans="1:12">
      <c r="A11">
        <v>1007</v>
      </c>
      <c r="B11" t="s">
        <v>2387</v>
      </c>
      <c r="C11" t="s">
        <v>2389</v>
      </c>
      <c r="D11" t="s">
        <v>121</v>
      </c>
      <c r="E11"/>
      <c r="F11" t="s">
        <v>990</v>
      </c>
      <c r="G11"/>
      <c r="H11"/>
      <c r="I11"/>
      <c r="J11">
        <v>1</v>
      </c>
      <c r="K11" t="s">
        <v>2270</v>
      </c>
      <c r="L11" t="s">
        <v>528</v>
      </c>
    </row>
    <row r="12" spans="1:12">
      <c r="A12">
        <v>1008</v>
      </c>
      <c r="B12" t="s">
        <v>2387</v>
      </c>
      <c r="C12" t="s">
        <v>2389</v>
      </c>
      <c r="D12" t="s">
        <v>1208</v>
      </c>
      <c r="E12" t="s">
        <v>990</v>
      </c>
      <c r="F12" t="s">
        <v>990</v>
      </c>
      <c r="G12"/>
      <c r="H12"/>
      <c r="I12"/>
      <c r="J12">
        <v>1</v>
      </c>
      <c r="K12" t="s">
        <v>2270</v>
      </c>
      <c r="L12" t="s">
        <v>2416</v>
      </c>
    </row>
    <row r="13" spans="1:12">
      <c r="A13">
        <v>1009</v>
      </c>
      <c r="B13" t="s">
        <v>2387</v>
      </c>
      <c r="C13" t="s">
        <v>2389</v>
      </c>
      <c r="D13" t="s">
        <v>106</v>
      </c>
      <c r="E13"/>
      <c r="F13" t="s">
        <v>990</v>
      </c>
      <c r="G13"/>
      <c r="H13"/>
      <c r="I13"/>
      <c r="J13">
        <v>1</v>
      </c>
      <c r="K13" t="s">
        <v>2270</v>
      </c>
      <c r="L13" t="s">
        <v>399</v>
      </c>
    </row>
    <row r="14" spans="1:12">
      <c r="A14">
        <v>1010</v>
      </c>
      <c r="B14" t="s">
        <v>2387</v>
      </c>
      <c r="C14" t="s">
        <v>2389</v>
      </c>
      <c r="D14" t="s">
        <v>125</v>
      </c>
      <c r="E14"/>
      <c r="F14" t="s">
        <v>990</v>
      </c>
      <c r="G14" t="s">
        <v>990</v>
      </c>
      <c r="H14" t="s">
        <v>990</v>
      </c>
      <c r="I14"/>
      <c r="J14">
        <v>1</v>
      </c>
      <c r="K14" t="s">
        <v>2270</v>
      </c>
      <c r="L14" t="s">
        <v>192</v>
      </c>
    </row>
    <row r="15" spans="1:12">
      <c r="A15">
        <v>1011</v>
      </c>
      <c r="B15" t="s">
        <v>2387</v>
      </c>
      <c r="C15" t="s">
        <v>2389</v>
      </c>
      <c r="D15" t="s">
        <v>103</v>
      </c>
      <c r="E15"/>
      <c r="F15" t="s">
        <v>990</v>
      </c>
      <c r="G15"/>
      <c r="H15"/>
      <c r="I15"/>
      <c r="J15">
        <v>1</v>
      </c>
      <c r="K15" t="s">
        <v>2270</v>
      </c>
      <c r="L15" t="s">
        <v>20</v>
      </c>
    </row>
    <row r="16" spans="1:12">
      <c r="A16">
        <v>1012</v>
      </c>
      <c r="B16" t="s">
        <v>2387</v>
      </c>
      <c r="C16" t="s">
        <v>2389</v>
      </c>
      <c r="D16" t="s">
        <v>127</v>
      </c>
      <c r="E16" t="s">
        <v>990</v>
      </c>
      <c r="F16" t="s">
        <v>990</v>
      </c>
      <c r="G16" t="s">
        <v>990</v>
      </c>
      <c r="H16"/>
      <c r="I16" t="s">
        <v>990</v>
      </c>
      <c r="J16">
        <v>1</v>
      </c>
      <c r="K16" t="s">
        <v>2270</v>
      </c>
      <c r="L16" t="s">
        <v>455</v>
      </c>
    </row>
    <row r="17" spans="1:12">
      <c r="A17">
        <v>1013</v>
      </c>
      <c r="B17" t="s">
        <v>2387</v>
      </c>
      <c r="C17" t="s">
        <v>2389</v>
      </c>
      <c r="D17" t="s">
        <v>2384</v>
      </c>
      <c r="E17" t="s">
        <v>990</v>
      </c>
      <c r="F17" t="s">
        <v>990</v>
      </c>
      <c r="G17" t="s">
        <v>990</v>
      </c>
      <c r="H17"/>
      <c r="I17" t="s">
        <v>990</v>
      </c>
      <c r="J17">
        <v>2</v>
      </c>
      <c r="K17" t="s">
        <v>2270</v>
      </c>
      <c r="L17" t="s">
        <v>2385</v>
      </c>
    </row>
    <row r="18" spans="1:12">
      <c r="A18">
        <v>1015</v>
      </c>
      <c r="B18" t="s">
        <v>2387</v>
      </c>
      <c r="C18" t="s">
        <v>2389</v>
      </c>
      <c r="D18" t="s">
        <v>137</v>
      </c>
      <c r="E18" t="s">
        <v>990</v>
      </c>
      <c r="F18" t="s">
        <v>990</v>
      </c>
      <c r="G18" t="s">
        <v>990</v>
      </c>
      <c r="H18" t="s">
        <v>990</v>
      </c>
      <c r="I18" t="s">
        <v>990</v>
      </c>
      <c r="J18">
        <v>2</v>
      </c>
      <c r="K18" t="s">
        <v>2270</v>
      </c>
      <c r="L18" t="s">
        <v>396</v>
      </c>
    </row>
    <row r="19" spans="1:12">
      <c r="A19">
        <v>1015.1</v>
      </c>
      <c r="B19" t="s">
        <v>2387</v>
      </c>
      <c r="C19" t="s">
        <v>2389</v>
      </c>
      <c r="D19" t="s">
        <v>136</v>
      </c>
      <c r="E19" t="s">
        <v>990</v>
      </c>
      <c r="F19" t="s">
        <v>990</v>
      </c>
      <c r="G19" t="s">
        <v>990</v>
      </c>
      <c r="H19" t="s">
        <v>990</v>
      </c>
      <c r="I19"/>
      <c r="J19">
        <v>2</v>
      </c>
      <c r="K19" t="s">
        <v>2270</v>
      </c>
      <c r="L19" t="s">
        <v>194</v>
      </c>
    </row>
    <row r="20" spans="1:12">
      <c r="A20">
        <v>1016</v>
      </c>
      <c r="B20" t="s">
        <v>2387</v>
      </c>
      <c r="C20" t="s">
        <v>2390</v>
      </c>
      <c r="D20" t="s">
        <v>112</v>
      </c>
      <c r="E20"/>
      <c r="F20" t="s">
        <v>990</v>
      </c>
      <c r="G20" t="s">
        <v>990</v>
      </c>
      <c r="H20" t="s">
        <v>990</v>
      </c>
      <c r="I20"/>
      <c r="J20">
        <v>1</v>
      </c>
      <c r="K20" t="s">
        <v>2272</v>
      </c>
      <c r="L20" t="s">
        <v>4</v>
      </c>
    </row>
    <row r="21" spans="1:12">
      <c r="A21">
        <v>1017</v>
      </c>
      <c r="B21" t="s">
        <v>2387</v>
      </c>
      <c r="C21" t="s">
        <v>2390</v>
      </c>
      <c r="D21" t="s">
        <v>118</v>
      </c>
      <c r="E21"/>
      <c r="F21" t="s">
        <v>990</v>
      </c>
      <c r="G21" t="s">
        <v>990</v>
      </c>
      <c r="H21" t="s">
        <v>990</v>
      </c>
      <c r="I21"/>
      <c r="J21">
        <v>1</v>
      </c>
      <c r="K21" t="s">
        <v>2272</v>
      </c>
      <c r="L21" t="s">
        <v>1221</v>
      </c>
    </row>
    <row r="22" spans="1:12">
      <c r="A22">
        <v>1018</v>
      </c>
      <c r="B22" t="s">
        <v>2387</v>
      </c>
      <c r="C22" t="s">
        <v>2390</v>
      </c>
      <c r="D22" t="s">
        <v>750</v>
      </c>
      <c r="E22"/>
      <c r="F22" t="s">
        <v>990</v>
      </c>
      <c r="G22" t="s">
        <v>990</v>
      </c>
      <c r="H22" t="s">
        <v>990</v>
      </c>
      <c r="I22"/>
      <c r="J22">
        <v>1</v>
      </c>
      <c r="K22" t="s">
        <v>2272</v>
      </c>
      <c r="L22" t="s">
        <v>773</v>
      </c>
    </row>
    <row r="23" spans="1:12">
      <c r="A23">
        <v>1019</v>
      </c>
      <c r="B23" t="s">
        <v>2387</v>
      </c>
      <c r="C23" t="s">
        <v>2390</v>
      </c>
      <c r="D23" t="s">
        <v>2258</v>
      </c>
      <c r="E23"/>
      <c r="F23" t="s">
        <v>990</v>
      </c>
      <c r="G23" t="s">
        <v>990</v>
      </c>
      <c r="H23" t="s">
        <v>990</v>
      </c>
      <c r="I23"/>
      <c r="J23">
        <v>1</v>
      </c>
      <c r="K23" t="s">
        <v>2272</v>
      </c>
      <c r="L23" t="s">
        <v>2307</v>
      </c>
    </row>
    <row r="24" spans="1:12">
      <c r="A24">
        <v>1020</v>
      </c>
      <c r="B24" t="s">
        <v>2387</v>
      </c>
      <c r="C24" t="s">
        <v>2390</v>
      </c>
      <c r="D24" t="s">
        <v>116</v>
      </c>
      <c r="E24"/>
      <c r="F24" t="s">
        <v>990</v>
      </c>
      <c r="G24" t="s">
        <v>990</v>
      </c>
      <c r="H24"/>
      <c r="I24"/>
      <c r="J24">
        <v>1</v>
      </c>
      <c r="K24" t="s">
        <v>2272</v>
      </c>
      <c r="L24" t="s">
        <v>1814</v>
      </c>
    </row>
    <row r="25" spans="1:12">
      <c r="A25">
        <v>1021</v>
      </c>
      <c r="B25" t="s">
        <v>2387</v>
      </c>
      <c r="C25" t="s">
        <v>2390</v>
      </c>
      <c r="D25" t="s">
        <v>113</v>
      </c>
      <c r="E25"/>
      <c r="F25" t="s">
        <v>990</v>
      </c>
      <c r="G25" t="s">
        <v>990</v>
      </c>
      <c r="H25"/>
      <c r="I25"/>
      <c r="J25">
        <v>1</v>
      </c>
      <c r="K25" t="s">
        <v>2272</v>
      </c>
      <c r="L25" t="s">
        <v>2411</v>
      </c>
    </row>
    <row r="26" spans="1:12">
      <c r="A26">
        <v>1022</v>
      </c>
      <c r="B26" t="s">
        <v>2387</v>
      </c>
      <c r="C26" t="s">
        <v>2390</v>
      </c>
      <c r="D26" t="s">
        <v>115</v>
      </c>
      <c r="E26"/>
      <c r="F26" t="s">
        <v>990</v>
      </c>
      <c r="G26" t="s">
        <v>990</v>
      </c>
      <c r="H26"/>
      <c r="I26"/>
      <c r="J26">
        <v>1</v>
      </c>
      <c r="K26" t="s">
        <v>2272</v>
      </c>
      <c r="L26" t="s">
        <v>1225</v>
      </c>
    </row>
    <row r="27" spans="1:12">
      <c r="A27">
        <v>1023</v>
      </c>
      <c r="B27" t="s">
        <v>2387</v>
      </c>
      <c r="C27" t="s">
        <v>2390</v>
      </c>
      <c r="D27" t="s">
        <v>163</v>
      </c>
      <c r="E27"/>
      <c r="F27" t="s">
        <v>990</v>
      </c>
      <c r="G27"/>
      <c r="H27"/>
      <c r="I27"/>
      <c r="J27">
        <v>1</v>
      </c>
      <c r="K27" t="s">
        <v>2272</v>
      </c>
      <c r="L27" t="s">
        <v>797</v>
      </c>
    </row>
    <row r="28" spans="1:12">
      <c r="A28">
        <v>1024</v>
      </c>
      <c r="B28" t="s">
        <v>2387</v>
      </c>
      <c r="C28" t="s">
        <v>2390</v>
      </c>
      <c r="D28" t="s">
        <v>111</v>
      </c>
      <c r="E28"/>
      <c r="F28" t="s">
        <v>990</v>
      </c>
      <c r="G28" t="s">
        <v>990</v>
      </c>
      <c r="H28" t="s">
        <v>990</v>
      </c>
      <c r="I28"/>
      <c r="J28">
        <v>1</v>
      </c>
      <c r="K28" t="s">
        <v>2272</v>
      </c>
      <c r="L28" t="s">
        <v>81</v>
      </c>
    </row>
    <row r="29" spans="1:12">
      <c r="A29">
        <v>1025</v>
      </c>
      <c r="B29" t="s">
        <v>2387</v>
      </c>
      <c r="C29" t="s">
        <v>2390</v>
      </c>
      <c r="D29" t="s">
        <v>117</v>
      </c>
      <c r="E29"/>
      <c r="F29" t="s">
        <v>990</v>
      </c>
      <c r="G29" t="s">
        <v>990</v>
      </c>
      <c r="H29" t="s">
        <v>990</v>
      </c>
      <c r="I29"/>
      <c r="J29">
        <v>1</v>
      </c>
      <c r="K29" t="s">
        <v>2272</v>
      </c>
      <c r="L29" t="s">
        <v>352</v>
      </c>
    </row>
    <row r="30" spans="1:12">
      <c r="A30">
        <v>1026</v>
      </c>
      <c r="B30" t="s">
        <v>2387</v>
      </c>
      <c r="C30" t="s">
        <v>2390</v>
      </c>
      <c r="D30" t="s">
        <v>2251</v>
      </c>
      <c r="E30"/>
      <c r="F30" t="s">
        <v>990</v>
      </c>
      <c r="G30"/>
      <c r="H30"/>
      <c r="I30"/>
      <c r="J30">
        <v>1</v>
      </c>
      <c r="K30" t="s">
        <v>2272</v>
      </c>
      <c r="L30" t="s">
        <v>2301</v>
      </c>
    </row>
    <row r="31" spans="1:12">
      <c r="A31">
        <v>1027</v>
      </c>
      <c r="B31" t="s">
        <v>2387</v>
      </c>
      <c r="C31" t="s">
        <v>2390</v>
      </c>
      <c r="D31" t="s">
        <v>2260</v>
      </c>
      <c r="E31"/>
      <c r="F31" t="s">
        <v>990</v>
      </c>
      <c r="G31" t="s">
        <v>990</v>
      </c>
      <c r="H31" t="s">
        <v>990</v>
      </c>
      <c r="I31"/>
      <c r="J31">
        <v>1</v>
      </c>
      <c r="K31" t="s">
        <v>2272</v>
      </c>
      <c r="L31" t="s">
        <v>2309</v>
      </c>
    </row>
    <row r="32" spans="1:12">
      <c r="A32">
        <v>1028</v>
      </c>
      <c r="B32" t="s">
        <v>2387</v>
      </c>
      <c r="C32" t="s">
        <v>2390</v>
      </c>
      <c r="D32" t="s">
        <v>2261</v>
      </c>
      <c r="E32"/>
      <c r="F32" t="s">
        <v>990</v>
      </c>
      <c r="G32" t="s">
        <v>990</v>
      </c>
      <c r="H32" t="s">
        <v>990</v>
      </c>
      <c r="I32"/>
      <c r="J32">
        <v>1</v>
      </c>
      <c r="K32" t="s">
        <v>2272</v>
      </c>
      <c r="L32" t="s">
        <v>2310</v>
      </c>
    </row>
    <row r="33" spans="1:12">
      <c r="A33">
        <v>1029</v>
      </c>
      <c r="B33" t="s">
        <v>2387</v>
      </c>
      <c r="C33" t="s">
        <v>2390</v>
      </c>
      <c r="D33" t="s">
        <v>2254</v>
      </c>
      <c r="E33"/>
      <c r="F33" t="s">
        <v>990</v>
      </c>
      <c r="G33" t="s">
        <v>990</v>
      </c>
      <c r="H33"/>
      <c r="I33"/>
      <c r="J33">
        <v>1</v>
      </c>
      <c r="K33" t="s">
        <v>2272</v>
      </c>
      <c r="L33" t="s">
        <v>2289</v>
      </c>
    </row>
    <row r="34" spans="1:12">
      <c r="A34">
        <v>1030</v>
      </c>
      <c r="B34" t="s">
        <v>2387</v>
      </c>
      <c r="C34" t="s">
        <v>2390</v>
      </c>
      <c r="D34" t="s">
        <v>2255</v>
      </c>
      <c r="E34"/>
      <c r="F34" t="s">
        <v>990</v>
      </c>
      <c r="G34" t="s">
        <v>990</v>
      </c>
      <c r="H34"/>
      <c r="I34"/>
      <c r="J34">
        <v>1</v>
      </c>
      <c r="K34" t="s">
        <v>2272</v>
      </c>
      <c r="L34" t="s">
        <v>2304</v>
      </c>
    </row>
    <row r="35" spans="1:12">
      <c r="A35">
        <v>1031</v>
      </c>
      <c r="B35" t="s">
        <v>2387</v>
      </c>
      <c r="C35" t="s">
        <v>2390</v>
      </c>
      <c r="D35" t="s">
        <v>2259</v>
      </c>
      <c r="E35"/>
      <c r="F35" t="s">
        <v>990</v>
      </c>
      <c r="G35"/>
      <c r="H35"/>
      <c r="I35"/>
      <c r="J35">
        <v>1</v>
      </c>
      <c r="K35" t="s">
        <v>2272</v>
      </c>
      <c r="L35" t="s">
        <v>2308</v>
      </c>
    </row>
    <row r="36" spans="1:12">
      <c r="A36">
        <v>1033</v>
      </c>
      <c r="B36" t="s">
        <v>2387</v>
      </c>
      <c r="C36" t="s">
        <v>2390</v>
      </c>
      <c r="D36" t="s">
        <v>2257</v>
      </c>
      <c r="E36"/>
      <c r="F36" t="s">
        <v>990</v>
      </c>
      <c r="G36" t="s">
        <v>990</v>
      </c>
      <c r="H36" t="s">
        <v>990</v>
      </c>
      <c r="I36"/>
      <c r="J36">
        <v>1</v>
      </c>
      <c r="K36" t="s">
        <v>2272</v>
      </c>
      <c r="L36" t="s">
        <v>2306</v>
      </c>
    </row>
    <row r="37" spans="1:12">
      <c r="A37">
        <v>1034</v>
      </c>
      <c r="B37" t="s">
        <v>2387</v>
      </c>
      <c r="C37" t="s">
        <v>2390</v>
      </c>
      <c r="D37" t="s">
        <v>2256</v>
      </c>
      <c r="E37"/>
      <c r="F37" t="s">
        <v>990</v>
      </c>
      <c r="G37" t="s">
        <v>990</v>
      </c>
      <c r="H37"/>
      <c r="I37"/>
      <c r="J37">
        <v>1</v>
      </c>
      <c r="K37" t="s">
        <v>2272</v>
      </c>
      <c r="L37" t="s">
        <v>2305</v>
      </c>
    </row>
    <row r="38" spans="1:12">
      <c r="A38">
        <v>1035</v>
      </c>
      <c r="B38" t="s">
        <v>2387</v>
      </c>
      <c r="C38" t="s">
        <v>2390</v>
      </c>
      <c r="D38" t="s">
        <v>167</v>
      </c>
      <c r="E38"/>
      <c r="F38" t="s">
        <v>990</v>
      </c>
      <c r="G38"/>
      <c r="H38"/>
      <c r="I38"/>
      <c r="J38">
        <v>1</v>
      </c>
      <c r="K38" t="s">
        <v>2272</v>
      </c>
      <c r="L38" t="s">
        <v>803</v>
      </c>
    </row>
    <row r="39" spans="1:12">
      <c r="A39">
        <v>1036</v>
      </c>
      <c r="B39" t="s">
        <v>2387</v>
      </c>
      <c r="C39" t="s">
        <v>2390</v>
      </c>
      <c r="D39" t="s">
        <v>1257</v>
      </c>
      <c r="E39" t="s">
        <v>990</v>
      </c>
      <c r="F39" t="s">
        <v>990</v>
      </c>
      <c r="G39" t="s">
        <v>990</v>
      </c>
      <c r="H39"/>
      <c r="I39"/>
      <c r="J39">
        <v>1</v>
      </c>
      <c r="K39" t="s">
        <v>2272</v>
      </c>
      <c r="L39" t="s">
        <v>1302</v>
      </c>
    </row>
    <row r="40" spans="1:12">
      <c r="A40">
        <v>1037</v>
      </c>
      <c r="B40" t="s">
        <v>2387</v>
      </c>
      <c r="C40" t="s">
        <v>2390</v>
      </c>
      <c r="D40" t="s">
        <v>1255</v>
      </c>
      <c r="E40" t="s">
        <v>990</v>
      </c>
      <c r="F40" t="s">
        <v>990</v>
      </c>
      <c r="G40" t="s">
        <v>990</v>
      </c>
      <c r="H40"/>
      <c r="I40"/>
      <c r="J40">
        <v>1</v>
      </c>
      <c r="K40" t="s">
        <v>2272</v>
      </c>
      <c r="L40" t="s">
        <v>1300</v>
      </c>
    </row>
    <row r="41" spans="1:12">
      <c r="A41">
        <v>1038</v>
      </c>
      <c r="B41" t="s">
        <v>2387</v>
      </c>
      <c r="C41" t="s">
        <v>2390</v>
      </c>
      <c r="D41" t="s">
        <v>1256</v>
      </c>
      <c r="E41" t="s">
        <v>990</v>
      </c>
      <c r="F41" t="s">
        <v>990</v>
      </c>
      <c r="G41" t="s">
        <v>990</v>
      </c>
      <c r="H41"/>
      <c r="I41"/>
      <c r="J41">
        <v>1</v>
      </c>
      <c r="K41" t="s">
        <v>2272</v>
      </c>
      <c r="L41" t="s">
        <v>1301</v>
      </c>
    </row>
    <row r="42" spans="1:12">
      <c r="A42">
        <v>1039</v>
      </c>
      <c r="B42" t="s">
        <v>2387</v>
      </c>
      <c r="C42" t="s">
        <v>2390</v>
      </c>
      <c r="D42" t="s">
        <v>1258</v>
      </c>
      <c r="E42" t="s">
        <v>990</v>
      </c>
      <c r="F42" t="s">
        <v>990</v>
      </c>
      <c r="G42" t="s">
        <v>990</v>
      </c>
      <c r="H42"/>
      <c r="I42"/>
      <c r="J42">
        <v>1</v>
      </c>
      <c r="K42" t="s">
        <v>2272</v>
      </c>
      <c r="L42" t="s">
        <v>1303</v>
      </c>
    </row>
    <row r="43" spans="1:12">
      <c r="A43">
        <v>1040</v>
      </c>
      <c r="B43" t="s">
        <v>2387</v>
      </c>
      <c r="C43" t="s">
        <v>2390</v>
      </c>
      <c r="D43" t="s">
        <v>1259</v>
      </c>
      <c r="E43" t="s">
        <v>990</v>
      </c>
      <c r="F43" t="s">
        <v>990</v>
      </c>
      <c r="G43" t="s">
        <v>990</v>
      </c>
      <c r="H43"/>
      <c r="I43"/>
      <c r="J43">
        <v>1</v>
      </c>
      <c r="K43" t="s">
        <v>2272</v>
      </c>
      <c r="L43" t="s">
        <v>1304</v>
      </c>
    </row>
    <row r="44" spans="1:12">
      <c r="A44">
        <v>1040.0999999999999</v>
      </c>
      <c r="B44" t="s">
        <v>2387</v>
      </c>
      <c r="C44" t="s">
        <v>2390</v>
      </c>
      <c r="D44" t="s">
        <v>2650</v>
      </c>
      <c r="E44" t="s">
        <v>990</v>
      </c>
      <c r="F44" t="s">
        <v>990</v>
      </c>
      <c r="G44"/>
      <c r="H44"/>
      <c r="I44" t="s">
        <v>990</v>
      </c>
      <c r="J44">
        <v>1</v>
      </c>
      <c r="K44" t="s">
        <v>2272</v>
      </c>
      <c r="L44" t="s">
        <v>2654</v>
      </c>
    </row>
    <row r="45" spans="1:12">
      <c r="A45">
        <v>1041</v>
      </c>
      <c r="B45" t="s">
        <v>2387</v>
      </c>
      <c r="C45" t="s">
        <v>2391</v>
      </c>
      <c r="D45" t="s">
        <v>123</v>
      </c>
      <c r="E45"/>
      <c r="F45"/>
      <c r="G45"/>
      <c r="H45" t="s">
        <v>990</v>
      </c>
      <c r="I45"/>
      <c r="J45">
        <v>1</v>
      </c>
      <c r="K45" t="s">
        <v>2271</v>
      </c>
      <c r="L45" t="s">
        <v>802</v>
      </c>
    </row>
    <row r="46" spans="1:12">
      <c r="A46">
        <v>1042</v>
      </c>
      <c r="B46" t="s">
        <v>2387</v>
      </c>
      <c r="C46" t="s">
        <v>2391</v>
      </c>
      <c r="D46" t="s">
        <v>2086</v>
      </c>
      <c r="E46"/>
      <c r="F46"/>
      <c r="G46"/>
      <c r="H46" t="s">
        <v>990</v>
      </c>
      <c r="I46"/>
      <c r="J46">
        <v>1</v>
      </c>
      <c r="K46" t="s">
        <v>2271</v>
      </c>
      <c r="L46" t="s">
        <v>2085</v>
      </c>
    </row>
    <row r="47" spans="1:12">
      <c r="A47">
        <v>1043</v>
      </c>
      <c r="B47" t="s">
        <v>2387</v>
      </c>
      <c r="C47" t="s">
        <v>2391</v>
      </c>
      <c r="D47" t="s">
        <v>2094</v>
      </c>
      <c r="E47"/>
      <c r="F47"/>
      <c r="G47"/>
      <c r="H47" t="s">
        <v>990</v>
      </c>
      <c r="I47"/>
      <c r="J47">
        <v>1</v>
      </c>
      <c r="K47" t="s">
        <v>2271</v>
      </c>
      <c r="L47" t="s">
        <v>2092</v>
      </c>
    </row>
    <row r="48" spans="1:12">
      <c r="A48">
        <v>1044</v>
      </c>
      <c r="B48" t="s">
        <v>2387</v>
      </c>
      <c r="C48" t="s">
        <v>2391</v>
      </c>
      <c r="D48" t="s">
        <v>2267</v>
      </c>
      <c r="E48"/>
      <c r="F48"/>
      <c r="G48"/>
      <c r="H48" t="s">
        <v>990</v>
      </c>
      <c r="I48"/>
      <c r="J48">
        <v>1</v>
      </c>
      <c r="K48" t="s">
        <v>2271</v>
      </c>
      <c r="L48" t="s">
        <v>2290</v>
      </c>
    </row>
    <row r="49" spans="1:12">
      <c r="A49">
        <v>1045</v>
      </c>
      <c r="B49" t="s">
        <v>2387</v>
      </c>
      <c r="C49" t="s">
        <v>2391</v>
      </c>
      <c r="D49" t="s">
        <v>92</v>
      </c>
      <c r="E49"/>
      <c r="F49" t="s">
        <v>990</v>
      </c>
      <c r="G49"/>
      <c r="H49"/>
      <c r="I49"/>
      <c r="J49">
        <v>1</v>
      </c>
      <c r="K49" t="s">
        <v>2271</v>
      </c>
      <c r="L49" t="s">
        <v>184</v>
      </c>
    </row>
    <row r="50" spans="1:12">
      <c r="A50">
        <v>1046</v>
      </c>
      <c r="B50" t="s">
        <v>2387</v>
      </c>
      <c r="C50" t="s">
        <v>2391</v>
      </c>
      <c r="D50" t="s">
        <v>170</v>
      </c>
      <c r="E50"/>
      <c r="F50" t="s">
        <v>990</v>
      </c>
      <c r="G50" t="s">
        <v>990</v>
      </c>
      <c r="H50"/>
      <c r="I50"/>
      <c r="J50">
        <v>1</v>
      </c>
      <c r="K50" t="s">
        <v>2271</v>
      </c>
      <c r="L50" t="s">
        <v>193</v>
      </c>
    </row>
    <row r="51" spans="1:12">
      <c r="A51">
        <v>1047</v>
      </c>
      <c r="B51" t="s">
        <v>2387</v>
      </c>
      <c r="C51" t="s">
        <v>2391</v>
      </c>
      <c r="D51" t="s">
        <v>120</v>
      </c>
      <c r="E51"/>
      <c r="F51" t="s">
        <v>990</v>
      </c>
      <c r="G51" t="s">
        <v>990</v>
      </c>
      <c r="H51"/>
      <c r="I51" t="s">
        <v>990</v>
      </c>
      <c r="J51">
        <v>1</v>
      </c>
      <c r="K51" t="s">
        <v>2271</v>
      </c>
      <c r="L51" t="s">
        <v>356</v>
      </c>
    </row>
    <row r="52" spans="1:12">
      <c r="A52">
        <v>1048</v>
      </c>
      <c r="B52" t="s">
        <v>2387</v>
      </c>
      <c r="C52" t="s">
        <v>2391</v>
      </c>
      <c r="D52" t="s">
        <v>150</v>
      </c>
      <c r="E52"/>
      <c r="F52"/>
      <c r="G52"/>
      <c r="H52"/>
      <c r="I52"/>
      <c r="J52">
        <v>1</v>
      </c>
      <c r="K52" t="s">
        <v>2271</v>
      </c>
      <c r="L52" t="s">
        <v>555</v>
      </c>
    </row>
    <row r="53" spans="1:12">
      <c r="A53">
        <v>1049</v>
      </c>
      <c r="B53" t="s">
        <v>2387</v>
      </c>
      <c r="C53" t="s">
        <v>2391</v>
      </c>
      <c r="D53" t="s">
        <v>153</v>
      </c>
      <c r="E53"/>
      <c r="F53"/>
      <c r="G53"/>
      <c r="H53"/>
      <c r="I53"/>
      <c r="J53">
        <v>1</v>
      </c>
      <c r="K53" t="s">
        <v>2271</v>
      </c>
      <c r="L53" t="s">
        <v>448</v>
      </c>
    </row>
    <row r="54" spans="1:12">
      <c r="A54">
        <v>1050</v>
      </c>
      <c r="B54" t="s">
        <v>2387</v>
      </c>
      <c r="C54" t="s">
        <v>2391</v>
      </c>
      <c r="D54" t="s">
        <v>147</v>
      </c>
      <c r="E54"/>
      <c r="F54"/>
      <c r="G54"/>
      <c r="H54"/>
      <c r="I54"/>
      <c r="J54">
        <v>1</v>
      </c>
      <c r="K54" t="s">
        <v>2271</v>
      </c>
      <c r="L54" t="s">
        <v>449</v>
      </c>
    </row>
    <row r="55" spans="1:12">
      <c r="A55">
        <v>1051</v>
      </c>
      <c r="B55" t="s">
        <v>2387</v>
      </c>
      <c r="C55" t="s">
        <v>2391</v>
      </c>
      <c r="D55" t="s">
        <v>149</v>
      </c>
      <c r="E55"/>
      <c r="F55"/>
      <c r="G55"/>
      <c r="H55"/>
      <c r="I55"/>
      <c r="J55">
        <v>1</v>
      </c>
      <c r="K55" t="s">
        <v>2271</v>
      </c>
      <c r="L55" t="s">
        <v>450</v>
      </c>
    </row>
    <row r="56" spans="1:12">
      <c r="A56">
        <v>1052</v>
      </c>
      <c r="B56" t="s">
        <v>2387</v>
      </c>
      <c r="C56" t="s">
        <v>2391</v>
      </c>
      <c r="D56" t="s">
        <v>151</v>
      </c>
      <c r="E56"/>
      <c r="F56"/>
      <c r="G56"/>
      <c r="H56"/>
      <c r="I56"/>
      <c r="J56">
        <v>1</v>
      </c>
      <c r="K56" t="s">
        <v>2271</v>
      </c>
      <c r="L56" t="s">
        <v>451</v>
      </c>
    </row>
    <row r="57" spans="1:12">
      <c r="A57">
        <v>1053</v>
      </c>
      <c r="B57" t="s">
        <v>2387</v>
      </c>
      <c r="C57" t="s">
        <v>2391</v>
      </c>
      <c r="D57" t="s">
        <v>152</v>
      </c>
      <c r="E57"/>
      <c r="F57"/>
      <c r="G57"/>
      <c r="H57"/>
      <c r="I57"/>
      <c r="J57">
        <v>1</v>
      </c>
      <c r="K57" t="s">
        <v>2271</v>
      </c>
      <c r="L57" t="s">
        <v>452</v>
      </c>
    </row>
    <row r="58" spans="1:12">
      <c r="A58">
        <v>1054</v>
      </c>
      <c r="B58" t="s">
        <v>2387</v>
      </c>
      <c r="C58" t="s">
        <v>2391</v>
      </c>
      <c r="D58" t="s">
        <v>148</v>
      </c>
      <c r="E58"/>
      <c r="F58"/>
      <c r="G58"/>
      <c r="H58"/>
      <c r="I58"/>
      <c r="J58">
        <v>1</v>
      </c>
      <c r="K58" t="s">
        <v>2271</v>
      </c>
      <c r="L58" t="s">
        <v>453</v>
      </c>
    </row>
    <row r="59" spans="1:12">
      <c r="A59">
        <v>1055</v>
      </c>
      <c r="B59" t="s">
        <v>2387</v>
      </c>
      <c r="C59" t="s">
        <v>2391</v>
      </c>
      <c r="D59" t="s">
        <v>109</v>
      </c>
      <c r="E59"/>
      <c r="F59" t="s">
        <v>990</v>
      </c>
      <c r="G59"/>
      <c r="H59"/>
      <c r="I59"/>
      <c r="J59">
        <v>1</v>
      </c>
      <c r="K59" t="s">
        <v>2271</v>
      </c>
      <c r="L59" t="s">
        <v>800</v>
      </c>
    </row>
    <row r="60" spans="1:12">
      <c r="A60">
        <v>1056</v>
      </c>
      <c r="B60" t="s">
        <v>2387</v>
      </c>
      <c r="C60" t="s">
        <v>2391</v>
      </c>
      <c r="D60" t="s">
        <v>110</v>
      </c>
      <c r="E60"/>
      <c r="F60" t="s">
        <v>990</v>
      </c>
      <c r="G60"/>
      <c r="H60"/>
      <c r="I60"/>
      <c r="J60">
        <v>1</v>
      </c>
      <c r="K60" t="s">
        <v>2271</v>
      </c>
      <c r="L60" t="s">
        <v>801</v>
      </c>
    </row>
    <row r="61" spans="1:12">
      <c r="A61">
        <v>1057</v>
      </c>
      <c r="B61" t="s">
        <v>2387</v>
      </c>
      <c r="C61" t="s">
        <v>2391</v>
      </c>
      <c r="D61" t="s">
        <v>105</v>
      </c>
      <c r="E61"/>
      <c r="F61" t="s">
        <v>990</v>
      </c>
      <c r="G61"/>
      <c r="H61"/>
      <c r="I61"/>
      <c r="J61">
        <v>1</v>
      </c>
      <c r="K61" t="s">
        <v>2271</v>
      </c>
      <c r="L61" t="s">
        <v>454</v>
      </c>
    </row>
    <row r="62" spans="1:12">
      <c r="A62">
        <v>1058</v>
      </c>
      <c r="B62" t="s">
        <v>2387</v>
      </c>
      <c r="C62" t="s">
        <v>2391</v>
      </c>
      <c r="D62" t="s">
        <v>2268</v>
      </c>
      <c r="E62"/>
      <c r="F62"/>
      <c r="G62"/>
      <c r="H62"/>
      <c r="I62"/>
      <c r="J62">
        <v>1</v>
      </c>
      <c r="K62" t="s">
        <v>2271</v>
      </c>
      <c r="L62" t="s">
        <v>2316</v>
      </c>
    </row>
    <row r="63" spans="1:12">
      <c r="A63">
        <v>1059</v>
      </c>
      <c r="B63" t="s">
        <v>2387</v>
      </c>
      <c r="C63" t="s">
        <v>2391</v>
      </c>
      <c r="D63" t="s">
        <v>173</v>
      </c>
      <c r="E63"/>
      <c r="F63" t="s">
        <v>990</v>
      </c>
      <c r="G63" t="s">
        <v>990</v>
      </c>
      <c r="H63"/>
      <c r="I63"/>
      <c r="J63">
        <v>2</v>
      </c>
      <c r="K63" t="s">
        <v>2271</v>
      </c>
      <c r="L63" t="s">
        <v>479</v>
      </c>
    </row>
    <row r="64" spans="1:12">
      <c r="A64">
        <v>1060</v>
      </c>
      <c r="B64" t="s">
        <v>2387</v>
      </c>
      <c r="C64" t="s">
        <v>2391</v>
      </c>
      <c r="D64" t="s">
        <v>138</v>
      </c>
      <c r="E64"/>
      <c r="F64" t="s">
        <v>990</v>
      </c>
      <c r="G64" t="s">
        <v>990</v>
      </c>
      <c r="H64"/>
      <c r="I64"/>
      <c r="J64">
        <v>2</v>
      </c>
      <c r="K64" t="s">
        <v>2271</v>
      </c>
      <c r="L64" t="s">
        <v>774</v>
      </c>
    </row>
    <row r="65" spans="1:12">
      <c r="A65">
        <v>1061</v>
      </c>
      <c r="B65" t="s">
        <v>2387</v>
      </c>
      <c r="C65" t="s">
        <v>2392</v>
      </c>
      <c r="D65" t="s">
        <v>1203</v>
      </c>
      <c r="E65" t="s">
        <v>990</v>
      </c>
      <c r="F65" t="s">
        <v>990</v>
      </c>
      <c r="G65" t="s">
        <v>990</v>
      </c>
      <c r="H65"/>
      <c r="I65"/>
      <c r="J65">
        <v>1</v>
      </c>
      <c r="K65" t="s">
        <v>2273</v>
      </c>
      <c r="L65" t="s">
        <v>1205</v>
      </c>
    </row>
    <row r="66" spans="1:12">
      <c r="A66">
        <v>1062</v>
      </c>
      <c r="B66" t="s">
        <v>2387</v>
      </c>
      <c r="C66" t="s">
        <v>2392</v>
      </c>
      <c r="D66" t="s">
        <v>1202</v>
      </c>
      <c r="E66" t="s">
        <v>990</v>
      </c>
      <c r="F66" t="s">
        <v>990</v>
      </c>
      <c r="G66" t="s">
        <v>990</v>
      </c>
      <c r="H66"/>
      <c r="I66"/>
      <c r="J66">
        <v>1</v>
      </c>
      <c r="K66" t="s">
        <v>2273</v>
      </c>
      <c r="L66" t="s">
        <v>1248</v>
      </c>
    </row>
    <row r="67" spans="1:12">
      <c r="A67">
        <v>1063</v>
      </c>
      <c r="B67" t="s">
        <v>2387</v>
      </c>
      <c r="C67" t="s">
        <v>2392</v>
      </c>
      <c r="D67" t="s">
        <v>89</v>
      </c>
      <c r="E67"/>
      <c r="F67" t="s">
        <v>990</v>
      </c>
      <c r="G67" t="s">
        <v>990</v>
      </c>
      <c r="H67"/>
      <c r="I67"/>
      <c r="J67">
        <v>1</v>
      </c>
      <c r="K67" t="s">
        <v>2273</v>
      </c>
      <c r="L67" t="s">
        <v>775</v>
      </c>
    </row>
    <row r="68" spans="1:12">
      <c r="A68">
        <v>1064</v>
      </c>
      <c r="B68" t="s">
        <v>2387</v>
      </c>
      <c r="C68" t="s">
        <v>2392</v>
      </c>
      <c r="D68" t="s">
        <v>161</v>
      </c>
      <c r="E68"/>
      <c r="F68" t="s">
        <v>990</v>
      </c>
      <c r="G68" t="s">
        <v>990</v>
      </c>
      <c r="H68"/>
      <c r="I68"/>
      <c r="J68">
        <v>1</v>
      </c>
      <c r="K68" t="s">
        <v>2273</v>
      </c>
      <c r="L68" t="s">
        <v>720</v>
      </c>
    </row>
    <row r="69" spans="1:12">
      <c r="A69">
        <v>1065</v>
      </c>
      <c r="B69" t="s">
        <v>2387</v>
      </c>
      <c r="C69" t="s">
        <v>2392</v>
      </c>
      <c r="D69" t="s">
        <v>97</v>
      </c>
      <c r="E69"/>
      <c r="F69" t="s">
        <v>990</v>
      </c>
      <c r="G69" t="s">
        <v>990</v>
      </c>
      <c r="H69" t="s">
        <v>990</v>
      </c>
      <c r="I69"/>
      <c r="J69">
        <v>1</v>
      </c>
      <c r="K69" t="s">
        <v>2273</v>
      </c>
      <c r="L69" t="s">
        <v>768</v>
      </c>
    </row>
    <row r="70" spans="1:12">
      <c r="A70">
        <v>1066</v>
      </c>
      <c r="B70" t="s">
        <v>2387</v>
      </c>
      <c r="C70" t="s">
        <v>2392</v>
      </c>
      <c r="D70" t="s">
        <v>96</v>
      </c>
      <c r="E70"/>
      <c r="F70" t="s">
        <v>990</v>
      </c>
      <c r="G70" t="s">
        <v>990</v>
      </c>
      <c r="H70" t="s">
        <v>990</v>
      </c>
      <c r="I70"/>
      <c r="J70">
        <v>1</v>
      </c>
      <c r="K70" t="s">
        <v>2273</v>
      </c>
      <c r="L70" t="s">
        <v>185</v>
      </c>
    </row>
    <row r="71" spans="1:12">
      <c r="A71">
        <v>1067</v>
      </c>
      <c r="B71" t="s">
        <v>2387</v>
      </c>
      <c r="C71" t="s">
        <v>2392</v>
      </c>
      <c r="D71" t="s">
        <v>162</v>
      </c>
      <c r="E71"/>
      <c r="F71" t="s">
        <v>990</v>
      </c>
      <c r="G71" t="s">
        <v>990</v>
      </c>
      <c r="H71" t="s">
        <v>990</v>
      </c>
      <c r="I71"/>
      <c r="J71">
        <v>1</v>
      </c>
      <c r="K71" t="s">
        <v>2273</v>
      </c>
      <c r="L71" t="s">
        <v>18</v>
      </c>
    </row>
    <row r="72" spans="1:12">
      <c r="A72">
        <v>1068</v>
      </c>
      <c r="B72" t="s">
        <v>2387</v>
      </c>
      <c r="C72" t="s">
        <v>2392</v>
      </c>
      <c r="D72" t="s">
        <v>128</v>
      </c>
      <c r="E72"/>
      <c r="F72" t="s">
        <v>990</v>
      </c>
      <c r="G72" t="s">
        <v>990</v>
      </c>
      <c r="H72" t="s">
        <v>990</v>
      </c>
      <c r="I72"/>
      <c r="J72">
        <v>1</v>
      </c>
      <c r="K72" t="s">
        <v>2273</v>
      </c>
      <c r="L72" t="s">
        <v>456</v>
      </c>
    </row>
    <row r="73" spans="1:12">
      <c r="A73">
        <v>1069</v>
      </c>
      <c r="B73" t="s">
        <v>2387</v>
      </c>
      <c r="C73" t="s">
        <v>2393</v>
      </c>
      <c r="D73" t="s">
        <v>155</v>
      </c>
      <c r="E73"/>
      <c r="F73" t="s">
        <v>990</v>
      </c>
      <c r="G73"/>
      <c r="H73"/>
      <c r="I73"/>
      <c r="J73">
        <v>1</v>
      </c>
      <c r="K73" t="s">
        <v>2281</v>
      </c>
      <c r="L73" t="s">
        <v>804</v>
      </c>
    </row>
    <row r="74" spans="1:12">
      <c r="A74">
        <v>1070</v>
      </c>
      <c r="B74" t="s">
        <v>2387</v>
      </c>
      <c r="C74" t="s">
        <v>2393</v>
      </c>
      <c r="D74" t="s">
        <v>2238</v>
      </c>
      <c r="E74"/>
      <c r="F74" t="s">
        <v>990</v>
      </c>
      <c r="G74"/>
      <c r="H74"/>
      <c r="I74"/>
      <c r="J74">
        <v>2</v>
      </c>
      <c r="K74" t="s">
        <v>2281</v>
      </c>
      <c r="L74" t="s">
        <v>2294</v>
      </c>
    </row>
    <row r="75" spans="1:12">
      <c r="A75">
        <v>1071</v>
      </c>
      <c r="B75" t="s">
        <v>2387</v>
      </c>
      <c r="C75" t="s">
        <v>2393</v>
      </c>
      <c r="D75" t="s">
        <v>2239</v>
      </c>
      <c r="E75"/>
      <c r="F75" t="s">
        <v>990</v>
      </c>
      <c r="G75"/>
      <c r="H75" t="s">
        <v>990</v>
      </c>
      <c r="I75"/>
      <c r="J75">
        <v>2</v>
      </c>
      <c r="K75" t="s">
        <v>2281</v>
      </c>
      <c r="L75" t="s">
        <v>2295</v>
      </c>
    </row>
    <row r="76" spans="1:12">
      <c r="A76">
        <v>1072</v>
      </c>
      <c r="B76" t="s">
        <v>2387</v>
      </c>
      <c r="C76" t="s">
        <v>2393</v>
      </c>
      <c r="D76" t="s">
        <v>2240</v>
      </c>
      <c r="E76"/>
      <c r="F76" t="s">
        <v>990</v>
      </c>
      <c r="G76"/>
      <c r="H76" t="s">
        <v>990</v>
      </c>
      <c r="I76"/>
      <c r="J76">
        <v>1</v>
      </c>
      <c r="K76" t="s">
        <v>2281</v>
      </c>
      <c r="L76" t="s">
        <v>2296</v>
      </c>
    </row>
    <row r="77" spans="1:12">
      <c r="A77">
        <v>1073</v>
      </c>
      <c r="B77" t="s">
        <v>2387</v>
      </c>
      <c r="C77" t="s">
        <v>2393</v>
      </c>
      <c r="D77" t="s">
        <v>2241</v>
      </c>
      <c r="E77"/>
      <c r="F77" t="s">
        <v>990</v>
      </c>
      <c r="G77"/>
      <c r="H77" t="s">
        <v>990</v>
      </c>
      <c r="I77"/>
      <c r="J77">
        <v>1</v>
      </c>
      <c r="K77" t="s">
        <v>2281</v>
      </c>
      <c r="L77" t="s">
        <v>2297</v>
      </c>
    </row>
    <row r="78" spans="1:12">
      <c r="A78">
        <v>1074</v>
      </c>
      <c r="B78" t="s">
        <v>2387</v>
      </c>
      <c r="C78" t="s">
        <v>2393</v>
      </c>
      <c r="D78" t="s">
        <v>2242</v>
      </c>
      <c r="E78"/>
      <c r="F78" t="s">
        <v>990</v>
      </c>
      <c r="G78"/>
      <c r="H78"/>
      <c r="I78"/>
      <c r="J78">
        <v>1</v>
      </c>
      <c r="K78" t="s">
        <v>2281</v>
      </c>
      <c r="L78" t="s">
        <v>2298</v>
      </c>
    </row>
    <row r="79" spans="1:12">
      <c r="A79">
        <v>1075</v>
      </c>
      <c r="B79" t="s">
        <v>2387</v>
      </c>
      <c r="C79" t="s">
        <v>2393</v>
      </c>
      <c r="D79" t="s">
        <v>2243</v>
      </c>
      <c r="E79"/>
      <c r="F79" t="s">
        <v>990</v>
      </c>
      <c r="G79"/>
      <c r="H79"/>
      <c r="I79"/>
      <c r="J79">
        <v>1</v>
      </c>
      <c r="K79" t="s">
        <v>2281</v>
      </c>
      <c r="L79" t="s">
        <v>2284</v>
      </c>
    </row>
    <row r="80" spans="1:12">
      <c r="A80">
        <v>1076</v>
      </c>
      <c r="B80" t="s">
        <v>2387</v>
      </c>
      <c r="C80" t="s">
        <v>2393</v>
      </c>
      <c r="D80" t="s">
        <v>2244</v>
      </c>
      <c r="E80"/>
      <c r="F80" t="s">
        <v>990</v>
      </c>
      <c r="G80"/>
      <c r="H80"/>
      <c r="I80"/>
      <c r="J80">
        <v>1</v>
      </c>
      <c r="K80" t="s">
        <v>2281</v>
      </c>
      <c r="L80" t="s">
        <v>2285</v>
      </c>
    </row>
    <row r="81" spans="1:12">
      <c r="A81">
        <v>1077</v>
      </c>
      <c r="B81" t="s">
        <v>2387</v>
      </c>
      <c r="C81" t="s">
        <v>2393</v>
      </c>
      <c r="D81" t="s">
        <v>2245</v>
      </c>
      <c r="E81"/>
      <c r="F81" t="s">
        <v>990</v>
      </c>
      <c r="G81"/>
      <c r="H81"/>
      <c r="I81"/>
      <c r="J81">
        <v>1</v>
      </c>
      <c r="K81" t="s">
        <v>2281</v>
      </c>
      <c r="L81" t="s">
        <v>987</v>
      </c>
    </row>
    <row r="82" spans="1:12">
      <c r="A82">
        <v>1078</v>
      </c>
      <c r="B82" t="s">
        <v>2387</v>
      </c>
      <c r="C82" t="s">
        <v>2394</v>
      </c>
      <c r="D82" t="s">
        <v>95</v>
      </c>
      <c r="E82"/>
      <c r="F82" t="s">
        <v>990</v>
      </c>
      <c r="G82"/>
      <c r="H82"/>
      <c r="I82"/>
      <c r="J82">
        <v>1</v>
      </c>
      <c r="K82" t="s">
        <v>2278</v>
      </c>
      <c r="L82" t="s">
        <v>786</v>
      </c>
    </row>
    <row r="83" spans="1:12">
      <c r="A83">
        <v>1083</v>
      </c>
      <c r="B83" t="s">
        <v>2387</v>
      </c>
      <c r="C83" t="s">
        <v>2394</v>
      </c>
      <c r="D83" t="s">
        <v>139</v>
      </c>
      <c r="E83"/>
      <c r="F83" t="s">
        <v>990</v>
      </c>
      <c r="G83"/>
      <c r="H83"/>
      <c r="I83"/>
      <c r="J83">
        <v>1</v>
      </c>
      <c r="K83" t="s">
        <v>2278</v>
      </c>
      <c r="L83" t="s">
        <v>787</v>
      </c>
    </row>
    <row r="84" spans="1:12">
      <c r="A84">
        <v>1084</v>
      </c>
      <c r="B84" t="s">
        <v>2387</v>
      </c>
      <c r="C84" t="s">
        <v>2394</v>
      </c>
      <c r="D84" t="s">
        <v>142</v>
      </c>
      <c r="E84"/>
      <c r="F84" t="s">
        <v>990</v>
      </c>
      <c r="G84"/>
      <c r="H84"/>
      <c r="I84"/>
      <c r="J84">
        <v>1</v>
      </c>
      <c r="K84" t="s">
        <v>2278</v>
      </c>
      <c r="L84" t="s">
        <v>788</v>
      </c>
    </row>
    <row r="85" spans="1:12">
      <c r="A85">
        <v>1085</v>
      </c>
      <c r="B85" t="s">
        <v>2387</v>
      </c>
      <c r="C85" t="s">
        <v>2394</v>
      </c>
      <c r="D85" t="s">
        <v>140</v>
      </c>
      <c r="E85"/>
      <c r="F85" t="s">
        <v>990</v>
      </c>
      <c r="G85"/>
      <c r="H85"/>
      <c r="I85"/>
      <c r="J85">
        <v>1</v>
      </c>
      <c r="K85" t="s">
        <v>2278</v>
      </c>
      <c r="L85" t="s">
        <v>789</v>
      </c>
    </row>
    <row r="86" spans="1:12">
      <c r="A86">
        <v>1086</v>
      </c>
      <c r="B86" t="s">
        <v>2387</v>
      </c>
      <c r="C86" t="s">
        <v>2394</v>
      </c>
      <c r="D86" t="s">
        <v>476</v>
      </c>
      <c r="E86"/>
      <c r="F86" t="s">
        <v>990</v>
      </c>
      <c r="G86"/>
      <c r="H86"/>
      <c r="I86"/>
      <c r="J86">
        <v>1</v>
      </c>
      <c r="K86" t="s">
        <v>2278</v>
      </c>
      <c r="L86" t="s">
        <v>477</v>
      </c>
    </row>
    <row r="87" spans="1:12">
      <c r="A87">
        <v>1087</v>
      </c>
      <c r="B87" t="s">
        <v>2387</v>
      </c>
      <c r="C87" t="s">
        <v>2394</v>
      </c>
      <c r="D87" t="s">
        <v>141</v>
      </c>
      <c r="E87"/>
      <c r="F87" t="s">
        <v>990</v>
      </c>
      <c r="G87"/>
      <c r="H87"/>
      <c r="I87"/>
      <c r="J87">
        <v>1</v>
      </c>
      <c r="K87" t="s">
        <v>2278</v>
      </c>
      <c r="L87" t="s">
        <v>790</v>
      </c>
    </row>
    <row r="88" spans="1:12">
      <c r="A88">
        <v>1088</v>
      </c>
      <c r="B88" t="s">
        <v>2387</v>
      </c>
      <c r="C88" t="s">
        <v>2394</v>
      </c>
      <c r="D88" t="s">
        <v>144</v>
      </c>
      <c r="E88"/>
      <c r="F88" t="s">
        <v>990</v>
      </c>
      <c r="G88"/>
      <c r="H88"/>
      <c r="I88"/>
      <c r="J88">
        <v>1</v>
      </c>
      <c r="K88" t="s">
        <v>2278</v>
      </c>
      <c r="L88" t="s">
        <v>791</v>
      </c>
    </row>
    <row r="89" spans="1:12">
      <c r="A89">
        <v>1089</v>
      </c>
      <c r="B89" t="s">
        <v>2387</v>
      </c>
      <c r="C89" t="s">
        <v>2394</v>
      </c>
      <c r="D89" t="s">
        <v>143</v>
      </c>
      <c r="E89"/>
      <c r="F89" t="s">
        <v>990</v>
      </c>
      <c r="G89"/>
      <c r="H89"/>
      <c r="I89"/>
      <c r="J89">
        <v>1</v>
      </c>
      <c r="K89" t="s">
        <v>2278</v>
      </c>
      <c r="L89" t="s">
        <v>792</v>
      </c>
    </row>
    <row r="90" spans="1:12">
      <c r="A90">
        <v>1090</v>
      </c>
      <c r="B90" t="s">
        <v>2387</v>
      </c>
      <c r="C90" t="s">
        <v>2394</v>
      </c>
      <c r="D90" t="s">
        <v>146</v>
      </c>
      <c r="E90"/>
      <c r="F90" t="s">
        <v>990</v>
      </c>
      <c r="G90"/>
      <c r="H90"/>
      <c r="I90"/>
      <c r="J90">
        <v>1</v>
      </c>
      <c r="K90" t="s">
        <v>2278</v>
      </c>
      <c r="L90" t="s">
        <v>793</v>
      </c>
    </row>
    <row r="91" spans="1:12">
      <c r="A91">
        <v>1082</v>
      </c>
      <c r="B91" t="s">
        <v>2387</v>
      </c>
      <c r="C91" t="s">
        <v>2394</v>
      </c>
      <c r="D91" t="s">
        <v>165</v>
      </c>
      <c r="E91"/>
      <c r="F91" t="s">
        <v>990</v>
      </c>
      <c r="G91"/>
      <c r="H91"/>
      <c r="I91"/>
      <c r="J91">
        <v>1</v>
      </c>
      <c r="K91" t="s">
        <v>2278</v>
      </c>
      <c r="L91" t="s">
        <v>794</v>
      </c>
    </row>
    <row r="92" spans="1:12">
      <c r="A92">
        <v>1091</v>
      </c>
      <c r="B92" t="s">
        <v>2387</v>
      </c>
      <c r="C92" t="s">
        <v>2394</v>
      </c>
      <c r="D92" t="s">
        <v>1209</v>
      </c>
      <c r="E92"/>
      <c r="F92" t="s">
        <v>990</v>
      </c>
      <c r="G92"/>
      <c r="H92"/>
      <c r="I92"/>
      <c r="J92">
        <v>1</v>
      </c>
      <c r="K92" t="s">
        <v>2278</v>
      </c>
      <c r="L92" t="s">
        <v>1230</v>
      </c>
    </row>
    <row r="93" spans="1:12">
      <c r="A93">
        <v>1092</v>
      </c>
      <c r="B93" t="s">
        <v>2387</v>
      </c>
      <c r="C93" t="s">
        <v>2394</v>
      </c>
      <c r="D93" t="s">
        <v>1210</v>
      </c>
      <c r="E93"/>
      <c r="F93" t="s">
        <v>990</v>
      </c>
      <c r="G93"/>
      <c r="H93"/>
      <c r="I93"/>
      <c r="J93">
        <v>1</v>
      </c>
      <c r="K93" t="s">
        <v>2278</v>
      </c>
      <c r="L93" t="s">
        <v>1231</v>
      </c>
    </row>
    <row r="94" spans="1:12">
      <c r="A94">
        <v>1093</v>
      </c>
      <c r="B94" t="s">
        <v>2387</v>
      </c>
      <c r="C94" t="s">
        <v>2394</v>
      </c>
      <c r="D94" t="s">
        <v>1211</v>
      </c>
      <c r="E94"/>
      <c r="F94" t="s">
        <v>990</v>
      </c>
      <c r="G94"/>
      <c r="H94"/>
      <c r="I94"/>
      <c r="J94">
        <v>1</v>
      </c>
      <c r="K94" t="s">
        <v>2278</v>
      </c>
      <c r="L94" t="s">
        <v>1232</v>
      </c>
    </row>
    <row r="95" spans="1:12">
      <c r="A95">
        <v>1094</v>
      </c>
      <c r="B95" t="s">
        <v>2387</v>
      </c>
      <c r="C95" t="s">
        <v>2394</v>
      </c>
      <c r="D95" t="s">
        <v>1212</v>
      </c>
      <c r="E95"/>
      <c r="F95" t="s">
        <v>990</v>
      </c>
      <c r="G95"/>
      <c r="H95"/>
      <c r="I95"/>
      <c r="J95">
        <v>1</v>
      </c>
      <c r="K95" t="s">
        <v>2278</v>
      </c>
      <c r="L95" t="s">
        <v>1233</v>
      </c>
    </row>
    <row r="96" spans="1:12">
      <c r="A96">
        <v>1095</v>
      </c>
      <c r="B96" t="s">
        <v>2387</v>
      </c>
      <c r="C96" t="s">
        <v>2394</v>
      </c>
      <c r="D96" t="s">
        <v>1213</v>
      </c>
      <c r="E96"/>
      <c r="F96" t="s">
        <v>990</v>
      </c>
      <c r="G96"/>
      <c r="H96"/>
      <c r="I96"/>
      <c r="J96">
        <v>1</v>
      </c>
      <c r="K96" t="s">
        <v>2278</v>
      </c>
      <c r="L96" t="s">
        <v>1234</v>
      </c>
    </row>
    <row r="97" spans="1:12">
      <c r="A97">
        <v>1096</v>
      </c>
      <c r="B97" t="s">
        <v>2387</v>
      </c>
      <c r="C97" t="s">
        <v>2394</v>
      </c>
      <c r="D97" t="s">
        <v>1214</v>
      </c>
      <c r="E97"/>
      <c r="F97" t="s">
        <v>990</v>
      </c>
      <c r="G97"/>
      <c r="H97"/>
      <c r="I97"/>
      <c r="J97">
        <v>1</v>
      </c>
      <c r="K97" t="s">
        <v>2278</v>
      </c>
      <c r="L97" t="s">
        <v>1235</v>
      </c>
    </row>
    <row r="98" spans="1:12">
      <c r="A98">
        <v>1097</v>
      </c>
      <c r="B98" t="s">
        <v>2387</v>
      </c>
      <c r="C98" t="s">
        <v>2394</v>
      </c>
      <c r="D98" t="s">
        <v>1215</v>
      </c>
      <c r="E98"/>
      <c r="F98" t="s">
        <v>990</v>
      </c>
      <c r="G98"/>
      <c r="H98"/>
      <c r="I98"/>
      <c r="J98">
        <v>1</v>
      </c>
      <c r="K98" t="s">
        <v>2278</v>
      </c>
      <c r="L98" t="s">
        <v>1236</v>
      </c>
    </row>
    <row r="99" spans="1:12">
      <c r="A99">
        <v>1098</v>
      </c>
      <c r="B99" t="s">
        <v>2387</v>
      </c>
      <c r="C99" t="s">
        <v>2394</v>
      </c>
      <c r="D99" t="s">
        <v>1216</v>
      </c>
      <c r="E99"/>
      <c r="F99" t="s">
        <v>990</v>
      </c>
      <c r="G99"/>
      <c r="H99"/>
      <c r="I99"/>
      <c r="J99">
        <v>1</v>
      </c>
      <c r="K99" t="s">
        <v>2278</v>
      </c>
      <c r="L99" t="s">
        <v>1237</v>
      </c>
    </row>
    <row r="100" spans="1:12">
      <c r="A100">
        <v>1099</v>
      </c>
      <c r="B100" t="s">
        <v>2387</v>
      </c>
      <c r="C100" t="s">
        <v>2394</v>
      </c>
      <c r="D100" t="s">
        <v>1217</v>
      </c>
      <c r="E100"/>
      <c r="F100" t="s">
        <v>990</v>
      </c>
      <c r="G100"/>
      <c r="H100"/>
      <c r="I100"/>
      <c r="J100">
        <v>1</v>
      </c>
      <c r="K100" t="s">
        <v>2278</v>
      </c>
      <c r="L100" t="s">
        <v>1238</v>
      </c>
    </row>
    <row r="101" spans="1:12">
      <c r="A101">
        <v>1100</v>
      </c>
      <c r="B101" t="s">
        <v>2387</v>
      </c>
      <c r="C101" t="s">
        <v>2394</v>
      </c>
      <c r="D101" t="s">
        <v>1218</v>
      </c>
      <c r="E101"/>
      <c r="F101" t="s">
        <v>990</v>
      </c>
      <c r="G101"/>
      <c r="H101"/>
      <c r="I101"/>
      <c r="J101">
        <v>1</v>
      </c>
      <c r="K101" t="s">
        <v>2278</v>
      </c>
      <c r="L101" t="s">
        <v>1239</v>
      </c>
    </row>
    <row r="102" spans="1:12">
      <c r="A102">
        <v>1101</v>
      </c>
      <c r="B102" t="s">
        <v>2387</v>
      </c>
      <c r="C102" t="s">
        <v>2394</v>
      </c>
      <c r="D102" t="s">
        <v>1219</v>
      </c>
      <c r="E102"/>
      <c r="F102" t="s">
        <v>990</v>
      </c>
      <c r="G102"/>
      <c r="H102"/>
      <c r="I102"/>
      <c r="J102">
        <v>1</v>
      </c>
      <c r="K102" t="s">
        <v>2278</v>
      </c>
      <c r="L102" t="s">
        <v>1240</v>
      </c>
    </row>
    <row r="103" spans="1:12">
      <c r="A103">
        <v>1102</v>
      </c>
      <c r="B103" t="s">
        <v>2387</v>
      </c>
      <c r="C103" t="s">
        <v>2394</v>
      </c>
      <c r="D103" t="s">
        <v>1220</v>
      </c>
      <c r="E103"/>
      <c r="F103" t="s">
        <v>990</v>
      </c>
      <c r="G103"/>
      <c r="H103"/>
      <c r="I103"/>
      <c r="J103">
        <v>1</v>
      </c>
      <c r="K103" t="s">
        <v>2278</v>
      </c>
      <c r="L103" t="s">
        <v>1241</v>
      </c>
    </row>
    <row r="104" spans="1:12">
      <c r="A104">
        <v>1081</v>
      </c>
      <c r="B104" t="s">
        <v>2387</v>
      </c>
      <c r="C104" t="s">
        <v>2394</v>
      </c>
      <c r="D104" t="s">
        <v>1253</v>
      </c>
      <c r="E104"/>
      <c r="F104" t="s">
        <v>990</v>
      </c>
      <c r="G104"/>
      <c r="H104"/>
      <c r="I104"/>
      <c r="J104">
        <v>1</v>
      </c>
      <c r="K104" t="s">
        <v>2278</v>
      </c>
      <c r="L104" t="s">
        <v>1516</v>
      </c>
    </row>
    <row r="105" spans="1:12">
      <c r="A105">
        <v>1080</v>
      </c>
      <c r="B105" t="s">
        <v>2387</v>
      </c>
      <c r="C105" t="s">
        <v>2394</v>
      </c>
      <c r="D105" t="s">
        <v>1739</v>
      </c>
      <c r="E105"/>
      <c r="F105" t="s">
        <v>990</v>
      </c>
      <c r="G105"/>
      <c r="H105"/>
      <c r="I105"/>
      <c r="J105">
        <v>1</v>
      </c>
      <c r="K105" t="s">
        <v>2278</v>
      </c>
      <c r="L105" t="s">
        <v>1914</v>
      </c>
    </row>
    <row r="106" spans="1:12">
      <c r="A106">
        <v>1103</v>
      </c>
      <c r="B106" t="s">
        <v>2387</v>
      </c>
      <c r="C106" t="s">
        <v>2394</v>
      </c>
      <c r="D106" t="s">
        <v>1254</v>
      </c>
      <c r="E106"/>
      <c r="F106" t="s">
        <v>990</v>
      </c>
      <c r="G106"/>
      <c r="H106"/>
      <c r="I106"/>
      <c r="J106">
        <v>1</v>
      </c>
      <c r="K106" t="s">
        <v>2278</v>
      </c>
      <c r="L106" t="s">
        <v>1299</v>
      </c>
    </row>
    <row r="107" spans="1:12">
      <c r="A107">
        <v>1079</v>
      </c>
      <c r="B107" t="s">
        <v>2387</v>
      </c>
      <c r="C107" t="s">
        <v>2394</v>
      </c>
      <c r="D107" t="s">
        <v>2250</v>
      </c>
      <c r="E107"/>
      <c r="F107" t="s">
        <v>990</v>
      </c>
      <c r="G107"/>
      <c r="H107"/>
      <c r="I107"/>
      <c r="J107">
        <v>1</v>
      </c>
      <c r="K107" t="s">
        <v>2278</v>
      </c>
      <c r="L107" t="s">
        <v>2300</v>
      </c>
    </row>
    <row r="108" spans="1:12">
      <c r="A108">
        <v>1104</v>
      </c>
      <c r="B108" t="s">
        <v>2387</v>
      </c>
      <c r="C108" t="s">
        <v>2395</v>
      </c>
      <c r="D108" t="s">
        <v>98</v>
      </c>
      <c r="E108"/>
      <c r="F108" t="s">
        <v>990</v>
      </c>
      <c r="G108"/>
      <c r="H108"/>
      <c r="I108"/>
      <c r="J108">
        <v>1</v>
      </c>
      <c r="K108" t="s">
        <v>2274</v>
      </c>
      <c r="L108" t="s">
        <v>186</v>
      </c>
    </row>
    <row r="109" spans="1:12">
      <c r="A109">
        <v>1105</v>
      </c>
      <c r="B109" t="s">
        <v>2387</v>
      </c>
      <c r="C109" t="s">
        <v>2395</v>
      </c>
      <c r="D109" t="s">
        <v>99</v>
      </c>
      <c r="E109"/>
      <c r="F109" t="s">
        <v>990</v>
      </c>
      <c r="G109"/>
      <c r="H109"/>
      <c r="I109"/>
      <c r="J109">
        <v>1</v>
      </c>
      <c r="K109" t="s">
        <v>2274</v>
      </c>
      <c r="L109" t="s">
        <v>187</v>
      </c>
    </row>
    <row r="110" spans="1:12">
      <c r="A110">
        <v>1106</v>
      </c>
      <c r="B110" t="s">
        <v>2387</v>
      </c>
      <c r="C110" t="s">
        <v>2395</v>
      </c>
      <c r="D110" t="s">
        <v>100</v>
      </c>
      <c r="E110"/>
      <c r="F110" t="s">
        <v>990</v>
      </c>
      <c r="G110"/>
      <c r="H110"/>
      <c r="I110"/>
      <c r="J110">
        <v>1</v>
      </c>
      <c r="K110" t="s">
        <v>2274</v>
      </c>
      <c r="L110" t="s">
        <v>188</v>
      </c>
    </row>
    <row r="111" spans="1:12">
      <c r="A111">
        <v>1107</v>
      </c>
      <c r="B111" t="s">
        <v>2387</v>
      </c>
      <c r="C111" t="s">
        <v>2395</v>
      </c>
      <c r="D111" t="s">
        <v>101</v>
      </c>
      <c r="E111"/>
      <c r="F111" t="s">
        <v>990</v>
      </c>
      <c r="G111"/>
      <c r="H111"/>
      <c r="I111"/>
      <c r="J111">
        <v>1</v>
      </c>
      <c r="K111" t="s">
        <v>2274</v>
      </c>
      <c r="L111" t="s">
        <v>189</v>
      </c>
    </row>
    <row r="112" spans="1:12">
      <c r="A112">
        <v>1108</v>
      </c>
      <c r="B112" t="s">
        <v>2387</v>
      </c>
      <c r="C112" t="s">
        <v>2395</v>
      </c>
      <c r="D112" t="s">
        <v>124</v>
      </c>
      <c r="E112"/>
      <c r="F112" t="s">
        <v>990</v>
      </c>
      <c r="G112"/>
      <c r="H112"/>
      <c r="I112"/>
      <c r="J112">
        <v>1</v>
      </c>
      <c r="K112" t="s">
        <v>2274</v>
      </c>
      <c r="L112" t="s">
        <v>682</v>
      </c>
    </row>
    <row r="113" spans="1:12">
      <c r="A113">
        <v>1109</v>
      </c>
      <c r="B113" t="s">
        <v>2387</v>
      </c>
      <c r="C113" t="s">
        <v>2395</v>
      </c>
      <c r="D113" t="s">
        <v>102</v>
      </c>
      <c r="E113"/>
      <c r="F113" t="s">
        <v>990</v>
      </c>
      <c r="G113"/>
      <c r="H113"/>
      <c r="I113"/>
      <c r="J113">
        <v>1</v>
      </c>
      <c r="K113" t="s">
        <v>2274</v>
      </c>
      <c r="L113" t="s">
        <v>1840</v>
      </c>
    </row>
    <row r="114" spans="1:12">
      <c r="A114">
        <v>1110</v>
      </c>
      <c r="B114" t="s">
        <v>2387</v>
      </c>
      <c r="C114" t="s">
        <v>2395</v>
      </c>
      <c r="D114" t="s">
        <v>751</v>
      </c>
      <c r="E114"/>
      <c r="F114" t="s">
        <v>990</v>
      </c>
      <c r="G114"/>
      <c r="H114"/>
      <c r="I114"/>
      <c r="J114">
        <v>1</v>
      </c>
      <c r="K114" t="s">
        <v>2274</v>
      </c>
      <c r="L114" t="s">
        <v>1228</v>
      </c>
    </row>
    <row r="115" spans="1:12">
      <c r="A115">
        <v>1111</v>
      </c>
      <c r="B115" t="s">
        <v>2387</v>
      </c>
      <c r="C115" t="s">
        <v>2395</v>
      </c>
      <c r="D115" t="s">
        <v>752</v>
      </c>
      <c r="E115"/>
      <c r="F115" t="s">
        <v>990</v>
      </c>
      <c r="G115"/>
      <c r="H115"/>
      <c r="I115"/>
      <c r="J115">
        <v>1</v>
      </c>
      <c r="K115" t="s">
        <v>2274</v>
      </c>
      <c r="L115" t="s">
        <v>776</v>
      </c>
    </row>
    <row r="116" spans="1:12">
      <c r="A116">
        <v>1112</v>
      </c>
      <c r="B116" t="s">
        <v>2387</v>
      </c>
      <c r="C116" t="s">
        <v>2395</v>
      </c>
      <c r="D116" t="s">
        <v>753</v>
      </c>
      <c r="E116"/>
      <c r="F116" t="s">
        <v>990</v>
      </c>
      <c r="G116"/>
      <c r="H116"/>
      <c r="I116"/>
      <c r="J116">
        <v>1</v>
      </c>
      <c r="K116" t="s">
        <v>2274</v>
      </c>
      <c r="L116" t="s">
        <v>777</v>
      </c>
    </row>
    <row r="117" spans="1:12">
      <c r="A117">
        <v>1113</v>
      </c>
      <c r="B117" t="s">
        <v>2387</v>
      </c>
      <c r="C117" t="s">
        <v>2395</v>
      </c>
      <c r="D117" t="s">
        <v>754</v>
      </c>
      <c r="E117"/>
      <c r="F117" t="s">
        <v>990</v>
      </c>
      <c r="G117"/>
      <c r="H117"/>
      <c r="I117"/>
      <c r="J117">
        <v>1</v>
      </c>
      <c r="K117" t="s">
        <v>2274</v>
      </c>
      <c r="L117" t="s">
        <v>778</v>
      </c>
    </row>
    <row r="118" spans="1:12">
      <c r="A118">
        <v>1114</v>
      </c>
      <c r="B118" t="s">
        <v>2387</v>
      </c>
      <c r="C118" t="s">
        <v>2396</v>
      </c>
      <c r="D118" t="s">
        <v>166</v>
      </c>
      <c r="E118"/>
      <c r="F118" t="s">
        <v>990</v>
      </c>
      <c r="G118"/>
      <c r="H118"/>
      <c r="I118"/>
      <c r="J118">
        <v>1</v>
      </c>
      <c r="K118" t="s">
        <v>2275</v>
      </c>
      <c r="L118" t="s">
        <v>769</v>
      </c>
    </row>
    <row r="119" spans="1:12">
      <c r="A119">
        <v>1115</v>
      </c>
      <c r="B119" t="s">
        <v>2387</v>
      </c>
      <c r="C119" t="s">
        <v>2396</v>
      </c>
      <c r="D119" t="s">
        <v>169</v>
      </c>
      <c r="E119"/>
      <c r="F119" t="s">
        <v>990</v>
      </c>
      <c r="G119"/>
      <c r="H119"/>
      <c r="I119"/>
      <c r="J119">
        <v>1</v>
      </c>
      <c r="K119" t="s">
        <v>2275</v>
      </c>
      <c r="L119" t="s">
        <v>678</v>
      </c>
    </row>
    <row r="120" spans="1:12">
      <c r="A120">
        <v>1116</v>
      </c>
      <c r="B120" t="s">
        <v>2387</v>
      </c>
      <c r="C120" t="s">
        <v>2396</v>
      </c>
      <c r="D120" t="s">
        <v>126</v>
      </c>
      <c r="E120"/>
      <c r="F120" t="s">
        <v>990</v>
      </c>
      <c r="G120"/>
      <c r="H120"/>
      <c r="I120"/>
      <c r="J120">
        <v>1</v>
      </c>
      <c r="K120" t="s">
        <v>2275</v>
      </c>
      <c r="L120" t="s">
        <v>354</v>
      </c>
    </row>
    <row r="121" spans="1:12">
      <c r="A121">
        <v>1117</v>
      </c>
      <c r="B121" t="s">
        <v>2387</v>
      </c>
      <c r="C121" t="s">
        <v>2396</v>
      </c>
      <c r="D121" t="s">
        <v>171</v>
      </c>
      <c r="E121"/>
      <c r="F121" t="s">
        <v>990</v>
      </c>
      <c r="G121"/>
      <c r="H121"/>
      <c r="I121"/>
      <c r="J121">
        <v>1</v>
      </c>
      <c r="K121" t="s">
        <v>2275</v>
      </c>
      <c r="L121" t="s">
        <v>779</v>
      </c>
    </row>
    <row r="122" spans="1:12">
      <c r="A122">
        <v>1118</v>
      </c>
      <c r="B122" t="s">
        <v>2387</v>
      </c>
      <c r="C122" t="s">
        <v>2396</v>
      </c>
      <c r="D122" t="s">
        <v>172</v>
      </c>
      <c r="E122"/>
      <c r="F122" t="s">
        <v>990</v>
      </c>
      <c r="G122"/>
      <c r="H122"/>
      <c r="I122"/>
      <c r="J122">
        <v>1</v>
      </c>
      <c r="K122" t="s">
        <v>2275</v>
      </c>
      <c r="L122" t="s">
        <v>666</v>
      </c>
    </row>
    <row r="123" spans="1:12">
      <c r="A123">
        <v>1119</v>
      </c>
      <c r="B123" t="s">
        <v>2387</v>
      </c>
      <c r="C123" t="s">
        <v>2396</v>
      </c>
      <c r="D123" t="s">
        <v>94</v>
      </c>
      <c r="E123"/>
      <c r="F123" t="s">
        <v>990</v>
      </c>
      <c r="G123"/>
      <c r="H123"/>
      <c r="I123"/>
      <c r="J123">
        <v>1</v>
      </c>
      <c r="K123" t="s">
        <v>2275</v>
      </c>
      <c r="L123" t="s">
        <v>516</v>
      </c>
    </row>
    <row r="124" spans="1:12">
      <c r="A124">
        <v>1120</v>
      </c>
      <c r="B124" t="s">
        <v>2387</v>
      </c>
      <c r="C124" t="s">
        <v>2396</v>
      </c>
      <c r="D124" t="s">
        <v>93</v>
      </c>
      <c r="E124"/>
      <c r="F124" t="s">
        <v>990</v>
      </c>
      <c r="G124"/>
      <c r="H124"/>
      <c r="I124"/>
      <c r="J124">
        <v>1</v>
      </c>
      <c r="K124" t="s">
        <v>2275</v>
      </c>
      <c r="L124" t="s">
        <v>527</v>
      </c>
    </row>
    <row r="125" spans="1:12">
      <c r="A125">
        <v>1121</v>
      </c>
      <c r="B125" t="s">
        <v>2387</v>
      </c>
      <c r="C125" t="s">
        <v>2396</v>
      </c>
      <c r="D125" t="s">
        <v>159</v>
      </c>
      <c r="E125"/>
      <c r="F125" t="s">
        <v>990</v>
      </c>
      <c r="G125"/>
      <c r="H125"/>
      <c r="I125"/>
      <c r="J125">
        <v>1</v>
      </c>
      <c r="K125" t="s">
        <v>2275</v>
      </c>
      <c r="L125" t="s">
        <v>770</v>
      </c>
    </row>
    <row r="126" spans="1:12">
      <c r="A126">
        <v>1122</v>
      </c>
      <c r="B126" t="s">
        <v>2387</v>
      </c>
      <c r="C126" t="s">
        <v>2397</v>
      </c>
      <c r="D126" t="s">
        <v>154</v>
      </c>
      <c r="E126"/>
      <c r="F126" t="s">
        <v>990</v>
      </c>
      <c r="G126"/>
      <c r="H126"/>
      <c r="I126"/>
      <c r="J126">
        <v>1</v>
      </c>
      <c r="K126" t="s">
        <v>2276</v>
      </c>
      <c r="L126" t="s">
        <v>780</v>
      </c>
    </row>
    <row r="127" spans="1:12">
      <c r="A127">
        <v>1123</v>
      </c>
      <c r="B127" t="s">
        <v>2387</v>
      </c>
      <c r="C127" t="s">
        <v>2397</v>
      </c>
      <c r="D127" t="s">
        <v>2414</v>
      </c>
      <c r="E127"/>
      <c r="F127" t="s">
        <v>990</v>
      </c>
      <c r="G127"/>
      <c r="H127"/>
      <c r="I127"/>
      <c r="J127">
        <v>1</v>
      </c>
      <c r="K127" t="s">
        <v>2276</v>
      </c>
      <c r="L127" t="s">
        <v>2426</v>
      </c>
    </row>
    <row r="128" spans="1:12">
      <c r="A128">
        <v>1124</v>
      </c>
      <c r="B128" t="s">
        <v>2387</v>
      </c>
      <c r="C128" t="s">
        <v>2397</v>
      </c>
      <c r="D128" t="s">
        <v>156</v>
      </c>
      <c r="E128"/>
      <c r="F128" t="s">
        <v>990</v>
      </c>
      <c r="G128"/>
      <c r="H128"/>
      <c r="I128"/>
      <c r="J128">
        <v>1</v>
      </c>
      <c r="K128" t="s">
        <v>2276</v>
      </c>
      <c r="L128" t="s">
        <v>781</v>
      </c>
    </row>
    <row r="129" spans="1:12">
      <c r="A129">
        <v>1125</v>
      </c>
      <c r="B129" t="s">
        <v>2387</v>
      </c>
      <c r="C129" t="s">
        <v>2397</v>
      </c>
      <c r="D129" t="s">
        <v>164</v>
      </c>
      <c r="E129"/>
      <c r="F129" t="s">
        <v>990</v>
      </c>
      <c r="G129"/>
      <c r="H129"/>
      <c r="I129"/>
      <c r="J129">
        <v>1</v>
      </c>
      <c r="K129" t="s">
        <v>2276</v>
      </c>
      <c r="L129" t="s">
        <v>782</v>
      </c>
    </row>
    <row r="130" spans="1:12">
      <c r="A130">
        <v>1126</v>
      </c>
      <c r="B130" t="s">
        <v>2387</v>
      </c>
      <c r="C130" t="s">
        <v>2397</v>
      </c>
      <c r="D130" t="s">
        <v>157</v>
      </c>
      <c r="E130"/>
      <c r="F130" t="s">
        <v>990</v>
      </c>
      <c r="G130"/>
      <c r="H130"/>
      <c r="I130"/>
      <c r="J130">
        <v>1</v>
      </c>
      <c r="K130" t="s">
        <v>2276</v>
      </c>
      <c r="L130" t="s">
        <v>783</v>
      </c>
    </row>
    <row r="131" spans="1:12">
      <c r="A131">
        <v>1127</v>
      </c>
      <c r="B131" t="s">
        <v>2387</v>
      </c>
      <c r="C131" t="s">
        <v>2397</v>
      </c>
      <c r="D131" t="s">
        <v>158</v>
      </c>
      <c r="E131"/>
      <c r="F131" t="s">
        <v>990</v>
      </c>
      <c r="G131"/>
      <c r="H131"/>
      <c r="I131"/>
      <c r="J131">
        <v>1</v>
      </c>
      <c r="K131" t="s">
        <v>2276</v>
      </c>
      <c r="L131" t="s">
        <v>784</v>
      </c>
    </row>
    <row r="132" spans="1:12">
      <c r="A132">
        <v>1128</v>
      </c>
      <c r="B132" t="s">
        <v>2387</v>
      </c>
      <c r="C132" t="s">
        <v>2397</v>
      </c>
      <c r="D132" t="s">
        <v>160</v>
      </c>
      <c r="E132"/>
      <c r="F132" t="s">
        <v>990</v>
      </c>
      <c r="G132"/>
      <c r="H132"/>
      <c r="I132"/>
      <c r="J132">
        <v>1</v>
      </c>
      <c r="K132" t="s">
        <v>2276</v>
      </c>
      <c r="L132" t="s">
        <v>785</v>
      </c>
    </row>
    <row r="133" spans="1:12">
      <c r="A133">
        <v>1129</v>
      </c>
      <c r="B133" t="s">
        <v>2387</v>
      </c>
      <c r="C133" t="s">
        <v>2397</v>
      </c>
      <c r="D133" t="s">
        <v>2246</v>
      </c>
      <c r="E133"/>
      <c r="F133" t="s">
        <v>990</v>
      </c>
      <c r="G133"/>
      <c r="H133"/>
      <c r="I133"/>
      <c r="J133">
        <v>1</v>
      </c>
      <c r="K133" t="s">
        <v>2276</v>
      </c>
      <c r="L133" t="s">
        <v>2286</v>
      </c>
    </row>
    <row r="134" spans="1:12">
      <c r="A134">
        <v>1130</v>
      </c>
      <c r="B134" t="s">
        <v>2387</v>
      </c>
      <c r="C134" t="s">
        <v>2397</v>
      </c>
      <c r="D134" t="s">
        <v>2247</v>
      </c>
      <c r="E134"/>
      <c r="F134" t="s">
        <v>990</v>
      </c>
      <c r="G134"/>
      <c r="H134"/>
      <c r="I134"/>
      <c r="J134">
        <v>1</v>
      </c>
      <c r="K134" t="s">
        <v>2276</v>
      </c>
      <c r="L134" t="s">
        <v>2299</v>
      </c>
    </row>
    <row r="135" spans="1:12">
      <c r="A135">
        <v>1131</v>
      </c>
      <c r="B135" t="s">
        <v>2387</v>
      </c>
      <c r="C135" t="s">
        <v>2397</v>
      </c>
      <c r="D135" t="s">
        <v>2248</v>
      </c>
      <c r="E135"/>
      <c r="F135" t="s">
        <v>990</v>
      </c>
      <c r="G135"/>
      <c r="H135"/>
      <c r="I135"/>
      <c r="J135">
        <v>1</v>
      </c>
      <c r="K135" t="s">
        <v>2276</v>
      </c>
      <c r="L135" t="s">
        <v>2287</v>
      </c>
    </row>
    <row r="136" spans="1:12">
      <c r="A136">
        <v>1132</v>
      </c>
      <c r="B136" t="s">
        <v>2387</v>
      </c>
      <c r="C136" t="s">
        <v>2397</v>
      </c>
      <c r="D136" t="s">
        <v>2249</v>
      </c>
      <c r="E136"/>
      <c r="F136" t="s">
        <v>990</v>
      </c>
      <c r="G136"/>
      <c r="H136"/>
      <c r="I136"/>
      <c r="J136">
        <v>2</v>
      </c>
      <c r="K136" t="s">
        <v>2276</v>
      </c>
      <c r="L136" t="s">
        <v>2288</v>
      </c>
    </row>
    <row r="137" spans="1:12">
      <c r="A137">
        <v>1133</v>
      </c>
      <c r="B137" t="s">
        <v>2387</v>
      </c>
      <c r="C137" t="s">
        <v>2398</v>
      </c>
      <c r="D137" t="s">
        <v>129</v>
      </c>
      <c r="E137"/>
      <c r="F137"/>
      <c r="G137"/>
      <c r="H137" t="s">
        <v>990</v>
      </c>
      <c r="I137" t="s">
        <v>990</v>
      </c>
      <c r="J137">
        <v>1</v>
      </c>
      <c r="K137" t="s">
        <v>2279</v>
      </c>
      <c r="L137" t="s">
        <v>8</v>
      </c>
    </row>
    <row r="138" spans="1:12">
      <c r="A138">
        <v>1134</v>
      </c>
      <c r="B138" t="s">
        <v>2387</v>
      </c>
      <c r="C138" t="s">
        <v>2398</v>
      </c>
      <c r="D138" t="s">
        <v>755</v>
      </c>
      <c r="E138"/>
      <c r="F138"/>
      <c r="G138"/>
      <c r="H138"/>
      <c r="I138" t="s">
        <v>990</v>
      </c>
      <c r="J138">
        <v>1</v>
      </c>
      <c r="K138" t="s">
        <v>2279</v>
      </c>
      <c r="L138" t="s">
        <v>446</v>
      </c>
    </row>
    <row r="139" spans="1:12">
      <c r="A139">
        <v>1135</v>
      </c>
      <c r="B139" t="s">
        <v>2387</v>
      </c>
      <c r="C139" t="s">
        <v>2398</v>
      </c>
      <c r="D139" t="s">
        <v>130</v>
      </c>
      <c r="E139"/>
      <c r="F139"/>
      <c r="G139"/>
      <c r="H139"/>
      <c r="I139" t="s">
        <v>990</v>
      </c>
      <c r="J139">
        <v>1</v>
      </c>
      <c r="K139" t="s">
        <v>2279</v>
      </c>
      <c r="L139" t="s">
        <v>615</v>
      </c>
    </row>
    <row r="140" spans="1:12">
      <c r="A140">
        <v>1136</v>
      </c>
      <c r="B140" t="s">
        <v>2387</v>
      </c>
      <c r="C140" t="s">
        <v>2398</v>
      </c>
      <c r="D140" t="s">
        <v>131</v>
      </c>
      <c r="E140"/>
      <c r="F140"/>
      <c r="G140"/>
      <c r="H140"/>
      <c r="I140" t="s">
        <v>990</v>
      </c>
      <c r="J140">
        <v>1</v>
      </c>
      <c r="K140" t="s">
        <v>2279</v>
      </c>
      <c r="L140" t="s">
        <v>612</v>
      </c>
    </row>
    <row r="141" spans="1:12">
      <c r="A141">
        <v>1137</v>
      </c>
      <c r="B141" t="s">
        <v>2387</v>
      </c>
      <c r="C141" t="s">
        <v>2398</v>
      </c>
      <c r="D141" t="s">
        <v>119</v>
      </c>
      <c r="E141"/>
      <c r="F141"/>
      <c r="G141"/>
      <c r="H141" t="s">
        <v>990</v>
      </c>
      <c r="I141" t="s">
        <v>990</v>
      </c>
      <c r="J141">
        <v>1</v>
      </c>
      <c r="K141" t="s">
        <v>2279</v>
      </c>
      <c r="L141" t="s">
        <v>365</v>
      </c>
    </row>
    <row r="142" spans="1:12">
      <c r="A142">
        <v>1138</v>
      </c>
      <c r="B142" t="s">
        <v>2387</v>
      </c>
      <c r="C142" t="s">
        <v>2399</v>
      </c>
      <c r="D142" t="s">
        <v>1456</v>
      </c>
      <c r="E142"/>
      <c r="F142"/>
      <c r="G142"/>
      <c r="H142"/>
      <c r="I142"/>
      <c r="J142">
        <v>1</v>
      </c>
      <c r="K142" t="s">
        <v>2283</v>
      </c>
      <c r="L142" t="s">
        <v>1454</v>
      </c>
    </row>
    <row r="143" spans="1:12">
      <c r="A143">
        <v>1139</v>
      </c>
      <c r="B143" t="s">
        <v>2387</v>
      </c>
      <c r="C143" t="s">
        <v>2399</v>
      </c>
      <c r="D143" t="s">
        <v>1448</v>
      </c>
      <c r="E143"/>
      <c r="F143"/>
      <c r="G143"/>
      <c r="H143"/>
      <c r="I143"/>
      <c r="J143">
        <v>1</v>
      </c>
      <c r="K143" t="s">
        <v>2283</v>
      </c>
      <c r="L143" t="s">
        <v>1446</v>
      </c>
    </row>
    <row r="144" spans="1:12">
      <c r="A144">
        <v>1140</v>
      </c>
      <c r="B144" t="s">
        <v>2387</v>
      </c>
      <c r="C144" t="s">
        <v>2399</v>
      </c>
      <c r="D144" t="s">
        <v>1469</v>
      </c>
      <c r="E144"/>
      <c r="F144"/>
      <c r="G144"/>
      <c r="H144"/>
      <c r="I144"/>
      <c r="J144">
        <v>1</v>
      </c>
      <c r="K144" t="s">
        <v>2283</v>
      </c>
      <c r="L144" t="s">
        <v>1467</v>
      </c>
    </row>
    <row r="145" spans="1:12">
      <c r="A145">
        <v>1141</v>
      </c>
      <c r="B145" t="s">
        <v>2387</v>
      </c>
      <c r="C145" t="s">
        <v>2399</v>
      </c>
      <c r="D145" t="s">
        <v>1463</v>
      </c>
      <c r="E145"/>
      <c r="F145"/>
      <c r="G145"/>
      <c r="H145"/>
      <c r="I145"/>
      <c r="J145">
        <v>1</v>
      </c>
      <c r="K145" t="s">
        <v>2283</v>
      </c>
      <c r="L145" t="s">
        <v>1461</v>
      </c>
    </row>
    <row r="146" spans="1:12">
      <c r="A146">
        <v>1142</v>
      </c>
      <c r="B146" t="s">
        <v>2387</v>
      </c>
      <c r="C146" t="s">
        <v>2399</v>
      </c>
      <c r="D146" t="s">
        <v>1401</v>
      </c>
      <c r="E146"/>
      <c r="F146"/>
      <c r="G146"/>
      <c r="H146"/>
      <c r="I146"/>
      <c r="J146">
        <v>1</v>
      </c>
      <c r="K146" t="s">
        <v>2283</v>
      </c>
      <c r="L146" t="s">
        <v>1399</v>
      </c>
    </row>
    <row r="147" spans="1:12">
      <c r="A147">
        <v>1143</v>
      </c>
      <c r="B147" t="s">
        <v>2387</v>
      </c>
      <c r="C147" t="s">
        <v>2399</v>
      </c>
      <c r="D147" t="s">
        <v>1338</v>
      </c>
      <c r="E147"/>
      <c r="F147"/>
      <c r="G147"/>
      <c r="H147"/>
      <c r="I147"/>
      <c r="J147">
        <v>1</v>
      </c>
      <c r="K147" t="s">
        <v>2283</v>
      </c>
      <c r="L147" t="s">
        <v>1336</v>
      </c>
    </row>
    <row r="148" spans="1:12">
      <c r="A148">
        <v>1144</v>
      </c>
      <c r="B148" t="s">
        <v>2387</v>
      </c>
      <c r="C148" t="s">
        <v>2399</v>
      </c>
      <c r="D148" t="s">
        <v>1353</v>
      </c>
      <c r="E148"/>
      <c r="F148"/>
      <c r="G148"/>
      <c r="H148"/>
      <c r="I148"/>
      <c r="J148">
        <v>1</v>
      </c>
      <c r="K148" t="s">
        <v>2283</v>
      </c>
      <c r="L148" t="s">
        <v>1351</v>
      </c>
    </row>
    <row r="149" spans="1:12">
      <c r="A149">
        <v>1145</v>
      </c>
      <c r="B149" t="s">
        <v>2387</v>
      </c>
      <c r="C149" t="s">
        <v>2399</v>
      </c>
      <c r="D149" t="s">
        <v>1485</v>
      </c>
      <c r="E149"/>
      <c r="F149"/>
      <c r="G149"/>
      <c r="H149"/>
      <c r="I149"/>
      <c r="J149">
        <v>1</v>
      </c>
      <c r="K149" t="s">
        <v>2283</v>
      </c>
      <c r="L149" t="s">
        <v>1483</v>
      </c>
    </row>
    <row r="150" spans="1:12">
      <c r="A150">
        <v>1146</v>
      </c>
      <c r="B150" t="s">
        <v>2387</v>
      </c>
      <c r="C150" t="s">
        <v>2399</v>
      </c>
      <c r="D150" t="s">
        <v>1329</v>
      </c>
      <c r="E150"/>
      <c r="F150"/>
      <c r="G150"/>
      <c r="H150"/>
      <c r="I150"/>
      <c r="J150">
        <v>1</v>
      </c>
      <c r="K150" t="s">
        <v>2283</v>
      </c>
      <c r="L150" t="s">
        <v>1327</v>
      </c>
    </row>
    <row r="151" spans="1:12">
      <c r="A151">
        <v>1147</v>
      </c>
      <c r="B151" t="s">
        <v>2387</v>
      </c>
      <c r="C151" t="s">
        <v>2399</v>
      </c>
      <c r="D151" t="s">
        <v>1412</v>
      </c>
      <c r="E151"/>
      <c r="F151"/>
      <c r="G151"/>
      <c r="H151"/>
      <c r="I151"/>
      <c r="J151">
        <v>1</v>
      </c>
      <c r="K151" t="s">
        <v>2283</v>
      </c>
      <c r="L151" t="s">
        <v>1410</v>
      </c>
    </row>
    <row r="152" spans="1:12">
      <c r="A152">
        <v>1148</v>
      </c>
      <c r="B152" t="s">
        <v>2387</v>
      </c>
      <c r="C152" t="s">
        <v>2399</v>
      </c>
      <c r="D152" t="s">
        <v>1372</v>
      </c>
      <c r="E152"/>
      <c r="F152"/>
      <c r="G152"/>
      <c r="H152"/>
      <c r="I152"/>
      <c r="J152">
        <v>1</v>
      </c>
      <c r="K152" t="s">
        <v>2283</v>
      </c>
      <c r="L152" t="s">
        <v>1370</v>
      </c>
    </row>
    <row r="153" spans="1:12">
      <c r="A153">
        <v>1149</v>
      </c>
      <c r="B153" t="s">
        <v>2387</v>
      </c>
      <c r="C153" t="s">
        <v>2399</v>
      </c>
      <c r="D153" t="s">
        <v>1394</v>
      </c>
      <c r="E153"/>
      <c r="F153"/>
      <c r="G153"/>
      <c r="H153"/>
      <c r="I153"/>
      <c r="J153">
        <v>1</v>
      </c>
      <c r="K153" t="s">
        <v>2283</v>
      </c>
      <c r="L153" t="s">
        <v>1924</v>
      </c>
    </row>
    <row r="154" spans="1:12">
      <c r="A154">
        <v>1150</v>
      </c>
      <c r="B154" t="s">
        <v>2387</v>
      </c>
      <c r="C154" t="s">
        <v>2399</v>
      </c>
      <c r="D154" t="s">
        <v>1502</v>
      </c>
      <c r="E154"/>
      <c r="F154"/>
      <c r="G154"/>
      <c r="H154"/>
      <c r="I154"/>
      <c r="J154">
        <v>1</v>
      </c>
      <c r="K154" t="s">
        <v>2283</v>
      </c>
      <c r="L154" t="s">
        <v>1925</v>
      </c>
    </row>
    <row r="155" spans="1:12">
      <c r="A155">
        <v>1151</v>
      </c>
      <c r="B155" t="s">
        <v>2387</v>
      </c>
      <c r="C155" t="s">
        <v>2399</v>
      </c>
      <c r="D155" t="s">
        <v>1503</v>
      </c>
      <c r="E155"/>
      <c r="F155"/>
      <c r="G155"/>
      <c r="H155"/>
      <c r="I155"/>
      <c r="J155">
        <v>1</v>
      </c>
      <c r="K155" t="s">
        <v>2283</v>
      </c>
      <c r="L155" t="s">
        <v>1927</v>
      </c>
    </row>
    <row r="156" spans="1:12">
      <c r="A156">
        <v>1152</v>
      </c>
      <c r="B156" t="s">
        <v>2387</v>
      </c>
      <c r="C156" t="s">
        <v>2399</v>
      </c>
      <c r="D156" t="s">
        <v>1504</v>
      </c>
      <c r="E156"/>
      <c r="F156"/>
      <c r="G156"/>
      <c r="H156"/>
      <c r="I156"/>
      <c r="J156">
        <v>1</v>
      </c>
      <c r="K156" t="s">
        <v>2283</v>
      </c>
      <c r="L156" t="s">
        <v>1929</v>
      </c>
    </row>
    <row r="157" spans="1:12">
      <c r="A157">
        <v>1153</v>
      </c>
      <c r="B157" t="s">
        <v>2387</v>
      </c>
      <c r="C157" t="s">
        <v>2399</v>
      </c>
      <c r="D157" t="s">
        <v>1505</v>
      </c>
      <c r="E157"/>
      <c r="F157"/>
      <c r="G157"/>
      <c r="H157"/>
      <c r="I157"/>
      <c r="J157">
        <v>1</v>
      </c>
      <c r="K157" t="s">
        <v>2283</v>
      </c>
      <c r="L157" t="s">
        <v>1531</v>
      </c>
    </row>
    <row r="158" spans="1:12">
      <c r="A158">
        <v>1154</v>
      </c>
      <c r="B158" t="s">
        <v>2387</v>
      </c>
      <c r="C158" t="s">
        <v>2399</v>
      </c>
      <c r="D158" t="s">
        <v>1506</v>
      </c>
      <c r="E158"/>
      <c r="F158"/>
      <c r="G158"/>
      <c r="H158"/>
      <c r="I158"/>
      <c r="J158">
        <v>1</v>
      </c>
      <c r="K158" t="s">
        <v>2283</v>
      </c>
      <c r="L158" t="s">
        <v>1932</v>
      </c>
    </row>
    <row r="159" spans="1:12">
      <c r="A159">
        <v>1155</v>
      </c>
      <c r="B159" t="s">
        <v>2387</v>
      </c>
      <c r="C159" t="s">
        <v>2399</v>
      </c>
      <c r="D159" t="s">
        <v>1507</v>
      </c>
      <c r="E159"/>
      <c r="F159"/>
      <c r="G159"/>
      <c r="H159"/>
      <c r="I159"/>
      <c r="J159">
        <v>1</v>
      </c>
      <c r="K159" t="s">
        <v>2283</v>
      </c>
      <c r="L159" t="s">
        <v>1934</v>
      </c>
    </row>
    <row r="160" spans="1:12">
      <c r="A160">
        <v>1156</v>
      </c>
      <c r="B160" t="s">
        <v>2387</v>
      </c>
      <c r="C160" t="s">
        <v>2399</v>
      </c>
      <c r="D160" t="s">
        <v>1508</v>
      </c>
      <c r="E160"/>
      <c r="F160"/>
      <c r="G160"/>
      <c r="H160"/>
      <c r="I160"/>
      <c r="J160">
        <v>1</v>
      </c>
      <c r="K160" t="s">
        <v>2283</v>
      </c>
      <c r="L160" t="s">
        <v>1936</v>
      </c>
    </row>
    <row r="161" spans="1:12">
      <c r="A161">
        <v>1157</v>
      </c>
      <c r="B161" t="s">
        <v>2387</v>
      </c>
      <c r="C161" t="s">
        <v>2399</v>
      </c>
      <c r="D161" t="s">
        <v>1509</v>
      </c>
      <c r="E161"/>
      <c r="F161"/>
      <c r="G161"/>
      <c r="H161"/>
      <c r="I161"/>
      <c r="J161">
        <v>1</v>
      </c>
      <c r="K161" t="s">
        <v>2283</v>
      </c>
      <c r="L161" t="s">
        <v>1938</v>
      </c>
    </row>
    <row r="162" spans="1:12">
      <c r="A162">
        <v>1158</v>
      </c>
      <c r="B162" t="s">
        <v>2387</v>
      </c>
      <c r="C162" t="s">
        <v>2399</v>
      </c>
      <c r="D162" t="s">
        <v>1510</v>
      </c>
      <c r="E162"/>
      <c r="F162"/>
      <c r="G162"/>
      <c r="H162"/>
      <c r="I162"/>
      <c r="J162">
        <v>1</v>
      </c>
      <c r="K162" t="s">
        <v>2283</v>
      </c>
      <c r="L162" t="s">
        <v>1940</v>
      </c>
    </row>
    <row r="163" spans="1:12">
      <c r="A163">
        <v>1159</v>
      </c>
      <c r="B163" t="s">
        <v>2387</v>
      </c>
      <c r="C163" t="s">
        <v>2399</v>
      </c>
      <c r="D163" t="s">
        <v>1511</v>
      </c>
      <c r="E163"/>
      <c r="F163"/>
      <c r="G163"/>
      <c r="H163"/>
      <c r="I163"/>
      <c r="J163">
        <v>1</v>
      </c>
      <c r="K163" t="s">
        <v>2283</v>
      </c>
      <c r="L163" t="s">
        <v>1942</v>
      </c>
    </row>
    <row r="164" spans="1:12">
      <c r="A164">
        <v>1160</v>
      </c>
      <c r="B164" t="s">
        <v>2387</v>
      </c>
      <c r="C164" t="s">
        <v>2399</v>
      </c>
      <c r="D164" t="s">
        <v>1512</v>
      </c>
      <c r="E164"/>
      <c r="F164"/>
      <c r="G164"/>
      <c r="H164"/>
      <c r="I164"/>
      <c r="J164">
        <v>1</v>
      </c>
      <c r="K164" t="s">
        <v>2283</v>
      </c>
      <c r="L164" t="s">
        <v>1944</v>
      </c>
    </row>
    <row r="165" spans="1:12">
      <c r="A165">
        <v>1161</v>
      </c>
      <c r="B165" t="s">
        <v>2387</v>
      </c>
      <c r="C165" t="s">
        <v>2399</v>
      </c>
      <c r="D165" t="s">
        <v>1391</v>
      </c>
      <c r="E165"/>
      <c r="F165"/>
      <c r="G165"/>
      <c r="H165"/>
      <c r="I165"/>
      <c r="J165">
        <v>1</v>
      </c>
      <c r="K165" t="s">
        <v>2283</v>
      </c>
      <c r="L165" t="s">
        <v>1946</v>
      </c>
    </row>
    <row r="166" spans="1:12">
      <c r="A166">
        <v>1162</v>
      </c>
      <c r="B166" t="s">
        <v>2387</v>
      </c>
      <c r="C166" t="s">
        <v>2399</v>
      </c>
      <c r="D166" t="s">
        <v>1513</v>
      </c>
      <c r="E166"/>
      <c r="F166"/>
      <c r="G166"/>
      <c r="H166"/>
      <c r="I166"/>
      <c r="J166">
        <v>1</v>
      </c>
      <c r="K166" t="s">
        <v>2283</v>
      </c>
      <c r="L166" t="s">
        <v>1947</v>
      </c>
    </row>
    <row r="167" spans="1:12">
      <c r="A167">
        <v>1163</v>
      </c>
      <c r="B167" t="s">
        <v>2387</v>
      </c>
      <c r="C167" t="s">
        <v>2399</v>
      </c>
      <c r="D167" t="s">
        <v>1514</v>
      </c>
      <c r="E167"/>
      <c r="F167"/>
      <c r="G167"/>
      <c r="H167"/>
      <c r="I167"/>
      <c r="J167">
        <v>1</v>
      </c>
      <c r="K167" t="s">
        <v>2283</v>
      </c>
      <c r="L167" t="s">
        <v>1949</v>
      </c>
    </row>
    <row r="168" spans="1:12">
      <c r="A168">
        <v>1164</v>
      </c>
      <c r="B168" t="s">
        <v>2387</v>
      </c>
      <c r="C168" t="s">
        <v>2399</v>
      </c>
      <c r="D168" t="s">
        <v>1515</v>
      </c>
      <c r="E168"/>
      <c r="F168"/>
      <c r="G168"/>
      <c r="H168"/>
      <c r="I168"/>
      <c r="J168">
        <v>1</v>
      </c>
      <c r="K168" t="s">
        <v>2283</v>
      </c>
      <c r="L168" t="s">
        <v>1951</v>
      </c>
    </row>
    <row r="169" spans="1:12">
      <c r="A169">
        <v>1165</v>
      </c>
      <c r="B169" t="s">
        <v>2387</v>
      </c>
      <c r="C169" t="s">
        <v>2394</v>
      </c>
      <c r="D169" t="s">
        <v>2269</v>
      </c>
      <c r="E169"/>
      <c r="F169"/>
      <c r="G169"/>
      <c r="H169"/>
      <c r="I169"/>
      <c r="J169">
        <v>2</v>
      </c>
      <c r="K169" t="s">
        <v>2278</v>
      </c>
      <c r="L169" t="s">
        <v>2317</v>
      </c>
    </row>
    <row r="170" spans="1:12">
      <c r="A170">
        <v>1166</v>
      </c>
      <c r="B170" t="s">
        <v>2387</v>
      </c>
      <c r="C170" t="s">
        <v>2400</v>
      </c>
      <c r="D170" t="s">
        <v>145</v>
      </c>
      <c r="E170"/>
      <c r="F170" t="s">
        <v>990</v>
      </c>
      <c r="G170"/>
      <c r="H170"/>
      <c r="I170"/>
      <c r="J170">
        <v>1</v>
      </c>
      <c r="K170" t="s">
        <v>2280</v>
      </c>
      <c r="L170" t="s">
        <v>798</v>
      </c>
    </row>
    <row r="171" spans="1:12">
      <c r="A171">
        <v>1167</v>
      </c>
      <c r="B171" t="s">
        <v>2387</v>
      </c>
      <c r="C171" t="s">
        <v>2400</v>
      </c>
      <c r="D171" t="s">
        <v>2262</v>
      </c>
      <c r="E171"/>
      <c r="F171" t="s">
        <v>990</v>
      </c>
      <c r="G171"/>
      <c r="H171"/>
      <c r="I171"/>
      <c r="J171">
        <v>1</v>
      </c>
      <c r="K171" t="s">
        <v>2280</v>
      </c>
      <c r="L171" t="s">
        <v>2311</v>
      </c>
    </row>
    <row r="172" spans="1:12">
      <c r="A172">
        <v>1168</v>
      </c>
      <c r="B172" t="s">
        <v>2387</v>
      </c>
      <c r="C172" t="s">
        <v>2400</v>
      </c>
      <c r="D172" t="s">
        <v>2263</v>
      </c>
      <c r="E172"/>
      <c r="F172" t="s">
        <v>990</v>
      </c>
      <c r="G172"/>
      <c r="H172"/>
      <c r="I172"/>
      <c r="J172">
        <v>1</v>
      </c>
      <c r="K172" t="s">
        <v>2280</v>
      </c>
      <c r="L172" t="s">
        <v>2312</v>
      </c>
    </row>
    <row r="173" spans="1:12">
      <c r="A173">
        <v>1169</v>
      </c>
      <c r="B173" t="s">
        <v>2387</v>
      </c>
      <c r="C173" t="s">
        <v>2400</v>
      </c>
      <c r="D173" t="s">
        <v>2264</v>
      </c>
      <c r="E173"/>
      <c r="F173" t="s">
        <v>990</v>
      </c>
      <c r="G173"/>
      <c r="H173"/>
      <c r="I173"/>
      <c r="J173">
        <v>1</v>
      </c>
      <c r="K173" t="s">
        <v>2280</v>
      </c>
      <c r="L173" t="s">
        <v>2313</v>
      </c>
    </row>
    <row r="174" spans="1:12">
      <c r="A174">
        <v>1170</v>
      </c>
      <c r="B174" t="s">
        <v>2387</v>
      </c>
      <c r="C174" t="s">
        <v>2400</v>
      </c>
      <c r="D174" t="s">
        <v>2265</v>
      </c>
      <c r="E174"/>
      <c r="F174" t="s">
        <v>990</v>
      </c>
      <c r="G174" t="s">
        <v>990</v>
      </c>
      <c r="H174" t="s">
        <v>990</v>
      </c>
      <c r="I174"/>
      <c r="J174">
        <v>2</v>
      </c>
      <c r="K174" t="s">
        <v>2280</v>
      </c>
      <c r="L174" t="s">
        <v>2314</v>
      </c>
    </row>
    <row r="175" spans="1:12">
      <c r="A175">
        <v>1171</v>
      </c>
      <c r="B175" t="s">
        <v>2387</v>
      </c>
      <c r="C175" t="s">
        <v>2400</v>
      </c>
      <c r="D175" t="s">
        <v>2266</v>
      </c>
      <c r="E175"/>
      <c r="F175" t="s">
        <v>990</v>
      </c>
      <c r="G175" t="s">
        <v>990</v>
      </c>
      <c r="H175" t="s">
        <v>990</v>
      </c>
      <c r="I175"/>
      <c r="J175">
        <v>2</v>
      </c>
      <c r="K175" t="s">
        <v>2280</v>
      </c>
      <c r="L175" t="s">
        <v>2315</v>
      </c>
    </row>
    <row r="176" spans="1:12">
      <c r="A176">
        <v>1172</v>
      </c>
      <c r="B176" t="s">
        <v>2387</v>
      </c>
      <c r="C176" t="s">
        <v>2401</v>
      </c>
      <c r="D176" t="s">
        <v>1249</v>
      </c>
      <c r="E176"/>
      <c r="F176"/>
      <c r="G176"/>
      <c r="H176"/>
      <c r="I176"/>
      <c r="J176">
        <v>1</v>
      </c>
      <c r="K176" t="s">
        <v>2282</v>
      </c>
      <c r="L176" t="s">
        <v>1250</v>
      </c>
    </row>
    <row r="177" spans="1:12">
      <c r="A177">
        <v>1172.0999999999999</v>
      </c>
      <c r="B177" t="s">
        <v>2387</v>
      </c>
      <c r="C177" t="s">
        <v>2401</v>
      </c>
      <c r="D177" t="s">
        <v>1207</v>
      </c>
      <c r="E177"/>
      <c r="F177"/>
      <c r="G177"/>
      <c r="H177"/>
      <c r="I177"/>
      <c r="J177">
        <v>1</v>
      </c>
      <c r="K177" t="s">
        <v>2282</v>
      </c>
      <c r="L177" t="s">
        <v>1222</v>
      </c>
    </row>
    <row r="178" spans="1:12">
      <c r="A178">
        <v>1173</v>
      </c>
      <c r="B178" t="s">
        <v>2387</v>
      </c>
      <c r="C178" t="s">
        <v>2401</v>
      </c>
      <c r="D178" t="s">
        <v>2081</v>
      </c>
      <c r="E178"/>
      <c r="F178"/>
      <c r="G178"/>
      <c r="H178"/>
      <c r="I178"/>
      <c r="J178">
        <v>1</v>
      </c>
      <c r="K178" t="s">
        <v>2282</v>
      </c>
      <c r="L178" t="s">
        <v>1320</v>
      </c>
    </row>
    <row r="179" spans="1:12">
      <c r="A179">
        <v>1174</v>
      </c>
      <c r="B179" t="s">
        <v>2387</v>
      </c>
      <c r="C179" t="s">
        <v>2401</v>
      </c>
      <c r="D179" t="s">
        <v>2082</v>
      </c>
      <c r="E179"/>
      <c r="F179"/>
      <c r="G179"/>
      <c r="H179"/>
      <c r="I179"/>
      <c r="J179">
        <v>1</v>
      </c>
      <c r="K179" t="s">
        <v>2282</v>
      </c>
      <c r="L179" t="s">
        <v>2291</v>
      </c>
    </row>
    <row r="180" spans="1:12">
      <c r="A180">
        <v>1175</v>
      </c>
      <c r="B180" t="s">
        <v>2387</v>
      </c>
      <c r="C180" t="s">
        <v>2401</v>
      </c>
      <c r="D180" t="s">
        <v>2083</v>
      </c>
      <c r="E180"/>
      <c r="F180"/>
      <c r="G180"/>
      <c r="H180"/>
      <c r="I180"/>
      <c r="J180">
        <v>1</v>
      </c>
      <c r="K180" t="s">
        <v>2282</v>
      </c>
      <c r="L180" t="s">
        <v>2292</v>
      </c>
    </row>
    <row r="181" spans="1:12">
      <c r="A181">
        <v>1176</v>
      </c>
      <c r="B181" t="s">
        <v>2387</v>
      </c>
      <c r="C181" t="s">
        <v>2401</v>
      </c>
      <c r="D181" t="s">
        <v>2084</v>
      </c>
      <c r="E181"/>
      <c r="F181"/>
      <c r="G181"/>
      <c r="H181"/>
      <c r="I181"/>
      <c r="J181">
        <v>1</v>
      </c>
      <c r="K181" t="s">
        <v>2282</v>
      </c>
      <c r="L181" t="s">
        <v>2293</v>
      </c>
    </row>
    <row r="182" spans="1:12">
      <c r="A182">
        <v>1177</v>
      </c>
      <c r="B182" t="s">
        <v>2387</v>
      </c>
      <c r="C182" t="s">
        <v>2401</v>
      </c>
      <c r="D182" t="s">
        <v>2252</v>
      </c>
      <c r="E182"/>
      <c r="F182"/>
      <c r="G182"/>
      <c r="H182"/>
      <c r="I182"/>
      <c r="J182">
        <v>1</v>
      </c>
      <c r="K182" t="s">
        <v>2282</v>
      </c>
      <c r="L182" t="s">
        <v>2302</v>
      </c>
    </row>
    <row r="183" spans="1:12">
      <c r="A183">
        <v>1178</v>
      </c>
      <c r="B183" t="s">
        <v>2387</v>
      </c>
      <c r="C183" t="s">
        <v>2401</v>
      </c>
      <c r="D183" t="s">
        <v>114</v>
      </c>
      <c r="E183"/>
      <c r="F183"/>
      <c r="G183"/>
      <c r="H183"/>
      <c r="I183"/>
      <c r="J183">
        <v>1</v>
      </c>
      <c r="K183" t="s">
        <v>2282</v>
      </c>
      <c r="L183" t="s">
        <v>190</v>
      </c>
    </row>
    <row r="184" spans="1:12">
      <c r="A184">
        <v>1179</v>
      </c>
      <c r="B184" t="s">
        <v>2387</v>
      </c>
      <c r="C184" t="s">
        <v>2401</v>
      </c>
      <c r="D184" t="s">
        <v>758</v>
      </c>
      <c r="E184"/>
      <c r="F184"/>
      <c r="G184"/>
      <c r="H184"/>
      <c r="I184"/>
      <c r="J184">
        <v>1</v>
      </c>
      <c r="K184" t="s">
        <v>2282</v>
      </c>
      <c r="L184" t="s">
        <v>808</v>
      </c>
    </row>
    <row r="185" spans="1:12">
      <c r="A185">
        <v>1180</v>
      </c>
      <c r="B185" t="s">
        <v>2387</v>
      </c>
      <c r="C185" t="s">
        <v>2401</v>
      </c>
      <c r="D185" t="s">
        <v>759</v>
      </c>
      <c r="E185"/>
      <c r="F185"/>
      <c r="G185"/>
      <c r="H185"/>
      <c r="I185"/>
      <c r="J185">
        <v>1</v>
      </c>
      <c r="K185" t="s">
        <v>2282</v>
      </c>
      <c r="L185" t="s">
        <v>809</v>
      </c>
    </row>
    <row r="186" spans="1:12">
      <c r="A186">
        <v>1181</v>
      </c>
      <c r="B186" t="s">
        <v>2387</v>
      </c>
      <c r="C186" t="s">
        <v>2401</v>
      </c>
      <c r="D186" t="s">
        <v>760</v>
      </c>
      <c r="E186"/>
      <c r="F186"/>
      <c r="G186"/>
      <c r="H186"/>
      <c r="I186"/>
      <c r="J186">
        <v>1</v>
      </c>
      <c r="K186" t="s">
        <v>2282</v>
      </c>
      <c r="L186" t="s">
        <v>810</v>
      </c>
    </row>
    <row r="187" spans="1:12">
      <c r="A187">
        <v>1182</v>
      </c>
      <c r="B187" t="s">
        <v>2387</v>
      </c>
      <c r="C187" t="s">
        <v>2401</v>
      </c>
      <c r="D187" t="s">
        <v>765</v>
      </c>
      <c r="E187"/>
      <c r="F187"/>
      <c r="G187"/>
      <c r="H187"/>
      <c r="I187"/>
      <c r="J187">
        <v>1</v>
      </c>
      <c r="K187" t="s">
        <v>2282</v>
      </c>
      <c r="L187" t="s">
        <v>815</v>
      </c>
    </row>
    <row r="188" spans="1:12">
      <c r="A188">
        <v>1183</v>
      </c>
      <c r="B188" t="s">
        <v>2387</v>
      </c>
      <c r="C188" t="s">
        <v>2401</v>
      </c>
      <c r="D188" t="s">
        <v>761</v>
      </c>
      <c r="E188"/>
      <c r="F188"/>
      <c r="G188"/>
      <c r="H188"/>
      <c r="I188"/>
      <c r="J188">
        <v>1</v>
      </c>
      <c r="K188" t="s">
        <v>2282</v>
      </c>
      <c r="L188" t="s">
        <v>811</v>
      </c>
    </row>
    <row r="189" spans="1:12">
      <c r="A189">
        <v>1184</v>
      </c>
      <c r="B189" t="s">
        <v>2387</v>
      </c>
      <c r="C189" t="s">
        <v>2401</v>
      </c>
      <c r="D189" t="s">
        <v>905</v>
      </c>
      <c r="E189"/>
      <c r="F189"/>
      <c r="G189"/>
      <c r="H189"/>
      <c r="I189"/>
      <c r="J189">
        <v>1</v>
      </c>
      <c r="K189" t="s">
        <v>2282</v>
      </c>
      <c r="L189" t="s">
        <v>812</v>
      </c>
    </row>
    <row r="190" spans="1:12">
      <c r="A190">
        <v>1185</v>
      </c>
      <c r="B190" t="s">
        <v>2387</v>
      </c>
      <c r="C190" t="s">
        <v>2401</v>
      </c>
      <c r="D190" t="s">
        <v>756</v>
      </c>
      <c r="E190"/>
      <c r="F190"/>
      <c r="G190"/>
      <c r="H190"/>
      <c r="I190"/>
      <c r="J190">
        <v>1</v>
      </c>
      <c r="K190" t="s">
        <v>2282</v>
      </c>
      <c r="L190" t="s">
        <v>806</v>
      </c>
    </row>
    <row r="191" spans="1:12">
      <c r="A191">
        <v>1186</v>
      </c>
      <c r="B191" t="s">
        <v>2387</v>
      </c>
      <c r="C191" t="s">
        <v>2401</v>
      </c>
      <c r="D191" t="s">
        <v>757</v>
      </c>
      <c r="E191"/>
      <c r="F191"/>
      <c r="G191"/>
      <c r="H191"/>
      <c r="I191"/>
      <c r="J191">
        <v>1</v>
      </c>
      <c r="K191" t="s">
        <v>2282</v>
      </c>
      <c r="L191" t="s">
        <v>807</v>
      </c>
    </row>
    <row r="192" spans="1:12">
      <c r="A192">
        <v>1187</v>
      </c>
      <c r="B192" t="s">
        <v>2387</v>
      </c>
      <c r="C192" t="s">
        <v>2401</v>
      </c>
      <c r="D192" t="s">
        <v>763</v>
      </c>
      <c r="E192"/>
      <c r="F192"/>
      <c r="G192"/>
      <c r="H192"/>
      <c r="I192"/>
      <c r="J192">
        <v>1</v>
      </c>
      <c r="K192" t="s">
        <v>2282</v>
      </c>
      <c r="L192" t="s">
        <v>813</v>
      </c>
    </row>
    <row r="193" spans="1:12">
      <c r="A193">
        <v>1188</v>
      </c>
      <c r="B193" t="s">
        <v>2387</v>
      </c>
      <c r="C193" t="s">
        <v>2401</v>
      </c>
      <c r="D193" t="s">
        <v>764</v>
      </c>
      <c r="E193"/>
      <c r="F193"/>
      <c r="G193"/>
      <c r="H193"/>
      <c r="I193"/>
      <c r="J193">
        <v>1</v>
      </c>
      <c r="K193" t="s">
        <v>2282</v>
      </c>
      <c r="L193" t="s">
        <v>814</v>
      </c>
    </row>
    <row r="194" spans="1:12">
      <c r="A194">
        <v>1189</v>
      </c>
      <c r="B194" t="s">
        <v>2387</v>
      </c>
      <c r="C194" t="s">
        <v>2401</v>
      </c>
      <c r="D194" t="s">
        <v>2253</v>
      </c>
      <c r="E194"/>
      <c r="F194"/>
      <c r="G194"/>
      <c r="H194"/>
      <c r="I194"/>
      <c r="J194">
        <v>1</v>
      </c>
      <c r="K194" t="s">
        <v>2282</v>
      </c>
      <c r="L194" t="s">
        <v>2303</v>
      </c>
    </row>
    <row r="195" spans="1:12">
      <c r="A195">
        <v>1191</v>
      </c>
      <c r="B195" t="s">
        <v>2387</v>
      </c>
      <c r="C195" t="s">
        <v>2402</v>
      </c>
      <c r="D195" t="s">
        <v>132</v>
      </c>
      <c r="E195"/>
      <c r="F195"/>
      <c r="G195"/>
      <c r="H195"/>
      <c r="I195"/>
      <c r="J195">
        <v>1</v>
      </c>
      <c r="K195" t="s">
        <v>2277</v>
      </c>
      <c r="L195" t="s">
        <v>2575</v>
      </c>
    </row>
    <row r="196" spans="1:12">
      <c r="A196">
        <v>1192</v>
      </c>
      <c r="B196" t="s">
        <v>2387</v>
      </c>
      <c r="C196" t="s">
        <v>2389</v>
      </c>
      <c r="D196" t="s">
        <v>108</v>
      </c>
      <c r="E196"/>
      <c r="F196" t="s">
        <v>990</v>
      </c>
      <c r="G196" t="s">
        <v>990</v>
      </c>
      <c r="H196" t="s">
        <v>990</v>
      </c>
      <c r="I196" t="s">
        <v>990</v>
      </c>
      <c r="J196">
        <v>1</v>
      </c>
      <c r="K196" t="s">
        <v>2270</v>
      </c>
      <c r="L196" t="s">
        <v>3017</v>
      </c>
    </row>
    <row r="197" spans="1:12">
      <c r="A197">
        <v>1193</v>
      </c>
      <c r="B197" t="s">
        <v>2387</v>
      </c>
      <c r="C197" t="s">
        <v>2402</v>
      </c>
      <c r="D197" t="s">
        <v>168</v>
      </c>
      <c r="E197"/>
      <c r="F197"/>
      <c r="G197"/>
      <c r="H197"/>
      <c r="I197"/>
      <c r="J197">
        <v>1</v>
      </c>
      <c r="K197" t="s">
        <v>2277</v>
      </c>
      <c r="L197" t="s">
        <v>796</v>
      </c>
    </row>
    <row r="198" spans="1:12">
      <c r="A198">
        <v>1194</v>
      </c>
      <c r="B198" t="s">
        <v>2387</v>
      </c>
      <c r="C198" t="s">
        <v>2389</v>
      </c>
      <c r="D198" t="s">
        <v>107</v>
      </c>
      <c r="E198"/>
      <c r="F198" t="s">
        <v>990</v>
      </c>
      <c r="G198" t="s">
        <v>990</v>
      </c>
      <c r="H198" t="s">
        <v>990</v>
      </c>
      <c r="I198" t="s">
        <v>990</v>
      </c>
      <c r="J198">
        <v>1</v>
      </c>
      <c r="K198" t="s">
        <v>2270</v>
      </c>
      <c r="L198" t="s">
        <v>3018</v>
      </c>
    </row>
    <row r="199" spans="1:12">
      <c r="A199">
        <v>1195</v>
      </c>
      <c r="B199" t="s">
        <v>2387</v>
      </c>
      <c r="C199" t="s">
        <v>2402</v>
      </c>
      <c r="D199" t="s">
        <v>133</v>
      </c>
      <c r="E199"/>
      <c r="F199"/>
      <c r="G199"/>
      <c r="H199"/>
      <c r="I199"/>
      <c r="J199">
        <v>1</v>
      </c>
      <c r="K199" t="s">
        <v>2277</v>
      </c>
      <c r="L199" t="s">
        <v>799</v>
      </c>
    </row>
    <row r="200" spans="1:12">
      <c r="A200">
        <v>1196</v>
      </c>
      <c r="B200" t="s">
        <v>2387</v>
      </c>
      <c r="C200" t="s">
        <v>2402</v>
      </c>
      <c r="D200" t="s">
        <v>68</v>
      </c>
      <c r="E200"/>
      <c r="F200"/>
      <c r="G200"/>
      <c r="H200"/>
      <c r="I200"/>
      <c r="J200">
        <v>1</v>
      </c>
      <c r="K200" t="s">
        <v>2277</v>
      </c>
      <c r="L200" t="s">
        <v>68</v>
      </c>
    </row>
    <row r="201" spans="1:12">
      <c r="A201">
        <v>1197</v>
      </c>
      <c r="B201" t="s">
        <v>2387</v>
      </c>
      <c r="C201" t="s">
        <v>2402</v>
      </c>
      <c r="D201" t="s">
        <v>182</v>
      </c>
      <c r="E201"/>
      <c r="F201"/>
      <c r="G201"/>
      <c r="H201"/>
      <c r="I201"/>
      <c r="J201">
        <v>1</v>
      </c>
      <c r="K201" t="s">
        <v>2277</v>
      </c>
      <c r="L201" t="s">
        <v>182</v>
      </c>
    </row>
    <row r="202" spans="1:12">
      <c r="A202">
        <v>1198</v>
      </c>
      <c r="B202" t="s">
        <v>2387</v>
      </c>
      <c r="C202" t="s">
        <v>2402</v>
      </c>
      <c r="D202" t="s">
        <v>104</v>
      </c>
      <c r="E202"/>
      <c r="F202"/>
      <c r="G202"/>
      <c r="H202"/>
      <c r="I202"/>
      <c r="J202">
        <v>1</v>
      </c>
      <c r="K202" t="s">
        <v>2277</v>
      </c>
      <c r="L202" t="s">
        <v>280</v>
      </c>
    </row>
    <row r="203" spans="1:12">
      <c r="A203">
        <v>1199</v>
      </c>
      <c r="B203" t="s">
        <v>2387</v>
      </c>
      <c r="C203" t="s">
        <v>2402</v>
      </c>
      <c r="D203" t="s">
        <v>90</v>
      </c>
      <c r="E203"/>
      <c r="F203"/>
      <c r="G203"/>
      <c r="H203"/>
      <c r="I203"/>
      <c r="J203">
        <v>1</v>
      </c>
      <c r="K203" t="s">
        <v>2277</v>
      </c>
      <c r="L203" t="s">
        <v>86</v>
      </c>
    </row>
    <row r="204" spans="1:12">
      <c r="A204">
        <v>1200</v>
      </c>
      <c r="B204" t="s">
        <v>2387</v>
      </c>
      <c r="C204" t="s">
        <v>2402</v>
      </c>
      <c r="D204" t="s">
        <v>91</v>
      </c>
      <c r="E204"/>
      <c r="F204"/>
      <c r="G204"/>
      <c r="H204"/>
      <c r="I204"/>
      <c r="J204">
        <v>1</v>
      </c>
      <c r="K204" t="s">
        <v>2277</v>
      </c>
      <c r="L204" t="s">
        <v>366</v>
      </c>
    </row>
    <row r="205" spans="1:12">
      <c r="A205">
        <v>1201</v>
      </c>
      <c r="B205" t="s">
        <v>2387</v>
      </c>
      <c r="C205" t="s">
        <v>2402</v>
      </c>
      <c r="D205" t="s">
        <v>135</v>
      </c>
      <c r="E205"/>
      <c r="F205"/>
      <c r="G205"/>
      <c r="H205"/>
      <c r="I205"/>
      <c r="J205">
        <v>1</v>
      </c>
      <c r="K205" t="s">
        <v>2277</v>
      </c>
      <c r="L205" t="s">
        <v>805</v>
      </c>
    </row>
    <row r="206" spans="1:12">
      <c r="A206">
        <v>1202</v>
      </c>
      <c r="B206" t="s">
        <v>2387</v>
      </c>
      <c r="C206" t="s">
        <v>2402</v>
      </c>
      <c r="D206" t="s">
        <v>134</v>
      </c>
      <c r="E206"/>
      <c r="F206"/>
      <c r="G206"/>
      <c r="H206"/>
      <c r="I206"/>
      <c r="J206">
        <v>1</v>
      </c>
      <c r="K206" t="s">
        <v>2277</v>
      </c>
      <c r="L206" t="s">
        <v>134</v>
      </c>
    </row>
    <row r="207" spans="1:12">
      <c r="A207">
        <v>1203</v>
      </c>
      <c r="B207" t="s">
        <v>2387</v>
      </c>
      <c r="C207" t="s">
        <v>2402</v>
      </c>
      <c r="D207" t="s">
        <v>174</v>
      </c>
      <c r="E207"/>
      <c r="F207"/>
      <c r="G207"/>
      <c r="H207"/>
      <c r="I207"/>
      <c r="J207">
        <v>1</v>
      </c>
      <c r="K207" t="s">
        <v>2277</v>
      </c>
      <c r="L207" t="s">
        <v>174</v>
      </c>
    </row>
    <row r="208" spans="1:12">
      <c r="A208">
        <v>1204</v>
      </c>
      <c r="B208" t="s">
        <v>2387</v>
      </c>
      <c r="C208" t="s">
        <v>2402</v>
      </c>
      <c r="D208" t="s">
        <v>175</v>
      </c>
      <c r="E208"/>
      <c r="F208"/>
      <c r="G208"/>
      <c r="H208"/>
      <c r="I208"/>
      <c r="J208">
        <v>1</v>
      </c>
      <c r="K208" t="s">
        <v>2277</v>
      </c>
      <c r="L208" t="s">
        <v>175</v>
      </c>
    </row>
    <row r="209" spans="1:12">
      <c r="A209">
        <v>1205</v>
      </c>
      <c r="B209" t="s">
        <v>2387</v>
      </c>
      <c r="C209" t="s">
        <v>2402</v>
      </c>
      <c r="D209" t="s">
        <v>176</v>
      </c>
      <c r="E209"/>
      <c r="F209"/>
      <c r="G209"/>
      <c r="H209"/>
      <c r="I209"/>
      <c r="J209">
        <v>1</v>
      </c>
      <c r="K209" t="s">
        <v>2277</v>
      </c>
      <c r="L209" t="s">
        <v>176</v>
      </c>
    </row>
    <row r="210" spans="1:12">
      <c r="A210">
        <v>1206</v>
      </c>
      <c r="B210" t="s">
        <v>2387</v>
      </c>
      <c r="C210" t="s">
        <v>2402</v>
      </c>
      <c r="D210" t="s">
        <v>177</v>
      </c>
      <c r="E210"/>
      <c r="F210"/>
      <c r="G210"/>
      <c r="H210"/>
      <c r="I210"/>
      <c r="J210">
        <v>1</v>
      </c>
      <c r="K210" t="s">
        <v>2277</v>
      </c>
      <c r="L210" t="s">
        <v>177</v>
      </c>
    </row>
    <row r="211" spans="1:12">
      <c r="A211">
        <v>1207</v>
      </c>
      <c r="B211" t="s">
        <v>2387</v>
      </c>
      <c r="C211" t="s">
        <v>2402</v>
      </c>
      <c r="D211" t="s">
        <v>178</v>
      </c>
      <c r="E211"/>
      <c r="F211"/>
      <c r="G211"/>
      <c r="H211"/>
      <c r="I211"/>
      <c r="J211">
        <v>1</v>
      </c>
      <c r="K211" t="s">
        <v>2277</v>
      </c>
      <c r="L211" t="s">
        <v>178</v>
      </c>
    </row>
    <row r="212" spans="1:12">
      <c r="A212">
        <v>1208</v>
      </c>
      <c r="B212" t="s">
        <v>2387</v>
      </c>
      <c r="C212" t="s">
        <v>2402</v>
      </c>
      <c r="D212" t="s">
        <v>179</v>
      </c>
      <c r="E212"/>
      <c r="F212"/>
      <c r="G212"/>
      <c r="H212"/>
      <c r="I212"/>
      <c r="J212">
        <v>1</v>
      </c>
      <c r="K212" t="s">
        <v>2277</v>
      </c>
      <c r="L212" t="s">
        <v>179</v>
      </c>
    </row>
    <row r="213" spans="1:12">
      <c r="A213">
        <v>1209</v>
      </c>
      <c r="B213" t="s">
        <v>2387</v>
      </c>
      <c r="C213" t="s">
        <v>2402</v>
      </c>
      <c r="D213" t="s">
        <v>180</v>
      </c>
      <c r="E213"/>
      <c r="F213"/>
      <c r="G213"/>
      <c r="H213"/>
      <c r="I213"/>
      <c r="J213">
        <v>1</v>
      </c>
      <c r="K213" t="s">
        <v>2277</v>
      </c>
      <c r="L213" t="s">
        <v>180</v>
      </c>
    </row>
    <row r="214" spans="1:12">
      <c r="A214">
        <v>1210</v>
      </c>
      <c r="B214" t="s">
        <v>2387</v>
      </c>
      <c r="C214" t="s">
        <v>2402</v>
      </c>
      <c r="D214" t="s">
        <v>181</v>
      </c>
      <c r="E214"/>
      <c r="F214"/>
      <c r="G214"/>
      <c r="H214"/>
      <c r="I214"/>
      <c r="J214">
        <v>1</v>
      </c>
      <c r="K214" t="s">
        <v>2277</v>
      </c>
      <c r="L214" t="s">
        <v>181</v>
      </c>
    </row>
  </sheetData>
  <autoFilter ref="A3:L214" xr:uid="{81B63874-87AE-4CF2-ADAE-BE3A0045810B}">
    <sortState xmlns:xlrd2="http://schemas.microsoft.com/office/spreadsheetml/2017/richdata2" ref="A5:L44">
      <sortCondition ref="A3:A214"/>
    </sortState>
  </autoFilter>
  <phoneticPr fontId="45" type="noConversion"/>
  <pageMargins left="0.78749999999999998" right="0.78749999999999998" top="0.78749999999999998" bottom="0.78749999999999998" header="0.511811023622047" footer="0.511811023622047"/>
  <pageSetup orientation="portrait" horizontalDpi="300" verticalDpi="300"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274AC-6232-45DF-96D7-813CBA6F4ED2}">
  <sheetPr codeName="FieldsSht"/>
  <dimension ref="A1:P152"/>
  <sheetViews>
    <sheetView workbookViewId="0">
      <pane ySplit="3" topLeftCell="A4" activePane="bottomLeft" state="frozen"/>
      <selection pane="bottomLeft" activeCell="H16" sqref="H16"/>
    </sheetView>
  </sheetViews>
  <sheetFormatPr defaultRowHeight="14.25"/>
  <cols>
    <col min="1" max="1" width="7.59765625" style="59" customWidth="1"/>
    <col min="2" max="2" width="8.59765625" style="59" customWidth="1"/>
    <col min="3" max="3" width="9.59765625" style="59" customWidth="1"/>
    <col min="4" max="4" width="10.59765625" style="59" customWidth="1"/>
    <col min="5" max="5" width="19.1328125" style="59" customWidth="1"/>
    <col min="6" max="7" width="15.59765625" style="59" customWidth="1"/>
    <col min="8" max="8" width="27.73046875" style="59" customWidth="1"/>
    <col min="9" max="10" width="15.59765625" style="59" customWidth="1"/>
    <col min="11" max="11" width="12.9296875" style="59" customWidth="1"/>
    <col min="12" max="16" width="10.59765625" style="59" customWidth="1"/>
  </cols>
  <sheetData>
    <row r="1" spans="1:16">
      <c r="A1" s="116" t="s">
        <v>372</v>
      </c>
      <c r="B1" s="116" t="s">
        <v>373</v>
      </c>
      <c r="C1" s="116" t="s">
        <v>374</v>
      </c>
      <c r="D1" s="116" t="s">
        <v>375</v>
      </c>
      <c r="E1" s="116" t="s">
        <v>376</v>
      </c>
      <c r="F1" s="116" t="s">
        <v>377</v>
      </c>
      <c r="G1" s="116" t="s">
        <v>379</v>
      </c>
      <c r="H1" s="116" t="s">
        <v>380</v>
      </c>
      <c r="I1" s="116" t="s">
        <v>378</v>
      </c>
      <c r="J1" s="116" t="s">
        <v>381</v>
      </c>
      <c r="K1" s="116" t="s">
        <v>383</v>
      </c>
      <c r="L1" s="116" t="s">
        <v>384</v>
      </c>
      <c r="M1" s="116" t="s">
        <v>382</v>
      </c>
      <c r="N1" s="116" t="s">
        <v>385</v>
      </c>
      <c r="O1" s="116" t="s">
        <v>386</v>
      </c>
      <c r="P1" s="116" t="s">
        <v>387</v>
      </c>
    </row>
    <row r="2" spans="1:16" ht="22.5">
      <c r="A2" s="140" t="s">
        <v>880</v>
      </c>
      <c r="B2" s="94"/>
      <c r="C2" s="94"/>
      <c r="D2" s="94"/>
      <c r="E2" s="94"/>
      <c r="F2" s="94"/>
      <c r="G2" s="94"/>
      <c r="H2" s="94"/>
      <c r="I2" s="121"/>
      <c r="J2" s="94"/>
      <c r="K2" s="94"/>
      <c r="L2" s="94"/>
      <c r="M2" s="94"/>
      <c r="N2" s="94"/>
      <c r="O2" s="94"/>
      <c r="P2" s="94"/>
    </row>
    <row r="3" spans="1:16" ht="22.25" customHeight="1">
      <c r="A3" s="78" t="s">
        <v>255</v>
      </c>
      <c r="B3" s="78" t="s">
        <v>730</v>
      </c>
      <c r="C3" s="78" t="s">
        <v>881</v>
      </c>
      <c r="D3" s="78" t="s">
        <v>882</v>
      </c>
      <c r="E3" s="78" t="s">
        <v>2</v>
      </c>
      <c r="F3" s="78" t="s">
        <v>3</v>
      </c>
      <c r="G3" s="78" t="s">
        <v>552</v>
      </c>
      <c r="H3" s="78" t="s">
        <v>883</v>
      </c>
      <c r="I3" s="78" t="s">
        <v>884</v>
      </c>
      <c r="J3" s="78" t="s">
        <v>347</v>
      </c>
      <c r="K3" s="78" t="s">
        <v>885</v>
      </c>
      <c r="L3" s="78" t="s">
        <v>4</v>
      </c>
      <c r="M3" s="78" t="s">
        <v>886</v>
      </c>
      <c r="N3" s="78" t="s">
        <v>385</v>
      </c>
      <c r="O3" s="78" t="s">
        <v>386</v>
      </c>
      <c r="P3" s="78" t="s">
        <v>387</v>
      </c>
    </row>
    <row r="4" spans="1:16" s="58" customFormat="1" ht="18" customHeight="1">
      <c r="A4" s="58">
        <v>1</v>
      </c>
      <c r="B4" s="58">
        <v>46</v>
      </c>
      <c r="C4" s="58">
        <v>8</v>
      </c>
      <c r="D4" s="58">
        <v>567</v>
      </c>
      <c r="E4" s="58" t="s">
        <v>390</v>
      </c>
      <c r="F4" s="58" t="s">
        <v>367</v>
      </c>
      <c r="G4" s="58" t="s">
        <v>371</v>
      </c>
      <c r="H4" s="58" t="s">
        <v>391</v>
      </c>
      <c r="K4" s="58" t="s">
        <v>392</v>
      </c>
      <c r="M4" s="58" t="s">
        <v>243</v>
      </c>
      <c r="P4" s="58">
        <v>466</v>
      </c>
    </row>
    <row r="5" spans="1:16" s="58" customFormat="1" ht="18" customHeight="1">
      <c r="A5" s="58">
        <v>2</v>
      </c>
      <c r="B5" s="58">
        <v>100</v>
      </c>
      <c r="C5" s="58">
        <v>8</v>
      </c>
      <c r="D5" s="58">
        <v>225</v>
      </c>
      <c r="E5" s="58" t="s">
        <v>29</v>
      </c>
      <c r="F5" s="58" t="s">
        <v>253</v>
      </c>
      <c r="G5" s="58" t="s">
        <v>371</v>
      </c>
      <c r="H5" s="58" t="s">
        <v>393</v>
      </c>
      <c r="K5" s="58" t="s">
        <v>388</v>
      </c>
      <c r="M5" s="58" t="s">
        <v>243</v>
      </c>
    </row>
    <row r="6" spans="1:16" s="58" customFormat="1" ht="18" customHeight="1">
      <c r="A6" s="58">
        <v>3</v>
      </c>
      <c r="B6" s="58">
        <v>210</v>
      </c>
      <c r="C6" s="58">
        <v>280</v>
      </c>
      <c r="D6" s="58">
        <v>287</v>
      </c>
      <c r="E6" s="58" t="s">
        <v>67</v>
      </c>
      <c r="F6" s="58" t="s">
        <v>253</v>
      </c>
      <c r="G6" s="58" t="s">
        <v>371</v>
      </c>
      <c r="H6" s="58" t="s">
        <v>887</v>
      </c>
      <c r="K6" s="58" t="s">
        <v>388</v>
      </c>
      <c r="L6" s="58" t="s">
        <v>389</v>
      </c>
      <c r="M6" s="58" t="s">
        <v>243</v>
      </c>
      <c r="P6" s="58">
        <v>252</v>
      </c>
    </row>
    <row r="7" spans="1:16" s="58" customFormat="1" ht="18" customHeight="1">
      <c r="A7" s="58">
        <v>4</v>
      </c>
      <c r="B7" s="58">
        <v>400</v>
      </c>
      <c r="C7" s="58">
        <v>10</v>
      </c>
      <c r="D7" s="58">
        <v>172</v>
      </c>
      <c r="E7" s="58" t="s">
        <v>1202</v>
      </c>
      <c r="F7" s="58" t="s">
        <v>253</v>
      </c>
      <c r="G7" s="58" t="s">
        <v>371</v>
      </c>
      <c r="H7" s="58" t="s">
        <v>1248</v>
      </c>
      <c r="K7" s="58" t="s">
        <v>388</v>
      </c>
      <c r="M7" s="58" t="s">
        <v>243</v>
      </c>
      <c r="P7" s="58">
        <v>168</v>
      </c>
    </row>
    <row r="8" spans="1:16" s="58" customFormat="1" ht="18" customHeight="1">
      <c r="A8" s="58">
        <v>5</v>
      </c>
      <c r="B8" s="58">
        <v>400</v>
      </c>
      <c r="C8" s="58">
        <v>220</v>
      </c>
      <c r="D8" s="58">
        <v>152</v>
      </c>
      <c r="E8" s="58" t="s">
        <v>1203</v>
      </c>
      <c r="F8" s="58" t="s">
        <v>253</v>
      </c>
      <c r="G8" s="58" t="s">
        <v>371</v>
      </c>
      <c r="H8" s="58" t="s">
        <v>1205</v>
      </c>
      <c r="K8" s="58" t="s">
        <v>388</v>
      </c>
      <c r="M8" s="58" t="s">
        <v>243</v>
      </c>
      <c r="P8" s="58">
        <v>148</v>
      </c>
    </row>
    <row r="9" spans="1:16" s="58" customFormat="1" ht="18" customHeight="1">
      <c r="A9" s="58">
        <v>6</v>
      </c>
      <c r="B9" s="58">
        <v>100</v>
      </c>
      <c r="C9" s="58">
        <v>270</v>
      </c>
      <c r="D9" s="58">
        <v>75</v>
      </c>
      <c r="E9" s="58" t="s">
        <v>23</v>
      </c>
      <c r="F9" s="58" t="s">
        <v>253</v>
      </c>
      <c r="G9" s="58" t="s">
        <v>371</v>
      </c>
      <c r="H9" s="58" t="s">
        <v>1</v>
      </c>
      <c r="K9" s="58" t="s">
        <v>388</v>
      </c>
      <c r="L9" s="58" t="s">
        <v>389</v>
      </c>
      <c r="M9" s="58" t="s">
        <v>243</v>
      </c>
      <c r="P9" s="58">
        <v>71</v>
      </c>
    </row>
    <row r="10" spans="1:16" s="58" customFormat="1" ht="18" customHeight="1">
      <c r="A10" s="58">
        <v>7</v>
      </c>
      <c r="B10" s="58">
        <v>100</v>
      </c>
      <c r="C10" s="58">
        <v>370</v>
      </c>
      <c r="D10" s="58">
        <v>75</v>
      </c>
      <c r="E10" s="58" t="s">
        <v>24</v>
      </c>
      <c r="F10" s="58" t="s">
        <v>253</v>
      </c>
      <c r="G10" s="58" t="s">
        <v>371</v>
      </c>
      <c r="H10" s="58" t="s">
        <v>394</v>
      </c>
      <c r="K10" s="58" t="s">
        <v>388</v>
      </c>
      <c r="L10" s="58" t="s">
        <v>389</v>
      </c>
      <c r="M10" s="58" t="s">
        <v>243</v>
      </c>
      <c r="P10" s="58">
        <v>71</v>
      </c>
    </row>
    <row r="11" spans="1:16" s="58" customFormat="1" ht="18" customHeight="1">
      <c r="A11" s="58">
        <v>8</v>
      </c>
      <c r="B11" s="58">
        <v>206.45</v>
      </c>
      <c r="C11" s="58">
        <v>8</v>
      </c>
      <c r="D11" s="58">
        <v>125</v>
      </c>
      <c r="E11" s="58" t="s">
        <v>45</v>
      </c>
      <c r="F11" s="58" t="s">
        <v>253</v>
      </c>
      <c r="G11" s="58" t="s">
        <v>371</v>
      </c>
      <c r="H11" s="58" t="s">
        <v>11</v>
      </c>
      <c r="K11" s="58" t="s">
        <v>388</v>
      </c>
      <c r="L11" s="58" t="s">
        <v>389</v>
      </c>
      <c r="M11" s="58" t="s">
        <v>243</v>
      </c>
      <c r="P11" s="58">
        <v>91.363640000000004</v>
      </c>
    </row>
    <row r="12" spans="1:16" s="58" customFormat="1" ht="18" customHeight="1">
      <c r="A12" s="58">
        <v>9</v>
      </c>
      <c r="B12" s="58">
        <v>206.45</v>
      </c>
      <c r="C12" s="58">
        <v>136.44999999999999</v>
      </c>
      <c r="D12" s="58">
        <v>125</v>
      </c>
      <c r="E12" s="58" t="s">
        <v>46</v>
      </c>
      <c r="F12" s="58" t="s">
        <v>253</v>
      </c>
      <c r="G12" s="58" t="s">
        <v>371</v>
      </c>
      <c r="H12" s="58" t="s">
        <v>12</v>
      </c>
      <c r="K12" s="58" t="s">
        <v>388</v>
      </c>
      <c r="L12" s="58" t="s">
        <v>389</v>
      </c>
      <c r="M12" s="58" t="s">
        <v>243</v>
      </c>
      <c r="P12" s="58">
        <v>91.363640000000004</v>
      </c>
    </row>
    <row r="13" spans="1:16" s="58" customFormat="1" ht="18" customHeight="1">
      <c r="A13" s="58">
        <v>10</v>
      </c>
      <c r="B13" s="58">
        <v>319.91000000000003</v>
      </c>
      <c r="C13" s="58">
        <v>7.35</v>
      </c>
      <c r="D13" s="58">
        <v>122.72763999999999</v>
      </c>
      <c r="E13" s="58" t="s">
        <v>57</v>
      </c>
      <c r="F13" s="58" t="s">
        <v>253</v>
      </c>
      <c r="G13" s="58" t="s">
        <v>371</v>
      </c>
      <c r="H13" s="58" t="s">
        <v>486</v>
      </c>
      <c r="K13" s="58" t="s">
        <v>388</v>
      </c>
      <c r="M13" s="58" t="s">
        <v>243</v>
      </c>
      <c r="P13" s="58">
        <v>89.090639999999993</v>
      </c>
    </row>
    <row r="14" spans="1:16" s="58" customFormat="1" ht="18" customHeight="1">
      <c r="A14" s="58">
        <v>11</v>
      </c>
      <c r="B14" s="58">
        <v>320</v>
      </c>
      <c r="C14" s="58">
        <v>170</v>
      </c>
      <c r="D14" s="58">
        <v>92.727239999999995</v>
      </c>
      <c r="E14" s="58" t="s">
        <v>58</v>
      </c>
      <c r="F14" s="58" t="s">
        <v>253</v>
      </c>
      <c r="G14" s="58" t="s">
        <v>371</v>
      </c>
      <c r="H14" s="58" t="s">
        <v>487</v>
      </c>
      <c r="K14" s="58" t="s">
        <v>388</v>
      </c>
      <c r="M14" s="58" t="s">
        <v>243</v>
      </c>
      <c r="P14" s="58">
        <v>88.73</v>
      </c>
    </row>
    <row r="15" spans="1:16" s="58" customFormat="1" ht="18" customHeight="1">
      <c r="A15" s="58">
        <v>12</v>
      </c>
      <c r="B15" s="58">
        <v>320</v>
      </c>
      <c r="C15" s="58">
        <v>320</v>
      </c>
      <c r="D15" s="58">
        <v>200</v>
      </c>
      <c r="E15" s="58" t="s">
        <v>44</v>
      </c>
      <c r="F15" s="58" t="s">
        <v>253</v>
      </c>
      <c r="G15" s="58" t="s">
        <v>371</v>
      </c>
      <c r="H15" s="58" t="s">
        <v>265</v>
      </c>
      <c r="K15" s="58" t="s">
        <v>388</v>
      </c>
      <c r="L15" s="58" t="s">
        <v>389</v>
      </c>
      <c r="M15" s="58" t="s">
        <v>243</v>
      </c>
      <c r="P15" s="58">
        <v>196</v>
      </c>
    </row>
    <row r="16" spans="1:16" s="58" customFormat="1" ht="18" customHeight="1">
      <c r="A16" s="58">
        <v>13</v>
      </c>
      <c r="B16" s="58">
        <v>18.77</v>
      </c>
      <c r="C16" s="58">
        <v>673.41</v>
      </c>
      <c r="D16" s="58">
        <v>75</v>
      </c>
      <c r="E16" s="58" t="s">
        <v>24</v>
      </c>
      <c r="F16" s="58" t="s">
        <v>253</v>
      </c>
      <c r="G16" s="58" t="s">
        <v>888</v>
      </c>
      <c r="H16" s="58" t="s">
        <v>471</v>
      </c>
      <c r="I16" s="58" t="s">
        <v>471</v>
      </c>
      <c r="K16" s="58" t="s">
        <v>388</v>
      </c>
      <c r="L16" s="58" t="s">
        <v>389</v>
      </c>
      <c r="M16" s="58" t="s">
        <v>243</v>
      </c>
      <c r="P16" s="58">
        <v>71</v>
      </c>
    </row>
    <row r="17" spans="1:16" s="58" customFormat="1" ht="18" customHeight="1">
      <c r="A17" s="58">
        <v>14</v>
      </c>
      <c r="B17" s="58">
        <v>19.27</v>
      </c>
      <c r="C17" s="58">
        <v>753.16</v>
      </c>
      <c r="D17" s="58">
        <v>75</v>
      </c>
      <c r="E17" s="58" t="s">
        <v>23</v>
      </c>
      <c r="F17" s="58" t="s">
        <v>253</v>
      </c>
      <c r="G17" s="58" t="s">
        <v>888</v>
      </c>
      <c r="H17" s="58" t="s">
        <v>1</v>
      </c>
      <c r="I17" s="58" t="s">
        <v>469</v>
      </c>
      <c r="K17" s="58" t="s">
        <v>388</v>
      </c>
      <c r="L17" s="58" t="s">
        <v>389</v>
      </c>
      <c r="M17" s="58" t="s">
        <v>243</v>
      </c>
      <c r="P17" s="58">
        <v>71</v>
      </c>
    </row>
    <row r="18" spans="1:16" s="58" customFormat="1" ht="18" customHeight="1">
      <c r="A18" s="58">
        <v>15</v>
      </c>
      <c r="B18" s="58">
        <v>51.88</v>
      </c>
      <c r="C18" s="58">
        <v>47.91</v>
      </c>
      <c r="D18" s="58">
        <v>477</v>
      </c>
      <c r="E18" s="58" t="s">
        <v>29</v>
      </c>
      <c r="F18" s="58" t="s">
        <v>253</v>
      </c>
      <c r="G18" s="58" t="s">
        <v>888</v>
      </c>
      <c r="H18" s="58" t="s">
        <v>889</v>
      </c>
      <c r="I18" s="58" t="s">
        <v>889</v>
      </c>
      <c r="K18" s="58" t="s">
        <v>388</v>
      </c>
      <c r="M18" s="58" t="s">
        <v>243</v>
      </c>
      <c r="N18" s="58">
        <v>3</v>
      </c>
      <c r="P18" s="58">
        <v>473</v>
      </c>
    </row>
    <row r="19" spans="1:16" s="58" customFormat="1" ht="18" customHeight="1">
      <c r="A19" s="58">
        <v>16</v>
      </c>
      <c r="B19" s="58">
        <v>146.38</v>
      </c>
      <c r="C19" s="58">
        <v>225.44</v>
      </c>
      <c r="D19" s="58">
        <v>100</v>
      </c>
      <c r="E19" s="58" t="s">
        <v>111</v>
      </c>
      <c r="F19" s="58" t="s">
        <v>254</v>
      </c>
      <c r="G19" s="58" t="s">
        <v>888</v>
      </c>
      <c r="H19" s="58" t="s">
        <v>81</v>
      </c>
      <c r="J19" s="58" t="s">
        <v>623</v>
      </c>
      <c r="K19" s="58" t="s">
        <v>392</v>
      </c>
      <c r="M19" s="58" t="s">
        <v>243</v>
      </c>
      <c r="P19" s="58">
        <v>96</v>
      </c>
    </row>
    <row r="20" spans="1:16" s="58" customFormat="1" ht="18" customHeight="1">
      <c r="A20" s="58">
        <v>17</v>
      </c>
      <c r="B20" s="58">
        <v>146.38</v>
      </c>
      <c r="C20" s="58">
        <v>51.44</v>
      </c>
      <c r="D20" s="58">
        <v>159</v>
      </c>
      <c r="E20" s="58" t="s">
        <v>118</v>
      </c>
      <c r="F20" s="58" t="s">
        <v>254</v>
      </c>
      <c r="G20" s="58" t="s">
        <v>888</v>
      </c>
      <c r="H20" s="58" t="s">
        <v>2942</v>
      </c>
      <c r="I20" s="58" t="s">
        <v>911</v>
      </c>
      <c r="J20" s="58" t="s">
        <v>1221</v>
      </c>
      <c r="K20" s="58" t="s">
        <v>392</v>
      </c>
      <c r="M20" s="58" t="s">
        <v>243</v>
      </c>
      <c r="P20" s="58">
        <v>155</v>
      </c>
    </row>
    <row r="21" spans="1:16" s="58" customFormat="1" ht="18" customHeight="1">
      <c r="A21" s="58">
        <v>18</v>
      </c>
      <c r="B21" s="58">
        <v>148.38</v>
      </c>
      <c r="C21" s="58">
        <v>339.91</v>
      </c>
      <c r="D21" s="58">
        <v>144</v>
      </c>
      <c r="E21" s="58" t="s">
        <v>750</v>
      </c>
      <c r="F21" s="58" t="s">
        <v>254</v>
      </c>
      <c r="G21" s="58" t="s">
        <v>888</v>
      </c>
      <c r="H21" s="58" t="s">
        <v>2943</v>
      </c>
      <c r="I21" s="58" t="s">
        <v>767</v>
      </c>
      <c r="J21" s="58" t="s">
        <v>767</v>
      </c>
      <c r="K21" s="58" t="s">
        <v>392</v>
      </c>
      <c r="M21" s="58" t="s">
        <v>243</v>
      </c>
      <c r="P21" s="58">
        <v>140</v>
      </c>
    </row>
    <row r="22" spans="1:16" s="58" customFormat="1" ht="18" customHeight="1">
      <c r="A22" s="58">
        <v>19</v>
      </c>
      <c r="B22" s="58">
        <v>148.38</v>
      </c>
      <c r="C22" s="58">
        <v>495.08</v>
      </c>
      <c r="D22" s="58">
        <v>125</v>
      </c>
      <c r="E22" s="58" t="s">
        <v>45</v>
      </c>
      <c r="F22" s="58" t="s">
        <v>253</v>
      </c>
      <c r="G22" s="58" t="s">
        <v>888</v>
      </c>
      <c r="H22" s="58" t="s">
        <v>11</v>
      </c>
      <c r="I22" s="58" t="s">
        <v>892</v>
      </c>
      <c r="K22" s="58" t="s">
        <v>388</v>
      </c>
      <c r="L22" s="58" t="s">
        <v>389</v>
      </c>
      <c r="M22" s="58" t="s">
        <v>243</v>
      </c>
      <c r="P22" s="58">
        <v>121</v>
      </c>
    </row>
    <row r="23" spans="1:16" s="58" customFormat="1" ht="18" customHeight="1">
      <c r="A23" s="58">
        <v>20</v>
      </c>
      <c r="B23" s="58">
        <v>148.88</v>
      </c>
      <c r="C23" s="58">
        <v>629.41</v>
      </c>
      <c r="D23" s="58">
        <v>125</v>
      </c>
      <c r="E23" s="58" t="s">
        <v>46</v>
      </c>
      <c r="F23" s="58" t="s">
        <v>253</v>
      </c>
      <c r="G23" s="58" t="s">
        <v>888</v>
      </c>
      <c r="H23" s="58" t="s">
        <v>12</v>
      </c>
      <c r="I23" s="58" t="s">
        <v>893</v>
      </c>
      <c r="K23" s="58" t="s">
        <v>388</v>
      </c>
      <c r="L23" s="58" t="s">
        <v>389</v>
      </c>
      <c r="M23" s="58" t="s">
        <v>243</v>
      </c>
      <c r="P23" s="58">
        <v>121</v>
      </c>
    </row>
    <row r="24" spans="1:16" s="58" customFormat="1" ht="18" customHeight="1">
      <c r="A24" s="58">
        <v>21</v>
      </c>
      <c r="B24" s="58">
        <v>220.77</v>
      </c>
      <c r="C24" s="58">
        <v>448.02</v>
      </c>
      <c r="D24" s="58">
        <v>100</v>
      </c>
      <c r="E24" s="58" t="s">
        <v>2082</v>
      </c>
      <c r="F24" s="58" t="s">
        <v>254</v>
      </c>
      <c r="G24" s="58" t="s">
        <v>888</v>
      </c>
      <c r="H24" s="58" t="s">
        <v>80</v>
      </c>
      <c r="I24" s="58" t="s">
        <v>2291</v>
      </c>
      <c r="J24" s="58" t="s">
        <v>475</v>
      </c>
      <c r="K24" s="58" t="s">
        <v>392</v>
      </c>
      <c r="M24" s="58" t="s">
        <v>243</v>
      </c>
      <c r="P24" s="58">
        <v>96</v>
      </c>
    </row>
    <row r="25" spans="1:16" s="58" customFormat="1" ht="18" customHeight="1">
      <c r="A25" s="58">
        <v>22</v>
      </c>
      <c r="B25" s="58">
        <v>224</v>
      </c>
      <c r="C25" s="58">
        <v>564</v>
      </c>
      <c r="D25" s="58">
        <v>187</v>
      </c>
      <c r="E25" s="58" t="s">
        <v>1207</v>
      </c>
      <c r="F25" s="58" t="s">
        <v>254</v>
      </c>
      <c r="G25" s="58" t="s">
        <v>888</v>
      </c>
      <c r="H25" s="58" t="s">
        <v>352</v>
      </c>
      <c r="I25" s="58" t="s">
        <v>1222</v>
      </c>
      <c r="J25" s="58" t="s">
        <v>1222</v>
      </c>
      <c r="K25" s="58" t="s">
        <v>392</v>
      </c>
      <c r="M25" s="58" t="s">
        <v>243</v>
      </c>
      <c r="P25" s="58">
        <v>152</v>
      </c>
    </row>
    <row r="26" spans="1:16" s="58" customFormat="1" ht="18" customHeight="1">
      <c r="A26" s="58">
        <v>23</v>
      </c>
      <c r="B26" s="58">
        <v>223.91</v>
      </c>
      <c r="C26" s="58">
        <v>43.3</v>
      </c>
      <c r="D26" s="58">
        <v>117</v>
      </c>
      <c r="E26" s="58" t="s">
        <v>257</v>
      </c>
      <c r="F26" s="58" t="s">
        <v>254</v>
      </c>
      <c r="G26" s="58" t="s">
        <v>888</v>
      </c>
      <c r="H26" s="58" t="s">
        <v>261</v>
      </c>
      <c r="I26" s="58" t="s">
        <v>472</v>
      </c>
      <c r="J26" s="58" t="s">
        <v>261</v>
      </c>
      <c r="K26" s="58" t="s">
        <v>388</v>
      </c>
      <c r="M26" s="58" t="s">
        <v>243</v>
      </c>
      <c r="P26" s="58">
        <v>113</v>
      </c>
    </row>
    <row r="27" spans="1:16" s="58" customFormat="1" ht="18" customHeight="1">
      <c r="A27" s="58">
        <v>25</v>
      </c>
      <c r="B27" s="58">
        <v>223.91</v>
      </c>
      <c r="C27" s="58">
        <v>333.58</v>
      </c>
      <c r="D27" s="58">
        <v>100</v>
      </c>
      <c r="E27" s="58" t="s">
        <v>2083</v>
      </c>
      <c r="F27" s="58" t="s">
        <v>254</v>
      </c>
      <c r="G27" s="58" t="s">
        <v>888</v>
      </c>
      <c r="H27" s="58" t="s">
        <v>5</v>
      </c>
      <c r="I27" s="58" t="s">
        <v>2292</v>
      </c>
      <c r="J27" s="58" t="s">
        <v>474</v>
      </c>
      <c r="K27" s="58" t="s">
        <v>392</v>
      </c>
      <c r="M27" s="58" t="s">
        <v>243</v>
      </c>
      <c r="P27" s="58">
        <v>96</v>
      </c>
    </row>
    <row r="28" spans="1:16" s="58" customFormat="1" ht="18" customHeight="1">
      <c r="A28" s="58">
        <v>26</v>
      </c>
      <c r="B28" s="58">
        <v>296</v>
      </c>
      <c r="C28" s="58">
        <v>44</v>
      </c>
      <c r="D28" s="58">
        <v>700</v>
      </c>
      <c r="E28" s="58" t="s">
        <v>138</v>
      </c>
      <c r="F28" s="58" t="s">
        <v>395</v>
      </c>
      <c r="G28" s="58" t="s">
        <v>888</v>
      </c>
      <c r="H28" s="58" t="s">
        <v>2944</v>
      </c>
      <c r="I28" s="58" t="s">
        <v>894</v>
      </c>
      <c r="K28" s="58" t="s">
        <v>392</v>
      </c>
      <c r="M28" s="58" t="s">
        <v>243</v>
      </c>
      <c r="N28" s="58">
        <v>5</v>
      </c>
      <c r="P28" s="58">
        <v>696</v>
      </c>
    </row>
    <row r="29" spans="1:16" s="58" customFormat="1" ht="18" customHeight="1">
      <c r="A29" s="58">
        <v>27</v>
      </c>
      <c r="B29" s="58">
        <v>484</v>
      </c>
      <c r="C29" s="58">
        <v>48</v>
      </c>
      <c r="D29" s="58">
        <v>700</v>
      </c>
      <c r="E29" s="58" t="s">
        <v>137</v>
      </c>
      <c r="F29" s="58" t="s">
        <v>395</v>
      </c>
      <c r="G29" s="58" t="s">
        <v>888</v>
      </c>
      <c r="H29" s="58" t="s">
        <v>396</v>
      </c>
      <c r="I29" s="58" t="s">
        <v>890</v>
      </c>
      <c r="K29" s="58" t="s">
        <v>392</v>
      </c>
      <c r="M29" s="58" t="s">
        <v>243</v>
      </c>
      <c r="N29" s="58">
        <v>5</v>
      </c>
      <c r="P29" s="58">
        <v>696</v>
      </c>
    </row>
    <row r="30" spans="1:16" s="58" customFormat="1" ht="18" customHeight="1">
      <c r="A30" s="58">
        <v>28</v>
      </c>
      <c r="B30" s="58">
        <v>592</v>
      </c>
      <c r="C30" s="58">
        <v>48</v>
      </c>
      <c r="D30" s="58">
        <v>728</v>
      </c>
      <c r="E30" s="58" t="s">
        <v>136</v>
      </c>
      <c r="F30" s="58" t="s">
        <v>470</v>
      </c>
      <c r="G30" s="58" t="s">
        <v>888</v>
      </c>
      <c r="H30" s="58" t="s">
        <v>194</v>
      </c>
      <c r="I30" s="58" t="s">
        <v>891</v>
      </c>
      <c r="K30" s="58" t="s">
        <v>392</v>
      </c>
      <c r="M30" s="58" t="s">
        <v>243</v>
      </c>
      <c r="N30" s="58">
        <v>5</v>
      </c>
      <c r="P30" s="58">
        <v>724</v>
      </c>
    </row>
    <row r="31" spans="1:16" s="58" customFormat="1" ht="18" customHeight="1">
      <c r="A31" s="58">
        <v>29</v>
      </c>
      <c r="B31" s="58">
        <v>4</v>
      </c>
      <c r="C31" s="58">
        <v>332</v>
      </c>
      <c r="D31" s="58">
        <v>92</v>
      </c>
      <c r="E31" s="58" t="s">
        <v>24</v>
      </c>
      <c r="F31" s="58" t="s">
        <v>253</v>
      </c>
      <c r="G31" s="58" t="s">
        <v>895</v>
      </c>
      <c r="H31" s="58" t="s">
        <v>471</v>
      </c>
      <c r="I31" s="58" t="s">
        <v>471</v>
      </c>
      <c r="K31" s="58" t="s">
        <v>388</v>
      </c>
      <c r="L31" s="58" t="s">
        <v>389</v>
      </c>
      <c r="M31" s="58" t="s">
        <v>243</v>
      </c>
      <c r="P31" s="58">
        <v>88</v>
      </c>
    </row>
    <row r="32" spans="1:16" s="58" customFormat="1" ht="18" customHeight="1">
      <c r="A32" s="58">
        <v>30</v>
      </c>
      <c r="B32" s="58">
        <v>4</v>
      </c>
      <c r="C32" s="58">
        <v>240</v>
      </c>
      <c r="D32" s="58">
        <v>75</v>
      </c>
      <c r="E32" s="58" t="s">
        <v>23</v>
      </c>
      <c r="F32" s="58" t="s">
        <v>253</v>
      </c>
      <c r="G32" s="58" t="s">
        <v>895</v>
      </c>
      <c r="H32" s="58" t="s">
        <v>1</v>
      </c>
      <c r="I32" s="58" t="s">
        <v>898</v>
      </c>
      <c r="K32" s="58" t="s">
        <v>388</v>
      </c>
      <c r="L32" s="58" t="s">
        <v>389</v>
      </c>
      <c r="M32" s="58" t="s">
        <v>243</v>
      </c>
      <c r="P32" s="58">
        <v>71</v>
      </c>
    </row>
    <row r="33" spans="1:16" s="58" customFormat="1" ht="18" customHeight="1">
      <c r="A33" s="58">
        <v>31</v>
      </c>
      <c r="B33" s="58">
        <v>4</v>
      </c>
      <c r="C33" s="58">
        <v>428</v>
      </c>
      <c r="D33" s="58">
        <v>92</v>
      </c>
      <c r="E33" s="58" t="s">
        <v>257</v>
      </c>
      <c r="F33" s="58" t="s">
        <v>254</v>
      </c>
      <c r="G33" s="58" t="s">
        <v>895</v>
      </c>
      <c r="H33" s="58" t="s">
        <v>261</v>
      </c>
      <c r="I33" s="58" t="s">
        <v>261</v>
      </c>
      <c r="J33" s="58" t="s">
        <v>261</v>
      </c>
      <c r="K33" s="58" t="s">
        <v>388</v>
      </c>
      <c r="M33" s="58" t="s">
        <v>243</v>
      </c>
      <c r="P33" s="58">
        <v>88</v>
      </c>
    </row>
    <row r="34" spans="1:16" s="58" customFormat="1" ht="18" customHeight="1">
      <c r="A34" s="58">
        <v>32</v>
      </c>
      <c r="B34" s="58">
        <v>72</v>
      </c>
      <c r="C34" s="58">
        <v>44</v>
      </c>
      <c r="D34" s="58">
        <v>477</v>
      </c>
      <c r="E34" s="58" t="s">
        <v>29</v>
      </c>
      <c r="F34" s="58" t="s">
        <v>253</v>
      </c>
      <c r="G34" s="58" t="s">
        <v>895</v>
      </c>
      <c r="H34" s="58" t="s">
        <v>896</v>
      </c>
      <c r="I34" s="58" t="s">
        <v>896</v>
      </c>
      <c r="K34" s="58" t="s">
        <v>388</v>
      </c>
      <c r="M34" s="58" t="s">
        <v>243</v>
      </c>
      <c r="N34" s="58">
        <v>3</v>
      </c>
      <c r="P34" s="58">
        <v>473</v>
      </c>
    </row>
    <row r="35" spans="1:16" s="58" customFormat="1" ht="18" customHeight="1">
      <c r="A35" s="58">
        <v>33</v>
      </c>
      <c r="B35" s="58">
        <v>256</v>
      </c>
      <c r="C35" s="58">
        <v>528</v>
      </c>
      <c r="D35" s="58">
        <v>163</v>
      </c>
      <c r="E35" s="58" t="s">
        <v>2083</v>
      </c>
      <c r="F35" s="58" t="s">
        <v>254</v>
      </c>
      <c r="G35" s="58" t="s">
        <v>895</v>
      </c>
      <c r="H35" s="58" t="s">
        <v>5</v>
      </c>
      <c r="I35" s="58" t="s">
        <v>2292</v>
      </c>
      <c r="J35" s="58" t="s">
        <v>474</v>
      </c>
      <c r="K35" s="58" t="s">
        <v>392</v>
      </c>
      <c r="M35" s="58" t="s">
        <v>243</v>
      </c>
      <c r="P35" s="58">
        <v>159</v>
      </c>
    </row>
    <row r="36" spans="1:16" s="58" customFormat="1" ht="18" customHeight="1">
      <c r="A36" s="58">
        <v>34</v>
      </c>
      <c r="B36" s="58">
        <v>340</v>
      </c>
      <c r="C36" s="58">
        <v>596</v>
      </c>
      <c r="D36" s="58">
        <v>163</v>
      </c>
      <c r="E36" s="58" t="s">
        <v>1249</v>
      </c>
      <c r="F36" s="58" t="s">
        <v>254</v>
      </c>
      <c r="G36" s="58" t="s">
        <v>895</v>
      </c>
      <c r="H36" s="58" t="s">
        <v>352</v>
      </c>
      <c r="I36" s="58" t="s">
        <v>1250</v>
      </c>
      <c r="J36" s="58" t="s">
        <v>1250</v>
      </c>
      <c r="K36" s="58" t="s">
        <v>392</v>
      </c>
      <c r="M36" s="58" t="s">
        <v>243</v>
      </c>
      <c r="P36" s="58">
        <v>159</v>
      </c>
    </row>
    <row r="37" spans="1:16" s="58" customFormat="1" ht="18" customHeight="1">
      <c r="A37" s="58">
        <v>36</v>
      </c>
      <c r="B37" s="58">
        <v>256</v>
      </c>
      <c r="C37" s="58">
        <v>352</v>
      </c>
      <c r="D37" s="58">
        <v>167</v>
      </c>
      <c r="E37" s="58" t="s">
        <v>111</v>
      </c>
      <c r="F37" s="58" t="s">
        <v>254</v>
      </c>
      <c r="G37" s="58" t="s">
        <v>895</v>
      </c>
      <c r="H37" s="58" t="s">
        <v>81</v>
      </c>
      <c r="J37" s="58" t="s">
        <v>623</v>
      </c>
      <c r="K37" s="58" t="s">
        <v>392</v>
      </c>
      <c r="M37" s="58" t="s">
        <v>243</v>
      </c>
      <c r="P37" s="58">
        <v>163</v>
      </c>
    </row>
    <row r="38" spans="1:16" s="58" customFormat="1" ht="18" customHeight="1">
      <c r="A38" s="58">
        <v>37</v>
      </c>
      <c r="B38" s="58">
        <v>256</v>
      </c>
      <c r="C38" s="58">
        <v>188</v>
      </c>
      <c r="D38" s="58">
        <v>151</v>
      </c>
      <c r="E38" s="58" t="s">
        <v>118</v>
      </c>
      <c r="F38" s="58" t="s">
        <v>254</v>
      </c>
      <c r="G38" s="58" t="s">
        <v>895</v>
      </c>
      <c r="H38" s="58" t="s">
        <v>2942</v>
      </c>
      <c r="I38" s="58" t="s">
        <v>911</v>
      </c>
      <c r="J38" s="58" t="s">
        <v>1221</v>
      </c>
      <c r="K38" s="58" t="s">
        <v>392</v>
      </c>
      <c r="M38" s="58" t="s">
        <v>243</v>
      </c>
      <c r="P38" s="58">
        <v>147</v>
      </c>
    </row>
    <row r="39" spans="1:16" s="58" customFormat="1" ht="18" customHeight="1">
      <c r="A39" s="58">
        <v>38</v>
      </c>
      <c r="B39" s="58">
        <v>720</v>
      </c>
      <c r="C39" s="58">
        <v>48</v>
      </c>
      <c r="D39" s="58">
        <v>621</v>
      </c>
      <c r="E39" s="58" t="s">
        <v>757</v>
      </c>
      <c r="F39" s="58" t="s">
        <v>470</v>
      </c>
      <c r="G39" s="58" t="s">
        <v>895</v>
      </c>
      <c r="H39" s="58" t="s">
        <v>807</v>
      </c>
      <c r="I39" s="58" t="s">
        <v>906</v>
      </c>
      <c r="K39" s="58" t="s">
        <v>392</v>
      </c>
      <c r="M39" s="58" t="s">
        <v>243</v>
      </c>
      <c r="N39" s="58">
        <v>5</v>
      </c>
      <c r="P39" s="58">
        <v>617</v>
      </c>
    </row>
    <row r="40" spans="1:16" s="58" customFormat="1" ht="18" customHeight="1">
      <c r="A40" s="58">
        <v>39</v>
      </c>
      <c r="B40" s="58">
        <v>340</v>
      </c>
      <c r="C40" s="58">
        <v>48</v>
      </c>
      <c r="D40" s="58">
        <v>117</v>
      </c>
      <c r="E40" s="58" t="s">
        <v>759</v>
      </c>
      <c r="F40" s="58" t="s">
        <v>254</v>
      </c>
      <c r="G40" s="58" t="s">
        <v>895</v>
      </c>
      <c r="H40" s="58" t="s">
        <v>809</v>
      </c>
      <c r="I40" s="58" t="s">
        <v>902</v>
      </c>
      <c r="J40" s="58" t="s">
        <v>771</v>
      </c>
      <c r="K40" s="58" t="s">
        <v>392</v>
      </c>
      <c r="M40" s="58" t="s">
        <v>243</v>
      </c>
      <c r="P40" s="58">
        <v>113</v>
      </c>
    </row>
    <row r="41" spans="1:16" s="58" customFormat="1" ht="18" customHeight="1">
      <c r="A41" s="58">
        <v>40</v>
      </c>
      <c r="B41" s="58">
        <v>340</v>
      </c>
      <c r="C41" s="58">
        <v>168</v>
      </c>
      <c r="D41" s="58">
        <v>132</v>
      </c>
      <c r="E41" s="58" t="s">
        <v>760</v>
      </c>
      <c r="F41" s="58" t="s">
        <v>254</v>
      </c>
      <c r="G41" s="58" t="s">
        <v>895</v>
      </c>
      <c r="H41" s="58" t="s">
        <v>810</v>
      </c>
      <c r="I41" s="58" t="s">
        <v>903</v>
      </c>
      <c r="J41" s="58" t="s">
        <v>772</v>
      </c>
      <c r="K41" s="58" t="s">
        <v>392</v>
      </c>
      <c r="M41" s="58" t="s">
        <v>243</v>
      </c>
      <c r="P41" s="58">
        <v>128</v>
      </c>
    </row>
    <row r="42" spans="1:16" s="58" customFormat="1" ht="18" customHeight="1">
      <c r="A42" s="58">
        <v>41</v>
      </c>
      <c r="B42" s="58">
        <v>340</v>
      </c>
      <c r="C42" s="58">
        <v>432</v>
      </c>
      <c r="D42" s="58">
        <v>154</v>
      </c>
      <c r="E42" s="58" t="s">
        <v>750</v>
      </c>
      <c r="F42" s="58" t="s">
        <v>254</v>
      </c>
      <c r="G42" s="58" t="s">
        <v>895</v>
      </c>
      <c r="H42" s="58" t="s">
        <v>2943</v>
      </c>
      <c r="I42" s="58" t="s">
        <v>767</v>
      </c>
      <c r="J42" s="58" t="s">
        <v>767</v>
      </c>
      <c r="K42" s="58" t="s">
        <v>392</v>
      </c>
      <c r="M42" s="58" t="s">
        <v>243</v>
      </c>
      <c r="P42" s="58">
        <v>150</v>
      </c>
    </row>
    <row r="43" spans="1:16" s="58" customFormat="1" ht="18" customHeight="1">
      <c r="A43" s="58">
        <v>42</v>
      </c>
      <c r="B43" s="58">
        <v>340</v>
      </c>
      <c r="C43" s="58">
        <v>308</v>
      </c>
      <c r="D43" s="58">
        <v>108</v>
      </c>
      <c r="E43" s="58" t="s">
        <v>765</v>
      </c>
      <c r="F43" s="58" t="s">
        <v>253</v>
      </c>
      <c r="G43" s="58" t="s">
        <v>895</v>
      </c>
      <c r="H43" s="58" t="s">
        <v>815</v>
      </c>
      <c r="I43" s="58" t="s">
        <v>904</v>
      </c>
      <c r="K43" s="58" t="s">
        <v>392</v>
      </c>
      <c r="L43" s="58" t="s">
        <v>389</v>
      </c>
      <c r="M43" s="58" t="s">
        <v>243</v>
      </c>
      <c r="P43" s="58">
        <v>104</v>
      </c>
    </row>
    <row r="44" spans="1:16" s="58" customFormat="1" ht="18" customHeight="1">
      <c r="A44" s="58">
        <v>43</v>
      </c>
      <c r="B44" s="58">
        <v>436</v>
      </c>
      <c r="C44" s="58">
        <v>508</v>
      </c>
      <c r="D44" s="58">
        <v>125</v>
      </c>
      <c r="E44" s="58" t="s">
        <v>46</v>
      </c>
      <c r="F44" s="58" t="s">
        <v>253</v>
      </c>
      <c r="G44" s="58" t="s">
        <v>895</v>
      </c>
      <c r="H44" s="58" t="s">
        <v>12</v>
      </c>
      <c r="I44" s="58" t="s">
        <v>900</v>
      </c>
      <c r="K44" s="58" t="s">
        <v>388</v>
      </c>
      <c r="L44" s="58" t="s">
        <v>389</v>
      </c>
      <c r="M44" s="58" t="s">
        <v>243</v>
      </c>
      <c r="P44" s="58">
        <v>121</v>
      </c>
    </row>
    <row r="45" spans="1:16" s="58" customFormat="1" ht="18" customHeight="1">
      <c r="A45" s="58">
        <v>44</v>
      </c>
      <c r="B45" s="58">
        <v>436</v>
      </c>
      <c r="C45" s="58">
        <v>368</v>
      </c>
      <c r="D45" s="58">
        <v>125</v>
      </c>
      <c r="E45" s="58" t="s">
        <v>45</v>
      </c>
      <c r="F45" s="58" t="s">
        <v>253</v>
      </c>
      <c r="G45" s="58" t="s">
        <v>895</v>
      </c>
      <c r="H45" s="58" t="s">
        <v>11</v>
      </c>
      <c r="I45" s="58" t="s">
        <v>899</v>
      </c>
      <c r="K45" s="58" t="s">
        <v>388</v>
      </c>
      <c r="L45" s="58" t="s">
        <v>389</v>
      </c>
      <c r="M45" s="58" t="s">
        <v>243</v>
      </c>
      <c r="P45" s="58">
        <v>121</v>
      </c>
    </row>
    <row r="46" spans="1:16" s="58" customFormat="1" ht="18" customHeight="1">
      <c r="A46" s="58">
        <v>45</v>
      </c>
      <c r="B46" s="58">
        <v>436</v>
      </c>
      <c r="C46" s="58">
        <v>48</v>
      </c>
      <c r="D46" s="58">
        <v>194</v>
      </c>
      <c r="E46" s="58" t="s">
        <v>758</v>
      </c>
      <c r="F46" s="58" t="s">
        <v>254</v>
      </c>
      <c r="G46" s="58" t="s">
        <v>895</v>
      </c>
      <c r="H46" s="58" t="s">
        <v>808</v>
      </c>
      <c r="I46" s="58" t="s">
        <v>901</v>
      </c>
      <c r="J46" s="58" t="s">
        <v>808</v>
      </c>
      <c r="K46" s="58" t="s">
        <v>392</v>
      </c>
      <c r="M46" s="58" t="s">
        <v>243</v>
      </c>
      <c r="P46" s="58">
        <v>190</v>
      </c>
    </row>
    <row r="47" spans="1:16" s="58" customFormat="1" ht="18" customHeight="1">
      <c r="A47" s="58">
        <v>46</v>
      </c>
      <c r="B47" s="58">
        <v>436</v>
      </c>
      <c r="C47" s="58">
        <v>256</v>
      </c>
      <c r="D47" s="58">
        <v>100</v>
      </c>
      <c r="E47" s="58" t="s">
        <v>2082</v>
      </c>
      <c r="F47" s="58" t="s">
        <v>254</v>
      </c>
      <c r="G47" s="58" t="s">
        <v>895</v>
      </c>
      <c r="H47" s="58" t="s">
        <v>80</v>
      </c>
      <c r="I47" s="58" t="s">
        <v>2291</v>
      </c>
      <c r="J47" s="58" t="s">
        <v>475</v>
      </c>
      <c r="K47" s="58" t="s">
        <v>392</v>
      </c>
      <c r="M47" s="58" t="s">
        <v>243</v>
      </c>
      <c r="P47" s="58">
        <v>96</v>
      </c>
    </row>
    <row r="48" spans="1:16" s="58" customFormat="1" ht="18" customHeight="1">
      <c r="A48" s="58">
        <v>47</v>
      </c>
      <c r="B48" s="58">
        <v>720</v>
      </c>
      <c r="C48" s="58">
        <v>684</v>
      </c>
      <c r="D48" s="58">
        <v>474</v>
      </c>
      <c r="E48" s="58" t="s">
        <v>763</v>
      </c>
      <c r="F48" s="58" t="s">
        <v>395</v>
      </c>
      <c r="G48" s="58" t="s">
        <v>895</v>
      </c>
      <c r="H48" s="58" t="s">
        <v>813</v>
      </c>
      <c r="I48" s="58" t="s">
        <v>813</v>
      </c>
      <c r="K48" s="58" t="s">
        <v>392</v>
      </c>
      <c r="M48" s="58" t="s">
        <v>243</v>
      </c>
      <c r="N48" s="58">
        <v>5</v>
      </c>
      <c r="P48" s="58">
        <v>470</v>
      </c>
    </row>
    <row r="49" spans="1:16" s="58" customFormat="1" ht="18" customHeight="1">
      <c r="A49" s="58">
        <v>48</v>
      </c>
      <c r="B49" s="58">
        <v>512</v>
      </c>
      <c r="C49" s="58">
        <v>1016</v>
      </c>
      <c r="D49" s="58">
        <v>339</v>
      </c>
      <c r="E49" s="58" t="s">
        <v>764</v>
      </c>
      <c r="F49" s="58" t="s">
        <v>395</v>
      </c>
      <c r="G49" s="58" t="s">
        <v>895</v>
      </c>
      <c r="H49" s="58" t="s">
        <v>814</v>
      </c>
      <c r="I49" s="58" t="s">
        <v>814</v>
      </c>
      <c r="K49" s="58" t="s">
        <v>392</v>
      </c>
      <c r="M49" s="58" t="s">
        <v>243</v>
      </c>
      <c r="N49" s="58">
        <v>5</v>
      </c>
      <c r="P49" s="58">
        <v>335</v>
      </c>
    </row>
    <row r="50" spans="1:16" s="58" customFormat="1" ht="18" customHeight="1">
      <c r="A50" s="58">
        <v>49</v>
      </c>
      <c r="B50" s="58">
        <v>512</v>
      </c>
      <c r="C50" s="58">
        <v>44</v>
      </c>
      <c r="D50" s="58">
        <v>496</v>
      </c>
      <c r="E50" s="58" t="s">
        <v>905</v>
      </c>
      <c r="F50" s="58" t="s">
        <v>470</v>
      </c>
      <c r="G50" s="58" t="s">
        <v>895</v>
      </c>
      <c r="H50" s="58" t="s">
        <v>812</v>
      </c>
      <c r="I50" s="58" t="s">
        <v>812</v>
      </c>
      <c r="K50" s="58" t="s">
        <v>392</v>
      </c>
      <c r="M50" s="58" t="s">
        <v>243</v>
      </c>
      <c r="N50" s="58">
        <v>5</v>
      </c>
      <c r="P50" s="58">
        <v>492</v>
      </c>
    </row>
    <row r="51" spans="1:16" s="58" customFormat="1" ht="18" customHeight="1">
      <c r="A51" s="58">
        <v>50</v>
      </c>
      <c r="B51" s="58">
        <v>136</v>
      </c>
      <c r="C51" s="58">
        <v>44</v>
      </c>
      <c r="D51" s="58">
        <v>597</v>
      </c>
      <c r="E51" s="58" t="s">
        <v>137</v>
      </c>
      <c r="F51" s="58" t="s">
        <v>395</v>
      </c>
      <c r="G51" s="58" t="s">
        <v>895</v>
      </c>
      <c r="H51" s="58" t="s">
        <v>396</v>
      </c>
      <c r="I51" s="58" t="s">
        <v>897</v>
      </c>
      <c r="K51" s="58" t="s">
        <v>392</v>
      </c>
      <c r="M51" s="58" t="s">
        <v>243</v>
      </c>
      <c r="N51" s="58">
        <v>5</v>
      </c>
      <c r="P51" s="58">
        <v>593</v>
      </c>
    </row>
    <row r="52" spans="1:16" s="58" customFormat="1" ht="18" customHeight="1">
      <c r="A52" s="58">
        <v>51</v>
      </c>
      <c r="B52" s="58">
        <v>932</v>
      </c>
      <c r="C52" s="58">
        <v>44</v>
      </c>
      <c r="D52" s="58">
        <v>631</v>
      </c>
      <c r="E52" s="58" t="s">
        <v>138</v>
      </c>
      <c r="F52" s="58" t="s">
        <v>395</v>
      </c>
      <c r="G52" s="58" t="s">
        <v>895</v>
      </c>
      <c r="H52" s="58" t="s">
        <v>2944</v>
      </c>
      <c r="I52" s="58" t="s">
        <v>909</v>
      </c>
      <c r="K52" s="58" t="s">
        <v>392</v>
      </c>
      <c r="M52" s="58" t="s">
        <v>243</v>
      </c>
      <c r="N52" s="58">
        <v>5</v>
      </c>
      <c r="P52" s="58">
        <v>627</v>
      </c>
    </row>
    <row r="53" spans="1:16" s="58" customFormat="1" ht="18" customHeight="1">
      <c r="A53" s="58">
        <v>52</v>
      </c>
      <c r="B53" s="58">
        <v>936</v>
      </c>
      <c r="C53" s="58">
        <v>688</v>
      </c>
      <c r="D53" s="58">
        <v>669</v>
      </c>
      <c r="E53" s="58" t="s">
        <v>136</v>
      </c>
      <c r="F53" s="58" t="s">
        <v>470</v>
      </c>
      <c r="G53" s="58" t="s">
        <v>895</v>
      </c>
      <c r="H53" s="58" t="s">
        <v>194</v>
      </c>
      <c r="I53" s="58" t="s">
        <v>907</v>
      </c>
      <c r="K53" s="58" t="s">
        <v>392</v>
      </c>
      <c r="M53" s="58" t="s">
        <v>243</v>
      </c>
      <c r="N53" s="58">
        <v>5</v>
      </c>
      <c r="P53" s="58">
        <v>665</v>
      </c>
    </row>
    <row r="54" spans="1:16" s="58" customFormat="1" ht="18" customHeight="1">
      <c r="A54" s="58">
        <v>53</v>
      </c>
      <c r="B54" s="58">
        <v>512</v>
      </c>
      <c r="C54" s="58">
        <v>556</v>
      </c>
      <c r="D54" s="58">
        <v>447</v>
      </c>
      <c r="E54" s="58" t="s">
        <v>761</v>
      </c>
      <c r="F54" s="58" t="s">
        <v>470</v>
      </c>
      <c r="G54" s="58" t="s">
        <v>895</v>
      </c>
      <c r="H54" s="58" t="s">
        <v>811</v>
      </c>
      <c r="I54" s="58" t="s">
        <v>811</v>
      </c>
      <c r="K54" s="58" t="s">
        <v>392</v>
      </c>
      <c r="M54" s="58" t="s">
        <v>243</v>
      </c>
      <c r="N54" s="58">
        <v>5</v>
      </c>
      <c r="P54" s="58">
        <v>443</v>
      </c>
    </row>
    <row r="55" spans="1:16" s="58" customFormat="1" ht="18" customHeight="1">
      <c r="A55" s="58">
        <v>54</v>
      </c>
      <c r="B55" s="58">
        <v>60</v>
      </c>
      <c r="C55" s="58">
        <v>10.44</v>
      </c>
      <c r="D55" s="58">
        <v>557</v>
      </c>
      <c r="E55" s="58" t="s">
        <v>390</v>
      </c>
      <c r="F55" s="58" t="s">
        <v>367</v>
      </c>
      <c r="G55" s="58" t="s">
        <v>368</v>
      </c>
      <c r="H55" s="58" t="s">
        <v>397</v>
      </c>
      <c r="K55" s="58" t="s">
        <v>392</v>
      </c>
      <c r="M55" s="58" t="s">
        <v>243</v>
      </c>
      <c r="P55" s="58">
        <v>553</v>
      </c>
    </row>
    <row r="56" spans="1:16" s="58" customFormat="1" ht="18" customHeight="1">
      <c r="A56" s="58">
        <v>55</v>
      </c>
      <c r="B56" s="58">
        <v>122</v>
      </c>
      <c r="C56" s="58">
        <v>6.13</v>
      </c>
      <c r="D56" s="58">
        <v>417</v>
      </c>
      <c r="E56" s="58" t="s">
        <v>29</v>
      </c>
      <c r="F56" s="58" t="s">
        <v>253</v>
      </c>
      <c r="G56" s="58" t="s">
        <v>368</v>
      </c>
      <c r="H56" s="58" t="s">
        <v>183</v>
      </c>
      <c r="K56" s="58" t="s">
        <v>388</v>
      </c>
      <c r="M56" s="58" t="s">
        <v>243</v>
      </c>
      <c r="P56" s="58">
        <v>382</v>
      </c>
    </row>
    <row r="57" spans="1:16" s="58" customFormat="1" ht="18" customHeight="1">
      <c r="A57" s="58">
        <v>56</v>
      </c>
      <c r="B57" s="58">
        <v>210</v>
      </c>
      <c r="C57" s="58">
        <v>380</v>
      </c>
      <c r="D57" s="58">
        <v>200</v>
      </c>
      <c r="E57" s="58" t="s">
        <v>122</v>
      </c>
      <c r="F57" s="58" t="s">
        <v>253</v>
      </c>
      <c r="G57" s="58" t="s">
        <v>368</v>
      </c>
      <c r="H57" s="58" t="s">
        <v>191</v>
      </c>
      <c r="K57" s="58" t="s">
        <v>392</v>
      </c>
      <c r="M57" s="58" t="s">
        <v>243</v>
      </c>
      <c r="P57" s="58">
        <v>196</v>
      </c>
    </row>
    <row r="58" spans="1:16" s="58" customFormat="1" ht="18" customHeight="1">
      <c r="A58" s="58">
        <v>57</v>
      </c>
      <c r="B58" s="58">
        <v>210</v>
      </c>
      <c r="C58" s="58">
        <v>30</v>
      </c>
      <c r="D58" s="58">
        <v>137</v>
      </c>
      <c r="E58" s="58" t="s">
        <v>1202</v>
      </c>
      <c r="F58" s="58" t="s">
        <v>253</v>
      </c>
      <c r="G58" s="58" t="s">
        <v>368</v>
      </c>
      <c r="H58" s="58" t="s">
        <v>1248</v>
      </c>
      <c r="K58" s="58" t="s">
        <v>388</v>
      </c>
      <c r="M58" s="58" t="s">
        <v>243</v>
      </c>
      <c r="P58" s="58">
        <v>133</v>
      </c>
    </row>
    <row r="59" spans="1:16" s="58" customFormat="1" ht="18" customHeight="1">
      <c r="A59" s="58">
        <v>58</v>
      </c>
      <c r="B59" s="58">
        <v>210</v>
      </c>
      <c r="C59" s="58">
        <v>200</v>
      </c>
      <c r="D59" s="58">
        <v>147</v>
      </c>
      <c r="E59" s="58" t="s">
        <v>1203</v>
      </c>
      <c r="F59" s="58" t="s">
        <v>253</v>
      </c>
      <c r="G59" s="58" t="s">
        <v>368</v>
      </c>
      <c r="H59" s="58" t="s">
        <v>1205</v>
      </c>
      <c r="K59" s="58" t="s">
        <v>388</v>
      </c>
      <c r="M59" s="58" t="s">
        <v>243</v>
      </c>
      <c r="P59" s="58">
        <v>143</v>
      </c>
    </row>
    <row r="60" spans="1:16" s="58" customFormat="1" ht="18" customHeight="1">
      <c r="A60" s="58">
        <v>59</v>
      </c>
      <c r="B60" s="58">
        <v>120</v>
      </c>
      <c r="C60" s="58">
        <v>470</v>
      </c>
      <c r="D60" s="58">
        <v>100</v>
      </c>
      <c r="E60" s="58" t="s">
        <v>87</v>
      </c>
      <c r="F60" s="58" t="s">
        <v>253</v>
      </c>
      <c r="G60" s="58" t="s">
        <v>368</v>
      </c>
      <c r="H60" s="58" t="s">
        <v>1</v>
      </c>
      <c r="K60" s="58" t="s">
        <v>392</v>
      </c>
      <c r="L60" s="58" t="s">
        <v>389</v>
      </c>
      <c r="M60" s="58" t="s">
        <v>243</v>
      </c>
      <c r="P60" s="58">
        <v>96</v>
      </c>
    </row>
    <row r="61" spans="1:16" s="58" customFormat="1" ht="18" customHeight="1">
      <c r="A61" s="58">
        <v>60</v>
      </c>
      <c r="B61" s="58">
        <v>290</v>
      </c>
      <c r="C61" s="58">
        <v>30</v>
      </c>
      <c r="D61" s="58">
        <v>597</v>
      </c>
      <c r="E61" s="58" t="s">
        <v>137</v>
      </c>
      <c r="F61" s="58" t="s">
        <v>395</v>
      </c>
      <c r="G61" s="58" t="s">
        <v>368</v>
      </c>
      <c r="H61" s="58" t="s">
        <v>396</v>
      </c>
      <c r="K61" s="58" t="s">
        <v>392</v>
      </c>
      <c r="M61" s="58" t="s">
        <v>243</v>
      </c>
      <c r="P61" s="58">
        <v>396</v>
      </c>
    </row>
    <row r="62" spans="1:16" s="58" customFormat="1" ht="18" customHeight="1">
      <c r="A62" s="58">
        <v>61</v>
      </c>
      <c r="B62" s="58">
        <v>580</v>
      </c>
      <c r="C62" s="58">
        <v>30</v>
      </c>
      <c r="D62" s="58">
        <v>597</v>
      </c>
      <c r="E62" s="58" t="s">
        <v>136</v>
      </c>
      <c r="F62" s="58" t="s">
        <v>395</v>
      </c>
      <c r="G62" s="58" t="s">
        <v>368</v>
      </c>
      <c r="H62" s="58" t="s">
        <v>194</v>
      </c>
      <c r="K62" s="58" t="s">
        <v>392</v>
      </c>
      <c r="M62" s="58" t="s">
        <v>243</v>
      </c>
      <c r="P62" s="58">
        <v>593</v>
      </c>
    </row>
    <row r="63" spans="1:16" s="58" customFormat="1" ht="18" customHeight="1">
      <c r="A63" s="58">
        <v>62</v>
      </c>
      <c r="B63" s="58">
        <v>37</v>
      </c>
      <c r="C63" s="58">
        <v>455.41</v>
      </c>
      <c r="D63" s="58">
        <v>107</v>
      </c>
      <c r="E63" s="58" t="s">
        <v>23</v>
      </c>
      <c r="F63" s="58" t="s">
        <v>253</v>
      </c>
      <c r="G63" s="58" t="s">
        <v>369</v>
      </c>
      <c r="H63" s="58" t="s">
        <v>1</v>
      </c>
      <c r="K63" s="58" t="s">
        <v>388</v>
      </c>
      <c r="L63" s="58" t="s">
        <v>389</v>
      </c>
      <c r="M63" s="58" t="s">
        <v>243</v>
      </c>
      <c r="P63" s="58">
        <v>46</v>
      </c>
    </row>
    <row r="64" spans="1:16" s="58" customFormat="1" ht="18" customHeight="1">
      <c r="A64" s="58">
        <v>63</v>
      </c>
      <c r="B64" s="58">
        <v>55</v>
      </c>
      <c r="C64" s="58">
        <v>1</v>
      </c>
      <c r="D64" s="58">
        <v>451</v>
      </c>
      <c r="E64" s="58" t="s">
        <v>390</v>
      </c>
      <c r="F64" s="58" t="s">
        <v>367</v>
      </c>
      <c r="G64" s="58" t="s">
        <v>369</v>
      </c>
      <c r="H64" s="58" t="s">
        <v>398</v>
      </c>
      <c r="K64" s="58" t="s">
        <v>392</v>
      </c>
      <c r="M64" s="58" t="s">
        <v>243</v>
      </c>
      <c r="P64" s="58">
        <v>496</v>
      </c>
    </row>
    <row r="65" spans="1:16" s="58" customFormat="1" ht="18" customHeight="1">
      <c r="A65" s="58">
        <v>64</v>
      </c>
      <c r="B65" s="58">
        <v>110</v>
      </c>
      <c r="C65" s="58">
        <v>10</v>
      </c>
      <c r="D65" s="58">
        <v>473</v>
      </c>
      <c r="E65" s="58" t="s">
        <v>29</v>
      </c>
      <c r="F65" s="58" t="s">
        <v>253</v>
      </c>
      <c r="G65" s="58" t="s">
        <v>369</v>
      </c>
      <c r="H65" s="58" t="s">
        <v>478</v>
      </c>
      <c r="K65" s="58" t="s">
        <v>388</v>
      </c>
      <c r="M65" s="58" t="s">
        <v>243</v>
      </c>
      <c r="P65" s="58">
        <v>376</v>
      </c>
    </row>
    <row r="66" spans="1:16" s="58" customFormat="1" ht="18" customHeight="1">
      <c r="A66" s="58">
        <v>65</v>
      </c>
      <c r="B66" s="58">
        <v>260</v>
      </c>
      <c r="C66" s="58">
        <v>30</v>
      </c>
      <c r="D66" s="58">
        <v>144</v>
      </c>
      <c r="E66" s="58" t="s">
        <v>1202</v>
      </c>
      <c r="F66" s="58" t="s">
        <v>253</v>
      </c>
      <c r="G66" s="58" t="s">
        <v>369</v>
      </c>
      <c r="H66" s="58" t="s">
        <v>1248</v>
      </c>
      <c r="K66" s="58" t="s">
        <v>388</v>
      </c>
      <c r="M66" s="58" t="s">
        <v>243</v>
      </c>
      <c r="P66" s="58">
        <v>140</v>
      </c>
    </row>
    <row r="67" spans="1:16" s="58" customFormat="1" ht="18" customHeight="1">
      <c r="A67" s="58">
        <v>66</v>
      </c>
      <c r="B67" s="58">
        <v>260</v>
      </c>
      <c r="C67" s="58">
        <v>180</v>
      </c>
      <c r="D67" s="58">
        <v>174</v>
      </c>
      <c r="E67" s="58" t="s">
        <v>1203</v>
      </c>
      <c r="F67" s="58" t="s">
        <v>253</v>
      </c>
      <c r="G67" s="58" t="s">
        <v>369</v>
      </c>
      <c r="H67" s="58" t="s">
        <v>1205</v>
      </c>
      <c r="K67" s="58" t="s">
        <v>388</v>
      </c>
      <c r="M67" s="58" t="s">
        <v>243</v>
      </c>
      <c r="P67" s="58">
        <v>170</v>
      </c>
    </row>
    <row r="68" spans="1:16" s="58" customFormat="1" ht="18" customHeight="1">
      <c r="A68" s="58">
        <v>67</v>
      </c>
      <c r="B68" s="58">
        <v>180</v>
      </c>
      <c r="C68" s="58">
        <v>30</v>
      </c>
      <c r="D68" s="58">
        <v>132</v>
      </c>
      <c r="E68" s="58" t="s">
        <v>106</v>
      </c>
      <c r="F68" s="58" t="s">
        <v>253</v>
      </c>
      <c r="G68" s="58" t="s">
        <v>369</v>
      </c>
      <c r="H68" s="58" t="s">
        <v>399</v>
      </c>
      <c r="K68" s="58" t="s">
        <v>392</v>
      </c>
      <c r="M68" s="58" t="s">
        <v>243</v>
      </c>
      <c r="P68" s="58">
        <v>128</v>
      </c>
    </row>
    <row r="69" spans="1:16" s="58" customFormat="1" ht="18" customHeight="1">
      <c r="A69" s="58">
        <v>68</v>
      </c>
      <c r="B69" s="58">
        <v>180</v>
      </c>
      <c r="C69" s="58">
        <v>170</v>
      </c>
      <c r="D69" s="58">
        <v>125</v>
      </c>
      <c r="E69" s="58" t="s">
        <v>112</v>
      </c>
      <c r="F69" s="58" t="s">
        <v>254</v>
      </c>
      <c r="G69" s="58" t="s">
        <v>369</v>
      </c>
      <c r="H69" s="58" t="s">
        <v>715</v>
      </c>
      <c r="I69" s="58" t="s">
        <v>715</v>
      </c>
      <c r="J69" s="58" t="s">
        <v>715</v>
      </c>
      <c r="K69" s="58" t="s">
        <v>392</v>
      </c>
      <c r="M69" s="58" t="s">
        <v>243</v>
      </c>
      <c r="P69" s="58">
        <v>121</v>
      </c>
    </row>
    <row r="70" spans="1:16" s="58" customFormat="1" ht="18" customHeight="1">
      <c r="A70" s="58">
        <v>69</v>
      </c>
      <c r="B70" s="58">
        <v>180</v>
      </c>
      <c r="C70" s="58">
        <v>310</v>
      </c>
      <c r="D70" s="58">
        <v>237</v>
      </c>
      <c r="E70" s="58" t="s">
        <v>125</v>
      </c>
      <c r="F70" s="58" t="s">
        <v>254</v>
      </c>
      <c r="G70" s="58" t="s">
        <v>369</v>
      </c>
      <c r="H70" s="58" t="s">
        <v>192</v>
      </c>
      <c r="J70" s="58" t="s">
        <v>192</v>
      </c>
      <c r="K70" s="58" t="s">
        <v>392</v>
      </c>
      <c r="M70" s="58" t="s">
        <v>243</v>
      </c>
      <c r="P70" s="58">
        <v>233</v>
      </c>
    </row>
    <row r="71" spans="1:16" s="58" customFormat="1" ht="18" customHeight="1">
      <c r="A71" s="58">
        <v>70</v>
      </c>
      <c r="B71" s="58">
        <v>110</v>
      </c>
      <c r="C71" s="58">
        <v>500</v>
      </c>
      <c r="D71" s="58">
        <v>206</v>
      </c>
      <c r="E71" s="58" t="s">
        <v>25</v>
      </c>
      <c r="F71" s="58" t="s">
        <v>253</v>
      </c>
      <c r="G71" s="58" t="s">
        <v>369</v>
      </c>
      <c r="H71" s="58" t="s">
        <v>910</v>
      </c>
      <c r="K71" s="58" t="s">
        <v>388</v>
      </c>
      <c r="M71" s="58" t="s">
        <v>243</v>
      </c>
      <c r="P71" s="58">
        <v>202</v>
      </c>
    </row>
    <row r="72" spans="1:16" s="58" customFormat="1" ht="18" customHeight="1">
      <c r="A72" s="58">
        <v>71</v>
      </c>
      <c r="B72" s="58">
        <v>330</v>
      </c>
      <c r="C72" s="58">
        <v>30</v>
      </c>
      <c r="D72" s="58">
        <v>627</v>
      </c>
      <c r="E72" s="58" t="s">
        <v>137</v>
      </c>
      <c r="F72" s="58" t="s">
        <v>395</v>
      </c>
      <c r="G72" s="58" t="s">
        <v>369</v>
      </c>
      <c r="H72" s="58" t="s">
        <v>195</v>
      </c>
      <c r="K72" s="58" t="s">
        <v>392</v>
      </c>
      <c r="M72" s="58" t="s">
        <v>243</v>
      </c>
      <c r="P72" s="58">
        <v>396</v>
      </c>
    </row>
    <row r="73" spans="1:16" s="58" customFormat="1" ht="18" customHeight="1">
      <c r="A73" s="58">
        <v>72</v>
      </c>
      <c r="B73" s="58">
        <v>610</v>
      </c>
      <c r="C73" s="58">
        <v>30</v>
      </c>
      <c r="D73" s="58">
        <v>657</v>
      </c>
      <c r="E73" s="58" t="s">
        <v>173</v>
      </c>
      <c r="F73" s="58" t="s">
        <v>395</v>
      </c>
      <c r="G73" s="58" t="s">
        <v>369</v>
      </c>
      <c r="H73" s="58" t="s">
        <v>479</v>
      </c>
      <c r="K73" s="58" t="s">
        <v>392</v>
      </c>
      <c r="M73" s="58" t="s">
        <v>243</v>
      </c>
      <c r="P73" s="58">
        <v>596</v>
      </c>
    </row>
    <row r="74" spans="1:16" s="58" customFormat="1" ht="18" customHeight="1">
      <c r="A74" s="58">
        <v>73</v>
      </c>
      <c r="B74" s="58">
        <v>50</v>
      </c>
      <c r="C74" s="58">
        <v>0</v>
      </c>
      <c r="D74" s="58">
        <v>417</v>
      </c>
      <c r="E74" s="58" t="s">
        <v>390</v>
      </c>
      <c r="F74" s="58" t="s">
        <v>367</v>
      </c>
      <c r="G74" s="58" t="s">
        <v>370</v>
      </c>
      <c r="H74" s="58" t="s">
        <v>480</v>
      </c>
      <c r="K74" s="58" t="s">
        <v>392</v>
      </c>
      <c r="M74" s="58" t="s">
        <v>243</v>
      </c>
      <c r="P74" s="58">
        <v>413</v>
      </c>
    </row>
    <row r="75" spans="1:16" s="58" customFormat="1" ht="18" customHeight="1">
      <c r="A75" s="58">
        <v>74</v>
      </c>
      <c r="B75" s="58">
        <v>30</v>
      </c>
      <c r="C75" s="58">
        <v>430</v>
      </c>
      <c r="D75" s="58">
        <v>75</v>
      </c>
      <c r="E75" s="58" t="s">
        <v>23</v>
      </c>
      <c r="F75" s="58" t="s">
        <v>253</v>
      </c>
      <c r="G75" s="58" t="s">
        <v>370</v>
      </c>
      <c r="H75" s="58" t="s">
        <v>1</v>
      </c>
      <c r="K75" s="58" t="s">
        <v>388</v>
      </c>
      <c r="L75" s="58" t="s">
        <v>389</v>
      </c>
      <c r="M75" s="58" t="s">
        <v>243</v>
      </c>
      <c r="P75" s="58">
        <v>71</v>
      </c>
    </row>
    <row r="76" spans="1:16" s="58" customFormat="1" ht="18" customHeight="1">
      <c r="A76" s="58">
        <v>75</v>
      </c>
      <c r="B76" s="58">
        <v>110</v>
      </c>
      <c r="C76" s="58">
        <v>10</v>
      </c>
      <c r="D76" s="58">
        <v>380</v>
      </c>
      <c r="E76" s="58" t="s">
        <v>29</v>
      </c>
      <c r="F76" s="58" t="s">
        <v>253</v>
      </c>
      <c r="G76" s="58" t="s">
        <v>370</v>
      </c>
      <c r="H76" s="58" t="s">
        <v>481</v>
      </c>
      <c r="K76" s="58" t="s">
        <v>388</v>
      </c>
      <c r="M76" s="58" t="s">
        <v>243</v>
      </c>
      <c r="P76" s="58">
        <v>376</v>
      </c>
    </row>
    <row r="77" spans="1:16" s="58" customFormat="1" ht="18" customHeight="1">
      <c r="A77" s="58">
        <v>76</v>
      </c>
      <c r="B77" s="58">
        <v>270</v>
      </c>
      <c r="C77" s="58">
        <v>10</v>
      </c>
      <c r="D77" s="58">
        <v>177</v>
      </c>
      <c r="E77" s="58" t="s">
        <v>1202</v>
      </c>
      <c r="F77" s="58" t="s">
        <v>253</v>
      </c>
      <c r="G77" s="58" t="s">
        <v>370</v>
      </c>
      <c r="H77" s="58" t="s">
        <v>1248</v>
      </c>
      <c r="K77" s="58" t="s">
        <v>388</v>
      </c>
      <c r="M77" s="58" t="s">
        <v>243</v>
      </c>
      <c r="P77" s="58">
        <v>173</v>
      </c>
    </row>
    <row r="78" spans="1:16" s="58" customFormat="1" ht="18" customHeight="1">
      <c r="A78" s="58">
        <v>77</v>
      </c>
      <c r="B78" s="58">
        <v>270</v>
      </c>
      <c r="C78" s="58">
        <v>210</v>
      </c>
      <c r="D78" s="58">
        <v>177</v>
      </c>
      <c r="E78" s="58" t="s">
        <v>1203</v>
      </c>
      <c r="F78" s="58" t="s">
        <v>253</v>
      </c>
      <c r="G78" s="58" t="s">
        <v>370</v>
      </c>
      <c r="H78" s="58" t="s">
        <v>1205</v>
      </c>
      <c r="K78" s="58" t="s">
        <v>388</v>
      </c>
      <c r="M78" s="58" t="s">
        <v>243</v>
      </c>
      <c r="P78" s="58">
        <v>173</v>
      </c>
    </row>
    <row r="79" spans="1:16" s="58" customFormat="1" ht="18" customHeight="1">
      <c r="A79" s="58">
        <v>78</v>
      </c>
      <c r="B79" s="58">
        <v>200</v>
      </c>
      <c r="C79" s="58">
        <v>10</v>
      </c>
      <c r="D79" s="58">
        <v>176</v>
      </c>
      <c r="E79" s="58" t="s">
        <v>106</v>
      </c>
      <c r="F79" s="58" t="s">
        <v>253</v>
      </c>
      <c r="G79" s="58" t="s">
        <v>370</v>
      </c>
      <c r="H79" s="58" t="s">
        <v>399</v>
      </c>
      <c r="K79" s="58" t="s">
        <v>392</v>
      </c>
      <c r="M79" s="58" t="s">
        <v>243</v>
      </c>
      <c r="P79" s="58">
        <v>141</v>
      </c>
    </row>
    <row r="80" spans="1:16" s="58" customFormat="1" ht="18" customHeight="1">
      <c r="A80" s="58">
        <v>79</v>
      </c>
      <c r="B80" s="58">
        <v>200</v>
      </c>
      <c r="C80" s="58">
        <v>200</v>
      </c>
      <c r="D80" s="58">
        <v>100</v>
      </c>
      <c r="E80" s="58" t="s">
        <v>111</v>
      </c>
      <c r="F80" s="58" t="s">
        <v>254</v>
      </c>
      <c r="G80" s="58" t="s">
        <v>370</v>
      </c>
      <c r="H80" s="58" t="s">
        <v>81</v>
      </c>
      <c r="J80" s="58" t="s">
        <v>623</v>
      </c>
      <c r="K80" s="58" t="s">
        <v>392</v>
      </c>
      <c r="M80" s="58" t="s">
        <v>243</v>
      </c>
      <c r="P80" s="58">
        <v>96</v>
      </c>
    </row>
    <row r="81" spans="1:16" s="58" customFormat="1" ht="18" customHeight="1">
      <c r="A81" s="58">
        <v>80</v>
      </c>
      <c r="B81" s="58">
        <v>200</v>
      </c>
      <c r="C81" s="58">
        <v>320</v>
      </c>
      <c r="D81" s="58">
        <v>157</v>
      </c>
      <c r="E81" s="58" t="s">
        <v>112</v>
      </c>
      <c r="F81" s="58" t="s">
        <v>254</v>
      </c>
      <c r="G81" s="58" t="s">
        <v>370</v>
      </c>
      <c r="H81" s="58" t="s">
        <v>715</v>
      </c>
      <c r="I81" s="58" t="s">
        <v>715</v>
      </c>
      <c r="J81" s="58" t="s">
        <v>715</v>
      </c>
      <c r="K81" s="58" t="s">
        <v>392</v>
      </c>
      <c r="M81" s="58" t="s">
        <v>243</v>
      </c>
      <c r="P81" s="58">
        <v>153</v>
      </c>
    </row>
    <row r="82" spans="1:16" s="58" customFormat="1" ht="18" customHeight="1">
      <c r="A82" s="58">
        <v>81</v>
      </c>
      <c r="B82" s="58">
        <v>350</v>
      </c>
      <c r="C82" s="58">
        <v>10</v>
      </c>
      <c r="D82" s="58">
        <v>507</v>
      </c>
      <c r="E82" s="58" t="s">
        <v>137</v>
      </c>
      <c r="F82" s="58" t="s">
        <v>395</v>
      </c>
      <c r="G82" s="58" t="s">
        <v>370</v>
      </c>
      <c r="H82" s="58" t="s">
        <v>195</v>
      </c>
      <c r="K82" s="58" t="s">
        <v>392</v>
      </c>
      <c r="M82" s="58" t="s">
        <v>243</v>
      </c>
      <c r="P82" s="58">
        <v>396</v>
      </c>
    </row>
    <row r="83" spans="1:16" s="58" customFormat="1" ht="18" customHeight="1">
      <c r="A83" s="58">
        <v>82</v>
      </c>
      <c r="B83" s="58">
        <v>50</v>
      </c>
      <c r="C83" s="58">
        <v>10</v>
      </c>
      <c r="D83" s="58">
        <v>599.43799999999999</v>
      </c>
      <c r="E83" s="58" t="s">
        <v>390</v>
      </c>
      <c r="F83" s="58" t="s">
        <v>367</v>
      </c>
      <c r="G83" s="58" t="s">
        <v>400</v>
      </c>
      <c r="H83" s="58" t="s">
        <v>401</v>
      </c>
      <c r="K83" s="58" t="s">
        <v>392</v>
      </c>
      <c r="M83" s="58" t="s">
        <v>243</v>
      </c>
      <c r="P83" s="58">
        <v>564.44000000000005</v>
      </c>
    </row>
    <row r="84" spans="1:16" s="58" customFormat="1" ht="18" customHeight="1">
      <c r="A84" s="58">
        <v>83</v>
      </c>
      <c r="B84" s="58">
        <v>110</v>
      </c>
      <c r="C84" s="58">
        <v>430</v>
      </c>
      <c r="D84" s="58">
        <v>90.440340000000006</v>
      </c>
      <c r="E84" s="58" t="s">
        <v>24</v>
      </c>
      <c r="F84" s="58" t="s">
        <v>253</v>
      </c>
      <c r="G84" s="58" t="s">
        <v>400</v>
      </c>
      <c r="H84" s="58" t="s">
        <v>471</v>
      </c>
      <c r="K84" s="58" t="s">
        <v>388</v>
      </c>
      <c r="L84" s="58" t="s">
        <v>389</v>
      </c>
      <c r="M84" s="58" t="s">
        <v>243</v>
      </c>
      <c r="P84" s="58">
        <v>86.44</v>
      </c>
    </row>
    <row r="85" spans="1:16" s="58" customFormat="1" ht="18" customHeight="1">
      <c r="A85" s="58">
        <v>84</v>
      </c>
      <c r="B85" s="58">
        <v>110</v>
      </c>
      <c r="C85" s="58">
        <v>340</v>
      </c>
      <c r="D85" s="58">
        <v>92.727239999999995</v>
      </c>
      <c r="E85" s="58" t="s">
        <v>23</v>
      </c>
      <c r="F85" s="58" t="s">
        <v>253</v>
      </c>
      <c r="G85" s="58" t="s">
        <v>400</v>
      </c>
      <c r="H85" s="58" t="s">
        <v>1</v>
      </c>
      <c r="K85" s="58" t="s">
        <v>388</v>
      </c>
      <c r="L85" s="58" t="s">
        <v>389</v>
      </c>
      <c r="M85" s="58" t="s">
        <v>243</v>
      </c>
      <c r="P85" s="58">
        <v>88.73</v>
      </c>
    </row>
    <row r="86" spans="1:16" s="58" customFormat="1" ht="18" customHeight="1">
      <c r="A86" s="58">
        <v>85</v>
      </c>
      <c r="B86" s="58">
        <v>110</v>
      </c>
      <c r="C86" s="58">
        <v>10</v>
      </c>
      <c r="D86" s="58">
        <v>321.71899999999999</v>
      </c>
      <c r="E86" s="58" t="s">
        <v>29</v>
      </c>
      <c r="F86" s="58" t="s">
        <v>253</v>
      </c>
      <c r="G86" s="58" t="s">
        <v>400</v>
      </c>
      <c r="H86" s="58" t="s">
        <v>402</v>
      </c>
      <c r="K86" s="58" t="s">
        <v>388</v>
      </c>
      <c r="M86" s="58" t="s">
        <v>243</v>
      </c>
      <c r="P86" s="58">
        <v>317.72000000000003</v>
      </c>
    </row>
    <row r="87" spans="1:16" s="58" customFormat="1" ht="18" customHeight="1">
      <c r="A87" s="58">
        <v>86</v>
      </c>
      <c r="B87" s="58">
        <v>180</v>
      </c>
      <c r="C87" s="58">
        <v>310</v>
      </c>
      <c r="D87" s="58">
        <v>100</v>
      </c>
      <c r="E87" s="58" t="s">
        <v>111</v>
      </c>
      <c r="F87" s="58" t="s">
        <v>254</v>
      </c>
      <c r="G87" s="58" t="s">
        <v>400</v>
      </c>
      <c r="H87" s="58" t="s">
        <v>81</v>
      </c>
      <c r="J87" s="58" t="s">
        <v>623</v>
      </c>
      <c r="K87" s="58" t="s">
        <v>392</v>
      </c>
      <c r="M87" s="58" t="s">
        <v>243</v>
      </c>
      <c r="P87" s="58">
        <v>96</v>
      </c>
    </row>
    <row r="88" spans="1:16" s="58" customFormat="1" ht="18" customHeight="1">
      <c r="A88" s="58">
        <v>87</v>
      </c>
      <c r="B88" s="58">
        <v>180</v>
      </c>
      <c r="C88" s="58">
        <v>10</v>
      </c>
      <c r="D88" s="58">
        <v>100</v>
      </c>
      <c r="E88" s="58" t="s">
        <v>257</v>
      </c>
      <c r="F88" s="58" t="s">
        <v>254</v>
      </c>
      <c r="G88" s="58" t="s">
        <v>400</v>
      </c>
      <c r="H88" s="58" t="s">
        <v>261</v>
      </c>
      <c r="J88" s="58" t="s">
        <v>261</v>
      </c>
      <c r="K88" s="58" t="s">
        <v>388</v>
      </c>
      <c r="M88" s="58" t="s">
        <v>243</v>
      </c>
      <c r="P88" s="58">
        <v>96</v>
      </c>
    </row>
    <row r="89" spans="1:16" s="58" customFormat="1" ht="18" customHeight="1">
      <c r="A89" s="58">
        <v>88</v>
      </c>
      <c r="B89" s="58">
        <v>180</v>
      </c>
      <c r="C89" s="58">
        <v>140</v>
      </c>
      <c r="D89" s="58">
        <v>157</v>
      </c>
      <c r="E89" s="58" t="s">
        <v>112</v>
      </c>
      <c r="F89" s="58" t="s">
        <v>254</v>
      </c>
      <c r="G89" s="58" t="s">
        <v>400</v>
      </c>
      <c r="H89" s="58" t="s">
        <v>715</v>
      </c>
      <c r="I89" s="58" t="s">
        <v>715</v>
      </c>
      <c r="J89" s="58" t="s">
        <v>715</v>
      </c>
      <c r="K89" s="58" t="s">
        <v>392</v>
      </c>
      <c r="M89" s="58" t="s">
        <v>243</v>
      </c>
      <c r="P89" s="58">
        <v>153</v>
      </c>
    </row>
    <row r="90" spans="1:16" s="58" customFormat="1" ht="18" customHeight="1">
      <c r="A90" s="58">
        <v>89</v>
      </c>
      <c r="B90" s="58">
        <v>180</v>
      </c>
      <c r="C90" s="58">
        <v>420</v>
      </c>
      <c r="D90" s="58">
        <v>100</v>
      </c>
      <c r="E90" s="58" t="s">
        <v>113</v>
      </c>
      <c r="F90" s="58" t="s">
        <v>254</v>
      </c>
      <c r="G90" s="58" t="s">
        <v>400</v>
      </c>
      <c r="H90" s="58" t="s">
        <v>5</v>
      </c>
      <c r="J90" s="58" t="s">
        <v>474</v>
      </c>
      <c r="K90" s="58" t="s">
        <v>392</v>
      </c>
      <c r="M90" s="58" t="s">
        <v>243</v>
      </c>
      <c r="P90" s="58">
        <v>96</v>
      </c>
    </row>
    <row r="91" spans="1:16" s="58" customFormat="1" ht="18" customHeight="1">
      <c r="A91" s="58">
        <v>90</v>
      </c>
      <c r="B91" s="58">
        <v>248.55</v>
      </c>
      <c r="C91" s="58">
        <v>10.28</v>
      </c>
      <c r="D91" s="58">
        <v>125</v>
      </c>
      <c r="E91" s="58" t="s">
        <v>45</v>
      </c>
      <c r="F91" s="58" t="s">
        <v>253</v>
      </c>
      <c r="G91" s="58" t="s">
        <v>400</v>
      </c>
      <c r="H91" s="58" t="s">
        <v>11</v>
      </c>
      <c r="K91" s="58" t="s">
        <v>388</v>
      </c>
      <c r="L91" s="58" t="s">
        <v>389</v>
      </c>
      <c r="M91" s="58" t="s">
        <v>243</v>
      </c>
      <c r="P91" s="58">
        <v>121</v>
      </c>
    </row>
    <row r="92" spans="1:16" s="58" customFormat="1" ht="18" customHeight="1">
      <c r="A92" s="58">
        <v>91</v>
      </c>
      <c r="B92" s="58">
        <v>251.05</v>
      </c>
      <c r="C92" s="58">
        <v>150</v>
      </c>
      <c r="D92" s="58">
        <v>125</v>
      </c>
      <c r="E92" s="58" t="s">
        <v>46</v>
      </c>
      <c r="F92" s="58" t="s">
        <v>253</v>
      </c>
      <c r="G92" s="58" t="s">
        <v>400</v>
      </c>
      <c r="H92" s="58" t="s">
        <v>12</v>
      </c>
      <c r="K92" s="58" t="s">
        <v>388</v>
      </c>
      <c r="L92" s="58" t="s">
        <v>389</v>
      </c>
      <c r="M92" s="58" t="s">
        <v>243</v>
      </c>
      <c r="P92" s="58">
        <v>121</v>
      </c>
    </row>
    <row r="93" spans="1:16" s="58" customFormat="1" ht="18" customHeight="1">
      <c r="A93" s="58">
        <v>92</v>
      </c>
      <c r="B93" s="58">
        <v>250</v>
      </c>
      <c r="C93" s="58">
        <v>300</v>
      </c>
      <c r="D93" s="58">
        <v>75</v>
      </c>
      <c r="E93" s="58" t="s">
        <v>47</v>
      </c>
      <c r="F93" s="58" t="s">
        <v>253</v>
      </c>
      <c r="G93" s="58" t="s">
        <v>400</v>
      </c>
      <c r="H93" s="58" t="s">
        <v>263</v>
      </c>
      <c r="K93" s="58" t="s">
        <v>388</v>
      </c>
      <c r="M93" s="58" t="s">
        <v>243</v>
      </c>
      <c r="P93" s="58">
        <v>71</v>
      </c>
    </row>
    <row r="94" spans="1:16" s="58" customFormat="1" ht="18" customHeight="1">
      <c r="A94" s="58">
        <v>93</v>
      </c>
      <c r="B94" s="58">
        <v>250</v>
      </c>
      <c r="C94" s="58">
        <v>380</v>
      </c>
      <c r="D94" s="58">
        <v>75</v>
      </c>
      <c r="E94" s="58" t="s">
        <v>50</v>
      </c>
      <c r="F94" s="58" t="s">
        <v>253</v>
      </c>
      <c r="G94" s="58" t="s">
        <v>400</v>
      </c>
      <c r="H94" s="58" t="s">
        <v>264</v>
      </c>
      <c r="K94" s="58" t="s">
        <v>388</v>
      </c>
      <c r="M94" s="58" t="s">
        <v>243</v>
      </c>
      <c r="P94" s="58">
        <v>71</v>
      </c>
    </row>
    <row r="95" spans="1:16" s="58" customFormat="1" ht="18" customHeight="1">
      <c r="A95" s="58">
        <v>94</v>
      </c>
      <c r="B95" s="58">
        <v>390</v>
      </c>
      <c r="C95" s="58">
        <v>10</v>
      </c>
      <c r="D95" s="58">
        <v>125</v>
      </c>
      <c r="E95" s="58" t="s">
        <v>51</v>
      </c>
      <c r="F95" s="58" t="s">
        <v>253</v>
      </c>
      <c r="G95" s="58" t="s">
        <v>400</v>
      </c>
      <c r="H95" s="58" t="s">
        <v>557</v>
      </c>
      <c r="K95" s="58" t="s">
        <v>388</v>
      </c>
      <c r="M95" s="58" t="s">
        <v>243</v>
      </c>
      <c r="P95" s="58">
        <v>121</v>
      </c>
    </row>
    <row r="96" spans="1:16" s="58" customFormat="1" ht="18" customHeight="1">
      <c r="A96" s="58">
        <v>95</v>
      </c>
      <c r="B96" s="58">
        <v>390</v>
      </c>
      <c r="C96" s="58">
        <v>150</v>
      </c>
      <c r="D96" s="58">
        <v>142</v>
      </c>
      <c r="E96" s="58" t="s">
        <v>52</v>
      </c>
      <c r="F96" s="58" t="s">
        <v>253</v>
      </c>
      <c r="G96" s="58" t="s">
        <v>400</v>
      </c>
      <c r="H96" s="58" t="s">
        <v>558</v>
      </c>
      <c r="K96" s="58" t="s">
        <v>388</v>
      </c>
      <c r="M96" s="58" t="s">
        <v>243</v>
      </c>
      <c r="P96" s="58">
        <v>138</v>
      </c>
    </row>
    <row r="97" spans="1:16" s="58" customFormat="1" ht="18" customHeight="1">
      <c r="A97" s="58">
        <v>96</v>
      </c>
      <c r="B97" s="58">
        <v>390</v>
      </c>
      <c r="C97" s="58">
        <v>300</v>
      </c>
      <c r="D97" s="58">
        <v>178</v>
      </c>
      <c r="E97" s="58" t="s">
        <v>53</v>
      </c>
      <c r="F97" s="58" t="s">
        <v>253</v>
      </c>
      <c r="G97" s="58" t="s">
        <v>400</v>
      </c>
      <c r="H97" s="58" t="s">
        <v>266</v>
      </c>
      <c r="K97" s="58" t="s">
        <v>388</v>
      </c>
      <c r="M97" s="58" t="s">
        <v>243</v>
      </c>
      <c r="P97" s="58">
        <v>174</v>
      </c>
    </row>
    <row r="98" spans="1:16" s="58" customFormat="1" ht="18" customHeight="1">
      <c r="A98" s="58">
        <v>97</v>
      </c>
      <c r="B98" s="58">
        <v>320</v>
      </c>
      <c r="C98" s="58">
        <v>10</v>
      </c>
      <c r="D98" s="58">
        <v>125</v>
      </c>
      <c r="E98" s="58" t="s">
        <v>1202</v>
      </c>
      <c r="F98" s="58" t="s">
        <v>253</v>
      </c>
      <c r="G98" s="58" t="s">
        <v>400</v>
      </c>
      <c r="H98" s="58" t="s">
        <v>1248</v>
      </c>
      <c r="K98" s="58" t="s">
        <v>388</v>
      </c>
      <c r="M98" s="58" t="s">
        <v>243</v>
      </c>
      <c r="P98" s="58">
        <v>121</v>
      </c>
    </row>
    <row r="99" spans="1:16" s="58" customFormat="1" ht="18" customHeight="1">
      <c r="A99" s="58">
        <v>98</v>
      </c>
      <c r="B99" s="58">
        <v>320</v>
      </c>
      <c r="C99" s="58">
        <v>150</v>
      </c>
      <c r="D99" s="58">
        <v>125</v>
      </c>
      <c r="E99" s="58" t="s">
        <v>1203</v>
      </c>
      <c r="F99" s="58" t="s">
        <v>253</v>
      </c>
      <c r="G99" s="58" t="s">
        <v>400</v>
      </c>
      <c r="H99" s="58" t="s">
        <v>1205</v>
      </c>
      <c r="K99" s="58" t="s">
        <v>388</v>
      </c>
      <c r="M99" s="58" t="s">
        <v>243</v>
      </c>
      <c r="P99" s="58">
        <v>121</v>
      </c>
    </row>
    <row r="100" spans="1:16" s="58" customFormat="1" ht="18" customHeight="1">
      <c r="A100" s="58">
        <v>99</v>
      </c>
      <c r="B100" s="58">
        <v>460</v>
      </c>
      <c r="C100" s="58">
        <v>10</v>
      </c>
      <c r="D100" s="58">
        <v>182</v>
      </c>
      <c r="E100" s="58" t="s">
        <v>44</v>
      </c>
      <c r="F100" s="58" t="s">
        <v>253</v>
      </c>
      <c r="G100" s="58" t="s">
        <v>400</v>
      </c>
      <c r="H100" s="58" t="s">
        <v>265</v>
      </c>
      <c r="K100" s="58" t="s">
        <v>388</v>
      </c>
      <c r="M100" s="58" t="s">
        <v>243</v>
      </c>
      <c r="P100" s="58">
        <v>178</v>
      </c>
    </row>
    <row r="101" spans="1:16" s="58" customFormat="1" ht="18" customHeight="1">
      <c r="A101" s="58">
        <v>100</v>
      </c>
      <c r="B101" s="58">
        <v>460</v>
      </c>
      <c r="C101" s="58">
        <v>200</v>
      </c>
      <c r="D101" s="58">
        <v>182</v>
      </c>
      <c r="E101" s="58" t="s">
        <v>750</v>
      </c>
      <c r="F101" s="58" t="s">
        <v>254</v>
      </c>
      <c r="G101" s="58" t="s">
        <v>400</v>
      </c>
      <c r="H101" s="58" t="s">
        <v>767</v>
      </c>
      <c r="J101" s="58" t="s">
        <v>767</v>
      </c>
      <c r="K101" s="58" t="s">
        <v>392</v>
      </c>
      <c r="M101" s="58" t="s">
        <v>243</v>
      </c>
      <c r="P101" s="58">
        <v>178</v>
      </c>
    </row>
    <row r="102" spans="1:16" s="58" customFormat="1" ht="18" customHeight="1">
      <c r="A102" s="58">
        <v>101</v>
      </c>
      <c r="B102" s="58">
        <v>540</v>
      </c>
      <c r="C102" s="58">
        <v>10</v>
      </c>
      <c r="D102" s="58">
        <v>619</v>
      </c>
      <c r="E102" s="58" t="s">
        <v>137</v>
      </c>
      <c r="F102" s="58" t="s">
        <v>395</v>
      </c>
      <c r="G102" s="58" t="s">
        <v>400</v>
      </c>
      <c r="H102" s="58" t="s">
        <v>396</v>
      </c>
      <c r="K102" s="58" t="s">
        <v>392</v>
      </c>
      <c r="M102" s="58" t="s">
        <v>243</v>
      </c>
      <c r="P102" s="58">
        <v>468</v>
      </c>
    </row>
    <row r="103" spans="1:16" s="58" customFormat="1" ht="18" customHeight="1">
      <c r="A103" s="58">
        <v>102</v>
      </c>
      <c r="B103" s="58">
        <v>830</v>
      </c>
      <c r="C103" s="58">
        <v>10</v>
      </c>
      <c r="D103" s="58">
        <v>619</v>
      </c>
      <c r="E103" s="58" t="s">
        <v>138</v>
      </c>
      <c r="F103" s="58" t="s">
        <v>395</v>
      </c>
      <c r="G103" s="58" t="s">
        <v>400</v>
      </c>
      <c r="H103" s="58" t="s">
        <v>908</v>
      </c>
      <c r="K103" s="58" t="s">
        <v>392</v>
      </c>
      <c r="M103" s="58" t="s">
        <v>243</v>
      </c>
      <c r="P103" s="58">
        <v>478</v>
      </c>
    </row>
    <row r="104" spans="1:16" s="58" customFormat="1" ht="18" customHeight="1">
      <c r="A104" s="58">
        <v>103</v>
      </c>
      <c r="B104" s="58">
        <v>4</v>
      </c>
      <c r="C104" s="58">
        <v>332</v>
      </c>
      <c r="D104" s="58">
        <v>92</v>
      </c>
      <c r="E104" s="58" t="s">
        <v>24</v>
      </c>
      <c r="F104" s="58" t="s">
        <v>253</v>
      </c>
      <c r="G104" s="58" t="s">
        <v>2945</v>
      </c>
      <c r="H104" s="58" t="s">
        <v>471</v>
      </c>
      <c r="I104" s="58" t="s">
        <v>471</v>
      </c>
      <c r="K104" s="58" t="s">
        <v>388</v>
      </c>
      <c r="L104" s="58" t="s">
        <v>389</v>
      </c>
      <c r="M104" s="58" t="s">
        <v>243</v>
      </c>
    </row>
    <row r="105" spans="1:16" s="58" customFormat="1" ht="18" customHeight="1">
      <c r="A105" s="58">
        <v>104</v>
      </c>
      <c r="B105" s="58">
        <v>72</v>
      </c>
      <c r="C105" s="58">
        <v>44</v>
      </c>
      <c r="D105" s="58">
        <v>477</v>
      </c>
      <c r="E105" s="58" t="s">
        <v>29</v>
      </c>
      <c r="F105" s="58" t="s">
        <v>253</v>
      </c>
      <c r="G105" s="58" t="s">
        <v>2945</v>
      </c>
      <c r="H105" s="58" t="s">
        <v>2946</v>
      </c>
      <c r="I105" s="58" t="s">
        <v>2947</v>
      </c>
      <c r="K105" s="58" t="s">
        <v>388</v>
      </c>
      <c r="M105" s="58" t="s">
        <v>243</v>
      </c>
    </row>
    <row r="106" spans="1:16" s="58" customFormat="1" ht="18" customHeight="1">
      <c r="A106" s="58">
        <v>105</v>
      </c>
      <c r="B106" s="58">
        <v>140</v>
      </c>
      <c r="C106" s="58">
        <v>44</v>
      </c>
      <c r="D106" s="58">
        <v>148</v>
      </c>
      <c r="E106" s="58" t="s">
        <v>126</v>
      </c>
      <c r="F106" s="58" t="s">
        <v>254</v>
      </c>
      <c r="G106" s="58" t="s">
        <v>2945</v>
      </c>
      <c r="H106" s="58" t="s">
        <v>2948</v>
      </c>
      <c r="I106" s="58" t="s">
        <v>2948</v>
      </c>
      <c r="J106" s="58" t="s">
        <v>2948</v>
      </c>
      <c r="K106" s="58" t="s">
        <v>392</v>
      </c>
      <c r="M106" s="58" t="s">
        <v>243</v>
      </c>
    </row>
    <row r="107" spans="1:16" s="58" customFormat="1" ht="18" customHeight="1">
      <c r="A107" s="58">
        <v>106</v>
      </c>
      <c r="B107" s="58">
        <v>140</v>
      </c>
      <c r="C107" s="58">
        <v>204</v>
      </c>
      <c r="D107" s="58">
        <v>148</v>
      </c>
      <c r="E107" s="58" t="s">
        <v>122</v>
      </c>
      <c r="F107" s="58" t="s">
        <v>254</v>
      </c>
      <c r="G107" s="58" t="s">
        <v>2945</v>
      </c>
      <c r="H107" s="58" t="s">
        <v>1388</v>
      </c>
      <c r="I107" s="58" t="s">
        <v>191</v>
      </c>
      <c r="J107" s="58" t="s">
        <v>1388</v>
      </c>
      <c r="K107" s="58" t="s">
        <v>392</v>
      </c>
      <c r="M107" s="58" t="s">
        <v>243</v>
      </c>
    </row>
    <row r="108" spans="1:16" s="58" customFormat="1" ht="18" customHeight="1">
      <c r="A108" s="58">
        <v>107</v>
      </c>
      <c r="B108" s="58">
        <v>140</v>
      </c>
      <c r="C108" s="58">
        <v>364</v>
      </c>
      <c r="D108" s="58">
        <v>148</v>
      </c>
      <c r="E108" s="58" t="s">
        <v>121</v>
      </c>
      <c r="F108" s="58" t="s">
        <v>254</v>
      </c>
      <c r="G108" s="58" t="s">
        <v>2945</v>
      </c>
      <c r="H108" s="58" t="s">
        <v>2949</v>
      </c>
      <c r="I108" s="58" t="s">
        <v>528</v>
      </c>
      <c r="J108" s="58" t="s">
        <v>528</v>
      </c>
      <c r="K108" s="58" t="s">
        <v>392</v>
      </c>
      <c r="M108" s="58" t="s">
        <v>243</v>
      </c>
    </row>
    <row r="109" spans="1:16" s="58" customFormat="1" ht="18" customHeight="1">
      <c r="A109" s="58">
        <v>108</v>
      </c>
      <c r="B109" s="58">
        <v>140</v>
      </c>
      <c r="C109" s="58">
        <v>524</v>
      </c>
      <c r="D109" s="58">
        <v>148</v>
      </c>
      <c r="E109" s="58" t="s">
        <v>120</v>
      </c>
      <c r="F109" s="58" t="s">
        <v>254</v>
      </c>
      <c r="G109" s="58" t="s">
        <v>2945</v>
      </c>
      <c r="H109" s="58" t="s">
        <v>356</v>
      </c>
      <c r="I109" s="58" t="s">
        <v>356</v>
      </c>
      <c r="J109" s="58" t="s">
        <v>356</v>
      </c>
      <c r="K109" s="58" t="s">
        <v>392</v>
      </c>
      <c r="M109" s="58" t="s">
        <v>243</v>
      </c>
    </row>
    <row r="110" spans="1:16" s="58" customFormat="1" ht="18" customHeight="1">
      <c r="A110" s="58">
        <v>109</v>
      </c>
      <c r="B110" s="58">
        <v>212</v>
      </c>
      <c r="C110" s="58">
        <v>44</v>
      </c>
      <c r="D110" s="58">
        <v>125</v>
      </c>
      <c r="E110" s="58" t="s">
        <v>45</v>
      </c>
      <c r="F110" s="58" t="s">
        <v>253</v>
      </c>
      <c r="G110" s="58" t="s">
        <v>2945</v>
      </c>
      <c r="H110" s="58" t="s">
        <v>2950</v>
      </c>
      <c r="I110" s="58" t="s">
        <v>2951</v>
      </c>
      <c r="K110" s="58" t="s">
        <v>388</v>
      </c>
      <c r="L110" s="58" t="s">
        <v>389</v>
      </c>
      <c r="M110" s="58" t="s">
        <v>243</v>
      </c>
    </row>
    <row r="111" spans="1:16" s="58" customFormat="1" ht="18" customHeight="1">
      <c r="A111" s="58">
        <v>110</v>
      </c>
      <c r="B111" s="58">
        <v>212</v>
      </c>
      <c r="C111" s="58">
        <v>184</v>
      </c>
      <c r="D111" s="58">
        <v>208</v>
      </c>
      <c r="E111" s="58" t="s">
        <v>48</v>
      </c>
      <c r="F111" s="58" t="s">
        <v>253</v>
      </c>
      <c r="G111" s="58" t="s">
        <v>2945</v>
      </c>
      <c r="H111" s="58" t="s">
        <v>2952</v>
      </c>
      <c r="I111" s="58" t="s">
        <v>2953</v>
      </c>
      <c r="K111" s="58" t="s">
        <v>388</v>
      </c>
      <c r="L111" s="58" t="s">
        <v>389</v>
      </c>
      <c r="M111" s="58" t="s">
        <v>243</v>
      </c>
    </row>
    <row r="112" spans="1:16" s="58" customFormat="1" ht="18" customHeight="1">
      <c r="A112" s="58">
        <v>111</v>
      </c>
      <c r="B112" s="58">
        <v>212</v>
      </c>
      <c r="C112" s="58">
        <v>408</v>
      </c>
      <c r="D112" s="58">
        <v>125</v>
      </c>
      <c r="E112" s="58" t="s">
        <v>46</v>
      </c>
      <c r="F112" s="58" t="s">
        <v>253</v>
      </c>
      <c r="G112" s="58" t="s">
        <v>2945</v>
      </c>
      <c r="H112" s="58" t="s">
        <v>2954</v>
      </c>
      <c r="I112" s="58" t="s">
        <v>2955</v>
      </c>
      <c r="K112" s="58" t="s">
        <v>388</v>
      </c>
      <c r="L112" s="58" t="s">
        <v>389</v>
      </c>
      <c r="M112" s="58" t="s">
        <v>243</v>
      </c>
      <c r="P112" s="58">
        <v>121</v>
      </c>
    </row>
    <row r="113" spans="1:16" s="58" customFormat="1" ht="18" customHeight="1">
      <c r="A113" s="58">
        <v>112</v>
      </c>
      <c r="B113" s="58">
        <v>212</v>
      </c>
      <c r="C113" s="58">
        <v>568</v>
      </c>
      <c r="D113" s="58">
        <v>204</v>
      </c>
      <c r="E113" s="58" t="s">
        <v>49</v>
      </c>
      <c r="F113" s="58" t="s">
        <v>253</v>
      </c>
      <c r="G113" s="58" t="s">
        <v>2945</v>
      </c>
      <c r="H113" s="58" t="s">
        <v>2956</v>
      </c>
      <c r="I113" s="58" t="s">
        <v>2957</v>
      </c>
      <c r="K113" s="58" t="s">
        <v>388</v>
      </c>
      <c r="L113" s="58" t="s">
        <v>389</v>
      </c>
      <c r="M113" s="58" t="s">
        <v>243</v>
      </c>
      <c r="P113" s="58">
        <v>200</v>
      </c>
    </row>
    <row r="114" spans="1:16" s="58" customFormat="1" ht="18" customHeight="1">
      <c r="A114" s="58">
        <v>113</v>
      </c>
      <c r="B114" s="58">
        <v>136</v>
      </c>
      <c r="C114" s="58">
        <v>688</v>
      </c>
      <c r="D114" s="58">
        <v>100</v>
      </c>
      <c r="E114" s="58" t="s">
        <v>1253</v>
      </c>
      <c r="F114" s="58" t="s">
        <v>253</v>
      </c>
      <c r="G114" s="58" t="s">
        <v>2945</v>
      </c>
      <c r="H114" s="58" t="s">
        <v>1516</v>
      </c>
      <c r="I114" s="58" t="s">
        <v>2958</v>
      </c>
      <c r="K114" s="58" t="s">
        <v>392</v>
      </c>
      <c r="M114" s="58" t="s">
        <v>243</v>
      </c>
      <c r="P114" s="58">
        <v>96</v>
      </c>
    </row>
    <row r="115" spans="1:16" s="58" customFormat="1" ht="18" customHeight="1">
      <c r="A115" s="58">
        <v>114</v>
      </c>
      <c r="B115" s="58">
        <v>284</v>
      </c>
      <c r="C115" s="58">
        <v>44</v>
      </c>
      <c r="D115" s="58">
        <v>125</v>
      </c>
      <c r="E115" s="58" t="s">
        <v>51</v>
      </c>
      <c r="F115" s="58" t="s">
        <v>253</v>
      </c>
      <c r="G115" s="58" t="s">
        <v>2945</v>
      </c>
      <c r="H115" s="58" t="s">
        <v>2959</v>
      </c>
      <c r="I115" s="58" t="s">
        <v>2960</v>
      </c>
      <c r="K115" s="58" t="s">
        <v>388</v>
      </c>
      <c r="M115" s="58" t="s">
        <v>243</v>
      </c>
    </row>
    <row r="116" spans="1:16" s="58" customFormat="1" ht="18" customHeight="1">
      <c r="A116" s="58">
        <v>115</v>
      </c>
      <c r="B116" s="58">
        <v>284</v>
      </c>
      <c r="C116" s="58">
        <v>184</v>
      </c>
      <c r="D116" s="58">
        <v>125</v>
      </c>
      <c r="E116" s="58" t="s">
        <v>55</v>
      </c>
      <c r="F116" s="58" t="s">
        <v>253</v>
      </c>
      <c r="G116" s="58" t="s">
        <v>2945</v>
      </c>
      <c r="H116" s="58" t="s">
        <v>2961</v>
      </c>
      <c r="I116" s="58" t="s">
        <v>2962</v>
      </c>
      <c r="K116" s="58" t="s">
        <v>388</v>
      </c>
      <c r="M116" s="58" t="s">
        <v>243</v>
      </c>
    </row>
    <row r="117" spans="1:16" s="58" customFormat="1" ht="18" customHeight="1">
      <c r="A117" s="58">
        <v>116</v>
      </c>
      <c r="B117" s="58">
        <v>284</v>
      </c>
      <c r="C117" s="58">
        <v>324</v>
      </c>
      <c r="D117" s="58">
        <v>148</v>
      </c>
      <c r="E117" s="58" t="s">
        <v>118</v>
      </c>
      <c r="F117" s="58" t="s">
        <v>254</v>
      </c>
      <c r="G117" s="58" t="s">
        <v>2945</v>
      </c>
      <c r="H117" s="58" t="s">
        <v>2942</v>
      </c>
      <c r="I117" s="58" t="s">
        <v>1221</v>
      </c>
      <c r="J117" s="58" t="s">
        <v>1221</v>
      </c>
      <c r="K117" s="58" t="s">
        <v>392</v>
      </c>
      <c r="M117" s="58" t="s">
        <v>243</v>
      </c>
    </row>
    <row r="118" spans="1:16" s="58" customFormat="1" ht="18" customHeight="1">
      <c r="A118" s="58">
        <v>117</v>
      </c>
      <c r="B118" s="58">
        <v>284</v>
      </c>
      <c r="C118" s="58">
        <v>488</v>
      </c>
      <c r="D118" s="58">
        <v>148</v>
      </c>
      <c r="E118" s="58" t="s">
        <v>750</v>
      </c>
      <c r="F118" s="58" t="s">
        <v>254</v>
      </c>
      <c r="G118" s="58" t="s">
        <v>2945</v>
      </c>
      <c r="H118" s="58" t="s">
        <v>2943</v>
      </c>
      <c r="I118" s="58" t="s">
        <v>767</v>
      </c>
      <c r="J118" s="58" t="s">
        <v>767</v>
      </c>
      <c r="K118" s="58" t="s">
        <v>392</v>
      </c>
      <c r="M118" s="58" t="s">
        <v>243</v>
      </c>
    </row>
    <row r="119" spans="1:16" s="58" customFormat="1" ht="18" customHeight="1">
      <c r="A119" s="58">
        <v>118</v>
      </c>
      <c r="B119" s="58">
        <v>284</v>
      </c>
      <c r="C119" s="58">
        <v>652</v>
      </c>
      <c r="D119" s="58">
        <v>120</v>
      </c>
      <c r="E119" s="58" t="s">
        <v>111</v>
      </c>
      <c r="F119" s="58" t="s">
        <v>254</v>
      </c>
      <c r="G119" s="58" t="s">
        <v>2945</v>
      </c>
      <c r="H119" s="58" t="s">
        <v>81</v>
      </c>
      <c r="I119" s="58" t="s">
        <v>81</v>
      </c>
      <c r="J119" s="58" t="s">
        <v>623</v>
      </c>
      <c r="K119" s="58" t="s">
        <v>392</v>
      </c>
      <c r="M119" s="58" t="s">
        <v>243</v>
      </c>
    </row>
    <row r="120" spans="1:16" s="58" customFormat="1" ht="18" customHeight="1">
      <c r="A120" s="58">
        <v>119</v>
      </c>
      <c r="B120" s="58">
        <v>356</v>
      </c>
      <c r="C120" s="58">
        <v>44</v>
      </c>
      <c r="D120" s="58">
        <v>148</v>
      </c>
      <c r="E120" s="58" t="s">
        <v>44</v>
      </c>
      <c r="F120" s="58" t="s">
        <v>254</v>
      </c>
      <c r="G120" s="58" t="s">
        <v>2945</v>
      </c>
      <c r="H120" s="58" t="s">
        <v>265</v>
      </c>
      <c r="I120" s="58" t="s">
        <v>265</v>
      </c>
      <c r="J120" s="58" t="s">
        <v>2963</v>
      </c>
      <c r="K120" s="58" t="s">
        <v>388</v>
      </c>
      <c r="M120" s="58" t="s">
        <v>243</v>
      </c>
    </row>
    <row r="121" spans="1:16" s="58" customFormat="1" ht="18" customHeight="1">
      <c r="A121" s="58">
        <v>120</v>
      </c>
      <c r="B121" s="58">
        <v>356</v>
      </c>
      <c r="C121" s="58">
        <v>204</v>
      </c>
      <c r="D121" s="58">
        <v>137</v>
      </c>
      <c r="E121" s="58" t="s">
        <v>2084</v>
      </c>
      <c r="F121" s="58" t="s">
        <v>254</v>
      </c>
      <c r="G121" s="58" t="s">
        <v>2945</v>
      </c>
      <c r="H121" s="58" t="s">
        <v>4</v>
      </c>
      <c r="I121" s="58" t="s">
        <v>2293</v>
      </c>
      <c r="J121" s="58" t="s">
        <v>473</v>
      </c>
      <c r="K121" s="58" t="s">
        <v>392</v>
      </c>
      <c r="M121" s="58" t="s">
        <v>243</v>
      </c>
    </row>
    <row r="122" spans="1:16" s="58" customFormat="1" ht="18" customHeight="1">
      <c r="A122" s="58">
        <v>121</v>
      </c>
      <c r="B122" s="58">
        <v>356</v>
      </c>
      <c r="C122" s="58">
        <v>356</v>
      </c>
      <c r="D122" s="58">
        <v>137</v>
      </c>
      <c r="E122" s="58" t="s">
        <v>2083</v>
      </c>
      <c r="F122" s="58" t="s">
        <v>254</v>
      </c>
      <c r="G122" s="58" t="s">
        <v>2945</v>
      </c>
      <c r="H122" s="58" t="s">
        <v>5</v>
      </c>
      <c r="I122" s="58" t="s">
        <v>2292</v>
      </c>
      <c r="J122" s="58" t="s">
        <v>474</v>
      </c>
      <c r="K122" s="58" t="s">
        <v>392</v>
      </c>
      <c r="M122" s="58" t="s">
        <v>243</v>
      </c>
    </row>
    <row r="123" spans="1:16" s="58" customFormat="1" ht="18" customHeight="1">
      <c r="A123" s="58">
        <v>122</v>
      </c>
      <c r="B123" s="58">
        <v>356</v>
      </c>
      <c r="C123" s="58">
        <v>508</v>
      </c>
      <c r="D123" s="58">
        <v>137</v>
      </c>
      <c r="E123" s="58" t="s">
        <v>2082</v>
      </c>
      <c r="F123" s="58" t="s">
        <v>254</v>
      </c>
      <c r="G123" s="58" t="s">
        <v>2945</v>
      </c>
      <c r="H123" s="58" t="s">
        <v>80</v>
      </c>
      <c r="I123" s="58" t="s">
        <v>2291</v>
      </c>
      <c r="J123" s="58" t="s">
        <v>475</v>
      </c>
      <c r="K123" s="58" t="s">
        <v>392</v>
      </c>
      <c r="M123" s="58" t="s">
        <v>243</v>
      </c>
    </row>
    <row r="124" spans="1:16" s="58" customFormat="1" ht="18" customHeight="1">
      <c r="A124" s="58">
        <v>123</v>
      </c>
      <c r="B124" s="58">
        <v>356</v>
      </c>
      <c r="C124" s="58">
        <v>660</v>
      </c>
      <c r="D124" s="58">
        <v>160</v>
      </c>
      <c r="E124" s="58" t="s">
        <v>2081</v>
      </c>
      <c r="F124" s="58" t="s">
        <v>254</v>
      </c>
      <c r="G124" s="58" t="s">
        <v>2945</v>
      </c>
      <c r="H124" s="58" t="s">
        <v>352</v>
      </c>
      <c r="I124" s="58" t="s">
        <v>1320</v>
      </c>
      <c r="J124" s="58" t="s">
        <v>1320</v>
      </c>
      <c r="K124" s="58" t="s">
        <v>392</v>
      </c>
      <c r="M124" s="58" t="s">
        <v>243</v>
      </c>
    </row>
    <row r="125" spans="1:16" s="58" customFormat="1" ht="18" customHeight="1">
      <c r="A125" s="58">
        <v>124</v>
      </c>
      <c r="B125" s="58">
        <v>440</v>
      </c>
      <c r="C125" s="58">
        <v>44</v>
      </c>
      <c r="D125" s="58">
        <v>600</v>
      </c>
      <c r="E125" s="58" t="s">
        <v>137</v>
      </c>
      <c r="F125" s="58" t="s">
        <v>470</v>
      </c>
      <c r="G125" s="58" t="s">
        <v>2945</v>
      </c>
      <c r="H125" s="58" t="s">
        <v>396</v>
      </c>
      <c r="I125" s="58" t="s">
        <v>396</v>
      </c>
      <c r="K125" s="58" t="s">
        <v>392</v>
      </c>
      <c r="M125" s="58" t="s">
        <v>243</v>
      </c>
    </row>
    <row r="126" spans="1:16" s="58" customFormat="1" ht="18" customHeight="1">
      <c r="A126" s="58">
        <v>125</v>
      </c>
      <c r="B126" s="58">
        <v>440</v>
      </c>
      <c r="C126" s="58">
        <v>668</v>
      </c>
      <c r="D126" s="58">
        <v>600</v>
      </c>
      <c r="E126" s="58" t="s">
        <v>136</v>
      </c>
      <c r="F126" s="58" t="s">
        <v>470</v>
      </c>
      <c r="G126" s="58" t="s">
        <v>2945</v>
      </c>
      <c r="H126" s="58" t="s">
        <v>194</v>
      </c>
      <c r="I126" s="58" t="s">
        <v>194</v>
      </c>
      <c r="K126" s="58" t="s">
        <v>392</v>
      </c>
      <c r="M126" s="58" t="s">
        <v>243</v>
      </c>
    </row>
    <row r="127" spans="1:16" s="58" customFormat="1" ht="18" customHeight="1">
      <c r="A127" s="58">
        <v>126</v>
      </c>
      <c r="B127" s="58">
        <v>652</v>
      </c>
      <c r="C127" s="58">
        <v>48</v>
      </c>
      <c r="D127" s="58">
        <v>600</v>
      </c>
      <c r="E127" s="58" t="s">
        <v>141</v>
      </c>
      <c r="F127" s="58" t="s">
        <v>470</v>
      </c>
      <c r="G127" s="58" t="s">
        <v>2945</v>
      </c>
      <c r="H127" s="58" t="s">
        <v>2964</v>
      </c>
      <c r="I127" s="58" t="s">
        <v>2964</v>
      </c>
      <c r="K127" s="58" t="s">
        <v>392</v>
      </c>
      <c r="M127" s="58" t="s">
        <v>243</v>
      </c>
      <c r="P127" s="58">
        <v>596</v>
      </c>
    </row>
    <row r="128" spans="1:16" s="58" customFormat="1" ht="18" customHeight="1">
      <c r="A128" s="58">
        <v>127</v>
      </c>
      <c r="B128" s="58">
        <v>652</v>
      </c>
      <c r="C128" s="58">
        <v>668</v>
      </c>
      <c r="D128" s="58">
        <v>600</v>
      </c>
      <c r="E128" s="58" t="s">
        <v>1255</v>
      </c>
      <c r="F128" s="58" t="s">
        <v>470</v>
      </c>
      <c r="G128" s="58" t="s">
        <v>2945</v>
      </c>
      <c r="H128" s="58" t="s">
        <v>1300</v>
      </c>
      <c r="I128" s="58" t="s">
        <v>1300</v>
      </c>
      <c r="K128" s="58" t="s">
        <v>392</v>
      </c>
      <c r="M128" s="58" t="s">
        <v>243</v>
      </c>
      <c r="P128" s="58">
        <v>596</v>
      </c>
    </row>
    <row r="129" spans="1:16" s="58" customFormat="1" ht="18" customHeight="1">
      <c r="A129" s="58">
        <v>128</v>
      </c>
      <c r="B129" s="58">
        <v>860</v>
      </c>
      <c r="C129" s="58">
        <v>52</v>
      </c>
      <c r="D129" s="58">
        <v>600</v>
      </c>
      <c r="E129" s="58" t="s">
        <v>1256</v>
      </c>
      <c r="F129" s="58" t="s">
        <v>470</v>
      </c>
      <c r="G129" s="58" t="s">
        <v>2945</v>
      </c>
      <c r="H129" s="58" t="s">
        <v>1301</v>
      </c>
      <c r="I129" s="58" t="s">
        <v>1301</v>
      </c>
      <c r="K129" s="58" t="s">
        <v>392</v>
      </c>
      <c r="M129" s="58" t="s">
        <v>243</v>
      </c>
      <c r="P129" s="58">
        <v>596</v>
      </c>
    </row>
    <row r="130" spans="1:16" s="58" customFormat="1" ht="18" customHeight="1">
      <c r="A130" s="58">
        <v>129</v>
      </c>
      <c r="B130" s="58">
        <v>860</v>
      </c>
      <c r="C130" s="58">
        <v>668</v>
      </c>
      <c r="D130" s="58">
        <v>600</v>
      </c>
      <c r="E130" s="58" t="s">
        <v>1257</v>
      </c>
      <c r="F130" s="58" t="s">
        <v>470</v>
      </c>
      <c r="G130" s="58" t="s">
        <v>2945</v>
      </c>
      <c r="H130" s="58" t="s">
        <v>1302</v>
      </c>
      <c r="I130" s="58" t="s">
        <v>1302</v>
      </c>
      <c r="K130" s="58" t="s">
        <v>392</v>
      </c>
      <c r="M130" s="58" t="s">
        <v>243</v>
      </c>
      <c r="P130" s="58">
        <v>596</v>
      </c>
    </row>
    <row r="131" spans="1:16" s="58" customFormat="1" ht="18" customHeight="1">
      <c r="A131" s="58">
        <v>130</v>
      </c>
      <c r="B131" s="58">
        <v>1064</v>
      </c>
      <c r="C131" s="58">
        <v>48</v>
      </c>
      <c r="D131" s="58">
        <v>600</v>
      </c>
      <c r="E131" s="58" t="s">
        <v>1258</v>
      </c>
      <c r="F131" s="58" t="s">
        <v>470</v>
      </c>
      <c r="G131" s="58" t="s">
        <v>2945</v>
      </c>
      <c r="H131" s="58" t="s">
        <v>1303</v>
      </c>
      <c r="I131" s="58" t="s">
        <v>1303</v>
      </c>
      <c r="K131" s="58" t="s">
        <v>392</v>
      </c>
      <c r="M131" s="58" t="s">
        <v>243</v>
      </c>
      <c r="P131" s="58">
        <v>596</v>
      </c>
    </row>
    <row r="132" spans="1:16" s="58" customFormat="1" ht="18" customHeight="1">
      <c r="A132" s="58">
        <v>131</v>
      </c>
      <c r="B132" s="58">
        <v>1064</v>
      </c>
      <c r="C132" s="58">
        <v>664</v>
      </c>
      <c r="D132" s="58">
        <v>600</v>
      </c>
      <c r="E132" s="58" t="s">
        <v>1210</v>
      </c>
      <c r="F132" s="58" t="s">
        <v>470</v>
      </c>
      <c r="G132" s="58" t="s">
        <v>2945</v>
      </c>
      <c r="H132" s="58" t="s">
        <v>1231</v>
      </c>
      <c r="I132" s="58" t="s">
        <v>1231</v>
      </c>
      <c r="K132" s="58" t="s">
        <v>392</v>
      </c>
      <c r="M132" s="58" t="s">
        <v>243</v>
      </c>
      <c r="P132" s="58">
        <v>596</v>
      </c>
    </row>
    <row r="133" spans="1:16" s="58" customFormat="1" ht="18" customHeight="1">
      <c r="A133" s="58">
        <v>132</v>
      </c>
      <c r="B133" s="58">
        <v>1264</v>
      </c>
      <c r="C133" s="58">
        <v>52</v>
      </c>
      <c r="D133" s="58">
        <v>600</v>
      </c>
      <c r="E133" s="58" t="s">
        <v>476</v>
      </c>
      <c r="F133" s="58" t="s">
        <v>470</v>
      </c>
      <c r="G133" s="58" t="s">
        <v>2945</v>
      </c>
      <c r="H133" s="58" t="s">
        <v>477</v>
      </c>
      <c r="I133" s="58" t="s">
        <v>477</v>
      </c>
      <c r="K133" s="58" t="s">
        <v>392</v>
      </c>
      <c r="M133" s="58" t="s">
        <v>243</v>
      </c>
      <c r="P133" s="58">
        <v>596</v>
      </c>
    </row>
    <row r="134" spans="1:16" s="58" customFormat="1" ht="18" customHeight="1">
      <c r="A134" s="58">
        <v>133</v>
      </c>
      <c r="B134" s="58">
        <v>1268</v>
      </c>
      <c r="C134" s="58">
        <v>672</v>
      </c>
      <c r="D134" s="58">
        <v>600</v>
      </c>
      <c r="E134" s="58" t="s">
        <v>143</v>
      </c>
      <c r="F134" s="58" t="s">
        <v>470</v>
      </c>
      <c r="G134" s="58" t="s">
        <v>2945</v>
      </c>
      <c r="H134" s="58" t="s">
        <v>792</v>
      </c>
      <c r="I134" s="58" t="s">
        <v>792</v>
      </c>
      <c r="K134" s="58" t="s">
        <v>392</v>
      </c>
      <c r="M134" s="58" t="s">
        <v>243</v>
      </c>
      <c r="P134" s="58">
        <v>596</v>
      </c>
    </row>
    <row r="135" spans="1:16" s="58" customFormat="1" ht="18" customHeight="1">
      <c r="A135" s="58">
        <v>134</v>
      </c>
      <c r="B135" s="58">
        <v>1476</v>
      </c>
      <c r="C135" s="58">
        <v>48</v>
      </c>
      <c r="D135" s="58">
        <v>600</v>
      </c>
      <c r="E135" s="58" t="s">
        <v>1209</v>
      </c>
      <c r="F135" s="58" t="s">
        <v>470</v>
      </c>
      <c r="G135" s="58" t="s">
        <v>2945</v>
      </c>
      <c r="H135" s="58" t="s">
        <v>1230</v>
      </c>
      <c r="I135" s="58" t="s">
        <v>1230</v>
      </c>
      <c r="K135" s="58" t="s">
        <v>392</v>
      </c>
      <c r="M135" s="58" t="s">
        <v>243</v>
      </c>
      <c r="P135" s="58">
        <v>596</v>
      </c>
    </row>
    <row r="136" spans="1:16" s="58" customFormat="1" ht="18" customHeight="1">
      <c r="A136" s="58">
        <v>135</v>
      </c>
      <c r="B136" s="58">
        <v>1472</v>
      </c>
      <c r="C136" s="58">
        <v>672</v>
      </c>
      <c r="D136" s="58">
        <v>600</v>
      </c>
      <c r="E136" s="58" t="s">
        <v>138</v>
      </c>
      <c r="F136" s="58" t="s">
        <v>470</v>
      </c>
      <c r="G136" s="58" t="s">
        <v>2945</v>
      </c>
      <c r="H136" s="58" t="s">
        <v>2944</v>
      </c>
      <c r="I136" s="58" t="s">
        <v>2944</v>
      </c>
      <c r="K136" s="58" t="s">
        <v>392</v>
      </c>
      <c r="M136" s="58" t="s">
        <v>243</v>
      </c>
      <c r="P136" s="58">
        <v>596</v>
      </c>
    </row>
    <row r="137" spans="1:16" s="58" customFormat="1" ht="18" customHeight="1">
      <c r="A137" s="58">
        <v>136</v>
      </c>
      <c r="B137" s="58">
        <v>1688</v>
      </c>
      <c r="C137" s="58">
        <v>52</v>
      </c>
      <c r="D137" s="58">
        <v>600</v>
      </c>
      <c r="E137" s="58" t="s">
        <v>1219</v>
      </c>
      <c r="F137" s="58" t="s">
        <v>470</v>
      </c>
      <c r="G137" s="58" t="s">
        <v>2945</v>
      </c>
      <c r="H137" s="58" t="s">
        <v>1240</v>
      </c>
      <c r="I137" s="58" t="s">
        <v>1240</v>
      </c>
      <c r="K137" s="58" t="s">
        <v>392</v>
      </c>
      <c r="M137" s="58" t="s">
        <v>243</v>
      </c>
      <c r="P137" s="58">
        <v>596</v>
      </c>
    </row>
    <row r="138" spans="1:16" s="58" customFormat="1" ht="18" customHeight="1">
      <c r="A138" s="58">
        <v>137</v>
      </c>
      <c r="B138" s="58">
        <v>1684</v>
      </c>
      <c r="C138" s="58">
        <v>676</v>
      </c>
      <c r="D138" s="58">
        <v>600</v>
      </c>
      <c r="E138" s="58" t="s">
        <v>1220</v>
      </c>
      <c r="F138" s="58" t="s">
        <v>470</v>
      </c>
      <c r="G138" s="58" t="s">
        <v>2945</v>
      </c>
      <c r="H138" s="58" t="s">
        <v>1241</v>
      </c>
      <c r="I138" s="58" t="s">
        <v>1241</v>
      </c>
      <c r="K138" s="58" t="s">
        <v>392</v>
      </c>
      <c r="M138" s="58" t="s">
        <v>243</v>
      </c>
      <c r="P138" s="58">
        <v>596</v>
      </c>
    </row>
    <row r="139" spans="1:16" s="58" customFormat="1" ht="18" customHeight="1">
      <c r="A139" s="58">
        <v>138</v>
      </c>
      <c r="B139" s="58">
        <v>256</v>
      </c>
      <c r="C139" s="58">
        <v>44</v>
      </c>
      <c r="D139" s="58">
        <v>137</v>
      </c>
      <c r="E139" s="58" t="s">
        <v>2084</v>
      </c>
      <c r="F139" s="58" t="s">
        <v>254</v>
      </c>
      <c r="G139" s="58" t="s">
        <v>895</v>
      </c>
      <c r="H139" s="58" t="s">
        <v>4</v>
      </c>
      <c r="I139" s="58" t="s">
        <v>2293</v>
      </c>
      <c r="J139" s="58" t="s">
        <v>473</v>
      </c>
      <c r="K139" s="58" t="s">
        <v>392</v>
      </c>
      <c r="M139" s="58" t="s">
        <v>243</v>
      </c>
    </row>
    <row r="140" spans="1:16" s="58" customFormat="1" ht="18" customHeight="1">
      <c r="A140" s="58">
        <v>139</v>
      </c>
      <c r="B140" s="58">
        <v>136</v>
      </c>
      <c r="C140" s="58">
        <v>660</v>
      </c>
      <c r="D140" s="58">
        <v>148</v>
      </c>
      <c r="E140" s="58" t="s">
        <v>44</v>
      </c>
      <c r="F140" s="58" t="s">
        <v>254</v>
      </c>
      <c r="G140" s="58" t="s">
        <v>895</v>
      </c>
      <c r="H140" s="58" t="s">
        <v>265</v>
      </c>
      <c r="I140" s="58" t="s">
        <v>265</v>
      </c>
      <c r="J140" s="58" t="s">
        <v>2963</v>
      </c>
      <c r="K140" s="58" t="s">
        <v>388</v>
      </c>
      <c r="M140" s="58" t="s">
        <v>243</v>
      </c>
    </row>
    <row r="141" spans="1:16" s="58" customFormat="1" ht="18" customHeight="1">
      <c r="A141" s="58">
        <v>140</v>
      </c>
      <c r="B141" s="58">
        <v>136</v>
      </c>
      <c r="C141" s="58">
        <v>820</v>
      </c>
      <c r="D141" s="58">
        <v>160</v>
      </c>
      <c r="E141" s="58" t="s">
        <v>126</v>
      </c>
      <c r="F141" s="58" t="s">
        <v>254</v>
      </c>
      <c r="G141" s="58" t="s">
        <v>895</v>
      </c>
      <c r="H141" s="58" t="s">
        <v>2948</v>
      </c>
      <c r="I141" s="58" t="s">
        <v>2948</v>
      </c>
      <c r="J141" s="58" t="s">
        <v>2948</v>
      </c>
      <c r="K141" s="58" t="s">
        <v>392</v>
      </c>
      <c r="M141" s="58" t="s">
        <v>243</v>
      </c>
    </row>
    <row r="142" spans="1:16" s="58" customFormat="1" ht="18" customHeight="1">
      <c r="A142" s="58">
        <v>141</v>
      </c>
      <c r="B142" s="58">
        <v>436</v>
      </c>
      <c r="C142" s="58">
        <v>648</v>
      </c>
      <c r="D142" s="58">
        <v>125</v>
      </c>
      <c r="E142" s="58" t="s">
        <v>48</v>
      </c>
      <c r="F142" s="58" t="s">
        <v>253</v>
      </c>
      <c r="G142" s="58" t="s">
        <v>895</v>
      </c>
      <c r="H142" s="58" t="s">
        <v>2965</v>
      </c>
      <c r="I142" s="58" t="s">
        <v>736</v>
      </c>
      <c r="K142" s="58" t="s">
        <v>388</v>
      </c>
      <c r="L142" s="58" t="s">
        <v>389</v>
      </c>
      <c r="M142" s="58" t="s">
        <v>243</v>
      </c>
    </row>
    <row r="143" spans="1:16" s="58" customFormat="1" ht="18" customHeight="1">
      <c r="A143" s="58">
        <v>142</v>
      </c>
      <c r="B143" s="58">
        <v>436</v>
      </c>
      <c r="C143" s="58">
        <v>788</v>
      </c>
      <c r="D143" s="58">
        <v>125</v>
      </c>
      <c r="E143" s="58" t="s">
        <v>49</v>
      </c>
      <c r="F143" s="58" t="s">
        <v>253</v>
      </c>
      <c r="G143" s="58" t="s">
        <v>895</v>
      </c>
      <c r="H143" s="58" t="s">
        <v>2966</v>
      </c>
      <c r="I143" s="58" t="s">
        <v>737</v>
      </c>
      <c r="K143" s="58" t="s">
        <v>388</v>
      </c>
      <c r="L143" s="58" t="s">
        <v>389</v>
      </c>
      <c r="M143" s="58" t="s">
        <v>243</v>
      </c>
    </row>
    <row r="144" spans="1:16" s="58" customFormat="1" ht="18" customHeight="1">
      <c r="A144" s="58">
        <v>143</v>
      </c>
      <c r="B144" s="58">
        <v>223.91</v>
      </c>
      <c r="C144" s="58">
        <v>177.25</v>
      </c>
      <c r="D144" s="58">
        <v>137</v>
      </c>
      <c r="E144" s="58" t="s">
        <v>2084</v>
      </c>
      <c r="F144" s="58" t="s">
        <v>254</v>
      </c>
      <c r="G144" s="58" t="s">
        <v>888</v>
      </c>
      <c r="H144" s="58" t="s">
        <v>4</v>
      </c>
      <c r="I144" s="58" t="s">
        <v>2293</v>
      </c>
      <c r="J144" s="58" t="s">
        <v>473</v>
      </c>
      <c r="K144" s="58" t="s">
        <v>392</v>
      </c>
      <c r="M144" s="58" t="s">
        <v>243</v>
      </c>
    </row>
    <row r="145" spans="1:16" s="58" customFormat="1" ht="18" customHeight="1">
      <c r="A145" s="58">
        <v>144</v>
      </c>
      <c r="B145" s="58">
        <v>224</v>
      </c>
      <c r="C145" s="58">
        <v>765</v>
      </c>
      <c r="D145" s="58">
        <v>148</v>
      </c>
      <c r="E145" s="58" t="s">
        <v>44</v>
      </c>
      <c r="F145" s="58" t="s">
        <v>254</v>
      </c>
      <c r="G145" s="58" t="s">
        <v>888</v>
      </c>
      <c r="H145" s="58" t="s">
        <v>265</v>
      </c>
      <c r="I145" s="58" t="s">
        <v>265</v>
      </c>
      <c r="J145" s="58" t="s">
        <v>2963</v>
      </c>
      <c r="K145" s="58" t="s">
        <v>388</v>
      </c>
      <c r="M145" s="58" t="s">
        <v>243</v>
      </c>
    </row>
    <row r="146" spans="1:16" s="58" customFormat="1" ht="18" customHeight="1">
      <c r="A146" s="58">
        <v>145</v>
      </c>
      <c r="B146" s="58">
        <v>224</v>
      </c>
      <c r="C146" s="58">
        <v>925</v>
      </c>
      <c r="D146" s="58">
        <v>160</v>
      </c>
      <c r="E146" s="58" t="s">
        <v>126</v>
      </c>
      <c r="F146" s="58" t="s">
        <v>254</v>
      </c>
      <c r="G146" s="58" t="s">
        <v>888</v>
      </c>
      <c r="H146" s="58" t="s">
        <v>2948</v>
      </c>
      <c r="I146" s="58" t="s">
        <v>2948</v>
      </c>
      <c r="J146" s="58" t="s">
        <v>2948</v>
      </c>
      <c r="K146" s="58" t="s">
        <v>392</v>
      </c>
      <c r="M146" s="58" t="s">
        <v>243</v>
      </c>
    </row>
    <row r="147" spans="1:16" s="58" customFormat="1" ht="18" customHeight="1">
      <c r="A147" s="58">
        <v>146</v>
      </c>
      <c r="B147" s="58">
        <v>148.38</v>
      </c>
      <c r="C147" s="58">
        <v>770</v>
      </c>
      <c r="D147" s="58">
        <v>125</v>
      </c>
      <c r="E147" s="58" t="s">
        <v>48</v>
      </c>
      <c r="F147" s="58" t="s">
        <v>253</v>
      </c>
      <c r="G147" s="58" t="s">
        <v>888</v>
      </c>
      <c r="H147" s="58" t="s">
        <v>2965</v>
      </c>
      <c r="I147" s="58" t="s">
        <v>736</v>
      </c>
      <c r="K147" s="58" t="s">
        <v>388</v>
      </c>
      <c r="L147" s="58" t="s">
        <v>389</v>
      </c>
      <c r="M147" s="58" t="s">
        <v>243</v>
      </c>
    </row>
    <row r="148" spans="1:16" s="58" customFormat="1" ht="18" customHeight="1">
      <c r="A148" s="58">
        <v>147</v>
      </c>
      <c r="B148" s="58">
        <v>148.38</v>
      </c>
      <c r="C148" s="58">
        <v>905</v>
      </c>
      <c r="D148" s="58">
        <v>125</v>
      </c>
      <c r="E148" s="58" t="s">
        <v>49</v>
      </c>
      <c r="F148" s="58" t="s">
        <v>253</v>
      </c>
      <c r="G148" s="58" t="s">
        <v>888</v>
      </c>
      <c r="H148" s="58" t="s">
        <v>2966</v>
      </c>
      <c r="I148" s="58" t="s">
        <v>737</v>
      </c>
      <c r="K148" s="58" t="s">
        <v>388</v>
      </c>
      <c r="L148" s="58" t="s">
        <v>389</v>
      </c>
      <c r="M148" s="58" t="s">
        <v>243</v>
      </c>
    </row>
    <row r="149" spans="1:16" s="58" customFormat="1" ht="18" customHeight="1">
      <c r="A149" s="58">
        <v>148</v>
      </c>
      <c r="B149" s="58">
        <v>4</v>
      </c>
      <c r="C149" s="58">
        <v>240</v>
      </c>
      <c r="D149" s="58">
        <v>75</v>
      </c>
      <c r="E149" s="58" t="s">
        <v>23</v>
      </c>
      <c r="F149" s="58" t="s">
        <v>253</v>
      </c>
      <c r="G149" s="58" t="s">
        <v>2945</v>
      </c>
      <c r="H149" s="58" t="s">
        <v>1</v>
      </c>
      <c r="I149" s="58" t="s">
        <v>898</v>
      </c>
      <c r="K149" s="58" t="s">
        <v>388</v>
      </c>
      <c r="L149" s="58" t="s">
        <v>389</v>
      </c>
      <c r="M149" s="58" t="s">
        <v>243</v>
      </c>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sheetData>
  <autoFilter ref="A3:P149" xr:uid="{C54274AC-6232-45DF-96D7-813CBA6F4ED2}"/>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8775B-9219-4BD5-9229-1B8915B6429C}">
  <sheetPr codeName="ResCalcsSht"/>
  <dimension ref="A1:M3"/>
  <sheetViews>
    <sheetView workbookViewId="0">
      <selection activeCell="F9" sqref="F9"/>
    </sheetView>
  </sheetViews>
  <sheetFormatPr defaultColWidth="8.6640625" defaultRowHeight="13.5"/>
  <cols>
    <col min="1" max="1" width="20" style="9" customWidth="1"/>
    <col min="2" max="2" width="22" style="9" customWidth="1"/>
    <col min="3" max="3" width="19" style="9" customWidth="1"/>
    <col min="4" max="4" width="8.53125" style="9" customWidth="1"/>
    <col min="5" max="5" width="18.86328125" style="9" customWidth="1"/>
    <col min="6" max="10" width="9.53125" style="9" customWidth="1"/>
    <col min="11" max="11" width="19" style="9" customWidth="1"/>
    <col min="12" max="12" width="17.86328125" style="9" customWidth="1"/>
    <col min="13" max="13" width="11.53125" style="9" customWidth="1"/>
    <col min="14" max="16384" width="8.6640625" style="9"/>
  </cols>
  <sheetData>
    <row r="1" spans="1:13" ht="18" customHeight="1">
      <c r="A1" s="116" t="s">
        <v>416</v>
      </c>
      <c r="B1" s="70" t="s">
        <v>417</v>
      </c>
      <c r="C1" s="70" t="s">
        <v>418</v>
      </c>
      <c r="D1" s="70" t="s">
        <v>419</v>
      </c>
      <c r="E1" s="70" t="s">
        <v>420</v>
      </c>
      <c r="F1" s="70" t="s">
        <v>421</v>
      </c>
      <c r="G1" s="70" t="s">
        <v>422</v>
      </c>
      <c r="H1" s="70" t="s">
        <v>423</v>
      </c>
      <c r="I1" s="70" t="s">
        <v>424</v>
      </c>
      <c r="J1" s="70" t="s">
        <v>425</v>
      </c>
      <c r="K1" s="70" t="s">
        <v>426</v>
      </c>
      <c r="L1" s="70" t="s">
        <v>427</v>
      </c>
      <c r="M1" s="70" t="s">
        <v>256</v>
      </c>
    </row>
    <row r="2" spans="1:13" ht="37.25" customHeight="1">
      <c r="A2" s="140" t="s">
        <v>1492</v>
      </c>
      <c r="B2" s="69"/>
      <c r="C2" s="72" t="s">
        <v>1493</v>
      </c>
      <c r="D2" s="69"/>
      <c r="E2" s="69"/>
      <c r="F2" s="69"/>
      <c r="G2" s="69"/>
      <c r="H2" s="69"/>
      <c r="I2" s="69"/>
      <c r="J2" s="69"/>
      <c r="K2" s="69"/>
      <c r="L2" s="69"/>
      <c r="M2" s="69"/>
    </row>
    <row r="3" spans="1:13" ht="30.4" customHeight="1">
      <c r="A3" s="78" t="s">
        <v>416</v>
      </c>
      <c r="B3" s="78" t="s">
        <v>417</v>
      </c>
      <c r="C3" s="78" t="s">
        <v>418</v>
      </c>
      <c r="D3" s="78" t="s">
        <v>419</v>
      </c>
      <c r="E3" s="78" t="s">
        <v>420</v>
      </c>
      <c r="F3" s="78" t="s">
        <v>421</v>
      </c>
      <c r="G3" s="78" t="s">
        <v>422</v>
      </c>
      <c r="H3" s="78" t="s">
        <v>423</v>
      </c>
      <c r="I3" s="78" t="s">
        <v>424</v>
      </c>
      <c r="J3" s="78" t="s">
        <v>425</v>
      </c>
      <c r="K3" s="78" t="s">
        <v>426</v>
      </c>
      <c r="L3" s="78" t="s">
        <v>427</v>
      </c>
      <c r="M3" s="78" t="s">
        <v>256</v>
      </c>
    </row>
  </sheetData>
  <pageMargins left="0" right="0" top="0.39370000000000011" bottom="0.39370000000000011" header="0" footer="0"/>
  <pageSetup fitToWidth="0" fitToHeight="0" pageOrder="overThenDown"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62631-62FE-400B-AB4F-2F9E31BB74E8}">
  <sheetPr codeName="ResCalcs2Sht"/>
  <dimension ref="A1:Z3"/>
  <sheetViews>
    <sheetView workbookViewId="0">
      <selection sqref="A1:A3"/>
    </sheetView>
  </sheetViews>
  <sheetFormatPr defaultColWidth="8.6640625" defaultRowHeight="13.5"/>
  <cols>
    <col min="1" max="1" width="14.86328125" style="9" customWidth="1"/>
    <col min="2" max="6" width="18" style="9" customWidth="1"/>
    <col min="7" max="10" width="9.53125" style="9" customWidth="1"/>
    <col min="11" max="11" width="17.86328125" style="9" customWidth="1"/>
    <col min="12" max="12" width="20.53125" style="9" customWidth="1"/>
    <col min="13" max="13" width="8.6640625" style="9"/>
    <col min="14" max="14" width="10" style="9" customWidth="1"/>
    <col min="15" max="18" width="8.6640625" style="9"/>
    <col min="19" max="19" width="19" style="9" customWidth="1"/>
    <col min="20" max="16384" width="8.6640625" style="9"/>
  </cols>
  <sheetData>
    <row r="1" spans="1:26" ht="17.25" customHeight="1">
      <c r="A1" s="116" t="s">
        <v>416</v>
      </c>
      <c r="B1" s="22" t="s">
        <v>427</v>
      </c>
      <c r="C1" s="70" t="s">
        <v>945</v>
      </c>
      <c r="D1" s="70" t="s">
        <v>1494</v>
      </c>
      <c r="E1" s="70" t="s">
        <v>418</v>
      </c>
      <c r="F1" s="70" t="s">
        <v>29</v>
      </c>
      <c r="G1" s="70" t="s">
        <v>30</v>
      </c>
      <c r="H1" s="70" t="s">
        <v>1495</v>
      </c>
      <c r="I1" s="70" t="s">
        <v>420</v>
      </c>
      <c r="J1" s="70" t="s">
        <v>1496</v>
      </c>
      <c r="K1" s="70" t="s">
        <v>1497</v>
      </c>
      <c r="L1" s="70" t="s">
        <v>1498</v>
      </c>
      <c r="M1" s="70" t="s">
        <v>421</v>
      </c>
      <c r="N1" s="70" t="s">
        <v>222</v>
      </c>
      <c r="O1" s="70" t="s">
        <v>419</v>
      </c>
      <c r="P1" s="70" t="s">
        <v>130</v>
      </c>
      <c r="Q1" s="70" t="s">
        <v>131</v>
      </c>
      <c r="R1" s="70" t="s">
        <v>105</v>
      </c>
      <c r="S1" t="s">
        <v>129</v>
      </c>
      <c r="T1" t="s">
        <v>120</v>
      </c>
      <c r="U1" t="s">
        <v>31</v>
      </c>
      <c r="V1" t="s">
        <v>32</v>
      </c>
      <c r="W1" t="s">
        <v>33</v>
      </c>
      <c r="X1" t="s">
        <v>34</v>
      </c>
      <c r="Y1" t="s">
        <v>35</v>
      </c>
      <c r="Z1" t="s">
        <v>44</v>
      </c>
    </row>
    <row r="2" spans="1:26" ht="34.25" customHeight="1">
      <c r="A2" s="140" t="s">
        <v>1499</v>
      </c>
      <c r="B2" s="69"/>
      <c r="C2" s="72" t="s">
        <v>1500</v>
      </c>
      <c r="D2" s="69"/>
      <c r="E2" s="69"/>
      <c r="F2" s="69"/>
      <c r="G2" s="69"/>
      <c r="H2" s="69"/>
      <c r="I2" s="69"/>
      <c r="J2" s="69"/>
      <c r="K2" s="69"/>
      <c r="L2" s="69"/>
      <c r="M2" s="69"/>
      <c r="N2" s="69"/>
      <c r="O2" s="69"/>
      <c r="P2" s="69"/>
      <c r="Q2" s="69"/>
      <c r="R2" s="69"/>
      <c r="S2"/>
      <c r="T2"/>
      <c r="U2"/>
      <c r="V2"/>
      <c r="W2"/>
      <c r="X2"/>
      <c r="Y2"/>
      <c r="Z2"/>
    </row>
    <row r="3" spans="1:26" ht="23.25">
      <c r="A3" s="78" t="s">
        <v>416</v>
      </c>
      <c r="B3" s="78" t="s">
        <v>427</v>
      </c>
      <c r="C3" s="78" t="s">
        <v>945</v>
      </c>
      <c r="D3" s="78" t="s">
        <v>1494</v>
      </c>
      <c r="E3" s="78" t="s">
        <v>418</v>
      </c>
      <c r="F3" s="78" t="s">
        <v>29</v>
      </c>
      <c r="G3" s="78" t="s">
        <v>30</v>
      </c>
      <c r="H3" s="78" t="s">
        <v>1495</v>
      </c>
      <c r="I3" s="78" t="s">
        <v>420</v>
      </c>
      <c r="J3" s="78" t="s">
        <v>1496</v>
      </c>
      <c r="K3" s="78" t="s">
        <v>1497</v>
      </c>
      <c r="L3" s="78" t="s">
        <v>1498</v>
      </c>
      <c r="M3" s="78" t="s">
        <v>421</v>
      </c>
      <c r="N3" s="78" t="s">
        <v>222</v>
      </c>
      <c r="O3" s="78" t="s">
        <v>419</v>
      </c>
      <c r="P3" s="78" t="s">
        <v>130</v>
      </c>
      <c r="Q3" s="78" t="s">
        <v>131</v>
      </c>
      <c r="R3" s="78" t="s">
        <v>105</v>
      </c>
      <c r="S3" s="78" t="s">
        <v>129</v>
      </c>
      <c r="T3" s="78" t="s">
        <v>120</v>
      </c>
      <c r="U3" s="78" t="s">
        <v>31</v>
      </c>
      <c r="V3" s="78" t="s">
        <v>32</v>
      </c>
      <c r="W3" s="78" t="s">
        <v>33</v>
      </c>
      <c r="X3" s="78" t="s">
        <v>34</v>
      </c>
      <c r="Y3" s="78" t="s">
        <v>35</v>
      </c>
      <c r="Z3" s="78" t="s">
        <v>44</v>
      </c>
    </row>
  </sheetData>
  <pageMargins left="0" right="0" top="0.39370000000000011" bottom="0.39370000000000011" header="0" footer="0"/>
  <pageSetup fitToWidth="0" fitToHeight="0" pageOrder="overThenDown"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EEE2B-AD1B-4911-A643-0364836B52BD}">
  <sheetPr codeName="ResCalcsUsageSht"/>
  <dimension ref="A1:AL3"/>
  <sheetViews>
    <sheetView zoomScaleNormal="100" workbookViewId="0">
      <selection activeCell="E20" sqref="E20"/>
    </sheetView>
  </sheetViews>
  <sheetFormatPr defaultColWidth="11.53125" defaultRowHeight="14.25"/>
  <cols>
    <col min="1" max="1" width="11.53125" style="26"/>
    <col min="2" max="2" width="19.6640625" style="26" customWidth="1"/>
    <col min="3" max="3" width="21.6640625" style="26" customWidth="1"/>
    <col min="4" max="19" width="13.6640625" style="26" customWidth="1"/>
    <col min="20" max="36" width="11.53125" style="26"/>
    <col min="37" max="37" width="23.33203125" style="26" customWidth="1"/>
    <col min="38" max="16384" width="11.53125" style="26"/>
  </cols>
  <sheetData>
    <row r="1" spans="1:38" ht="20.25" customHeight="1">
      <c r="A1" s="116" t="s">
        <v>256</v>
      </c>
      <c r="B1" s="70" t="s">
        <v>946</v>
      </c>
      <c r="C1" s="70" t="s">
        <v>945</v>
      </c>
      <c r="D1" s="70" t="s">
        <v>944</v>
      </c>
      <c r="E1" s="70" t="s">
        <v>943</v>
      </c>
      <c r="F1" s="70" t="s">
        <v>942</v>
      </c>
      <c r="G1" s="70" t="s">
        <v>941</v>
      </c>
      <c r="H1" s="70" t="s">
        <v>940</v>
      </c>
      <c r="I1" s="70" t="s">
        <v>939</v>
      </c>
      <c r="J1" s="70" t="s">
        <v>938</v>
      </c>
      <c r="K1" s="70" t="s">
        <v>937</v>
      </c>
      <c r="L1" s="70" t="s">
        <v>936</v>
      </c>
      <c r="M1" s="70" t="s">
        <v>935</v>
      </c>
      <c r="N1" s="70" t="s">
        <v>934</v>
      </c>
      <c r="O1" s="70" t="s">
        <v>933</v>
      </c>
      <c r="P1" s="70" t="s">
        <v>932</v>
      </c>
      <c r="Q1" s="70" t="s">
        <v>931</v>
      </c>
      <c r="R1" s="70" t="s">
        <v>930</v>
      </c>
      <c r="S1" s="70" t="s">
        <v>929</v>
      </c>
      <c r="T1" s="70" t="s">
        <v>928</v>
      </c>
      <c r="U1" s="70" t="s">
        <v>927</v>
      </c>
      <c r="V1" s="70" t="s">
        <v>926</v>
      </c>
      <c r="W1" s="70" t="s">
        <v>925</v>
      </c>
      <c r="X1" s="70" t="s">
        <v>924</v>
      </c>
      <c r="Y1" s="70" t="s">
        <v>923</v>
      </c>
      <c r="Z1" s="70" t="s">
        <v>922</v>
      </c>
      <c r="AA1" s="70" t="s">
        <v>921</v>
      </c>
      <c r="AB1" s="70" t="s">
        <v>920</v>
      </c>
      <c r="AC1" s="70" t="s">
        <v>919</v>
      </c>
      <c r="AD1" s="70" t="s">
        <v>918</v>
      </c>
      <c r="AE1" s="70" t="s">
        <v>917</v>
      </c>
      <c r="AF1" s="70" t="s">
        <v>916</v>
      </c>
      <c r="AG1" s="70" t="s">
        <v>915</v>
      </c>
      <c r="AH1" s="70" t="s">
        <v>914</v>
      </c>
      <c r="AI1" s="70" t="s">
        <v>913</v>
      </c>
      <c r="AJ1" s="70" t="s">
        <v>222</v>
      </c>
      <c r="AK1" s="70" t="s">
        <v>426</v>
      </c>
      <c r="AL1" s="70" t="s">
        <v>912</v>
      </c>
    </row>
    <row r="2" spans="1:38" ht="35.85" customHeight="1">
      <c r="A2" s="140" t="s">
        <v>947</v>
      </c>
      <c r="B2" s="74"/>
      <c r="C2" s="75"/>
      <c r="D2" s="75"/>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row>
    <row r="3" spans="1:38" ht="35.85" customHeight="1">
      <c r="A3" s="78" t="s">
        <v>256</v>
      </c>
      <c r="B3" s="78" t="s">
        <v>946</v>
      </c>
      <c r="C3" s="78" t="s">
        <v>945</v>
      </c>
      <c r="D3" s="78" t="s">
        <v>944</v>
      </c>
      <c r="E3" s="78" t="s">
        <v>943</v>
      </c>
      <c r="F3" s="78" t="s">
        <v>942</v>
      </c>
      <c r="G3" s="78" t="s">
        <v>941</v>
      </c>
      <c r="H3" s="78" t="s">
        <v>940</v>
      </c>
      <c r="I3" s="78" t="s">
        <v>939</v>
      </c>
      <c r="J3" s="78" t="s">
        <v>938</v>
      </c>
      <c r="K3" s="78" t="s">
        <v>937</v>
      </c>
      <c r="L3" s="78" t="s">
        <v>936</v>
      </c>
      <c r="M3" s="78" t="s">
        <v>935</v>
      </c>
      <c r="N3" s="78" t="s">
        <v>934</v>
      </c>
      <c r="O3" s="78" t="s">
        <v>933</v>
      </c>
      <c r="P3" s="78" t="s">
        <v>932</v>
      </c>
      <c r="Q3" s="78" t="s">
        <v>931</v>
      </c>
      <c r="R3" s="78" t="s">
        <v>930</v>
      </c>
      <c r="S3" s="78" t="s">
        <v>929</v>
      </c>
      <c r="T3" s="78" t="s">
        <v>928</v>
      </c>
      <c r="U3" s="78" t="s">
        <v>927</v>
      </c>
      <c r="V3" s="78" t="s">
        <v>926</v>
      </c>
      <c r="W3" s="78" t="s">
        <v>925</v>
      </c>
      <c r="X3" s="78" t="s">
        <v>924</v>
      </c>
      <c r="Y3" s="78" t="s">
        <v>923</v>
      </c>
      <c r="Z3" s="78" t="s">
        <v>922</v>
      </c>
      <c r="AA3" s="78" t="s">
        <v>921</v>
      </c>
      <c r="AB3" s="78" t="s">
        <v>920</v>
      </c>
      <c r="AC3" s="78" t="s">
        <v>919</v>
      </c>
      <c r="AD3" s="78" t="s">
        <v>918</v>
      </c>
      <c r="AE3" s="78" t="s">
        <v>917</v>
      </c>
      <c r="AF3" s="78" t="s">
        <v>916</v>
      </c>
      <c r="AG3" s="78" t="s">
        <v>915</v>
      </c>
      <c r="AH3" s="78" t="s">
        <v>914</v>
      </c>
      <c r="AI3" s="78" t="s">
        <v>913</v>
      </c>
      <c r="AJ3" s="78" t="s">
        <v>222</v>
      </c>
      <c r="AK3" s="78" t="s">
        <v>426</v>
      </c>
      <c r="AL3" s="78" t="s">
        <v>912</v>
      </c>
    </row>
  </sheetData>
  <pageMargins left="0.78749999999999998" right="0.78749999999999998" top="0.78749999999999998" bottom="0.78749999999999998" header="0.511811023622047" footer="0.511811023622047"/>
  <pageSetup orientation="portrait" horizontalDpi="300" verticalDpi="30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E4-A4CD-4F08-815C-13944C21EF0D}">
  <sheetPr codeName="barCreatorSht"/>
  <dimension ref="A1:BI85"/>
  <sheetViews>
    <sheetView topLeftCell="A2" zoomScale="130" zoomScaleNormal="130" workbookViewId="0">
      <selection activeCell="A2" sqref="A2"/>
    </sheetView>
  </sheetViews>
  <sheetFormatPr defaultColWidth="11.53125" defaultRowHeight="14.25"/>
  <cols>
    <col min="1" max="2" width="6.46484375" style="32" customWidth="1"/>
    <col min="3" max="3" width="49.33203125" style="31" customWidth="1"/>
    <col min="4" max="4" width="11.6640625" style="35" customWidth="1"/>
    <col min="5" max="5" width="11.6640625" style="31" hidden="1" customWidth="1"/>
    <col min="6" max="6" width="14.1328125" style="34" customWidth="1"/>
    <col min="7" max="7" width="11" style="33" customWidth="1"/>
    <col min="8" max="9" width="12.6640625" style="32" hidden="1" customWidth="1"/>
    <col min="10" max="11" width="12.6640625" style="32" customWidth="1"/>
    <col min="12" max="13" width="12.6640625" style="32" hidden="1" customWidth="1"/>
    <col min="14" max="15" width="12.6640625" style="32" customWidth="1"/>
    <col min="16" max="16" width="8.46484375" style="31" hidden="1" customWidth="1"/>
    <col min="17" max="17" width="11" style="31" hidden="1" customWidth="1"/>
    <col min="18" max="42" width="12.6640625" style="32" customWidth="1"/>
    <col min="43" max="54" width="12.6640625" style="32" hidden="1" customWidth="1"/>
    <col min="55" max="61" width="12.6640625" style="32" customWidth="1"/>
    <col min="62" max="16384" width="11.53125" style="31"/>
  </cols>
  <sheetData>
    <row r="1" spans="1:61" ht="7.5" hidden="1" customHeight="1">
      <c r="A1" s="51" t="s">
        <v>23</v>
      </c>
      <c r="B1" s="51" t="s">
        <v>24</v>
      </c>
      <c r="C1" s="52" t="s">
        <v>29</v>
      </c>
      <c r="D1" s="55" t="s">
        <v>30</v>
      </c>
      <c r="E1" s="52" t="s">
        <v>257</v>
      </c>
      <c r="F1" s="54" t="s">
        <v>28</v>
      </c>
      <c r="G1" s="53" t="s">
        <v>27</v>
      </c>
      <c r="H1" s="51" t="s">
        <v>74</v>
      </c>
      <c r="I1" s="51" t="s">
        <v>73</v>
      </c>
      <c r="J1" s="51" t="s">
        <v>45</v>
      </c>
      <c r="K1" s="51" t="s">
        <v>46</v>
      </c>
      <c r="L1" s="51" t="s">
        <v>48</v>
      </c>
      <c r="M1" s="51" t="s">
        <v>49</v>
      </c>
      <c r="N1" s="51" t="s">
        <v>47</v>
      </c>
      <c r="O1" s="51" t="s">
        <v>50</v>
      </c>
      <c r="P1" s="52" t="s">
        <v>25</v>
      </c>
      <c r="Q1" s="52" t="s">
        <v>26</v>
      </c>
      <c r="R1" s="51" t="s">
        <v>44</v>
      </c>
      <c r="S1" s="51" t="s">
        <v>55</v>
      </c>
      <c r="T1" s="51" t="s">
        <v>258</v>
      </c>
      <c r="U1" s="51" t="s">
        <v>56</v>
      </c>
      <c r="V1" s="51" t="s">
        <v>51</v>
      </c>
      <c r="W1" s="51" t="s">
        <v>52</v>
      </c>
      <c r="X1" s="51" t="s">
        <v>53</v>
      </c>
      <c r="Y1" s="51" t="s">
        <v>54</v>
      </c>
      <c r="Z1" s="51" t="s">
        <v>57</v>
      </c>
      <c r="AA1" s="51" t="s">
        <v>60</v>
      </c>
      <c r="AB1" s="51" t="s">
        <v>58</v>
      </c>
      <c r="AC1" s="51" t="s">
        <v>59</v>
      </c>
      <c r="AD1" s="51" t="s">
        <v>67</v>
      </c>
      <c r="AE1" s="51" t="s">
        <v>62</v>
      </c>
      <c r="AF1" s="51" t="s">
        <v>61</v>
      </c>
      <c r="AG1" s="51" t="s">
        <v>36</v>
      </c>
      <c r="AH1" s="51" t="s">
        <v>37</v>
      </c>
      <c r="AI1" s="51" t="s">
        <v>42</v>
      </c>
      <c r="AJ1" s="51" t="s">
        <v>43</v>
      </c>
      <c r="AK1" s="51" t="s">
        <v>31</v>
      </c>
      <c r="AL1" s="51" t="s">
        <v>32</v>
      </c>
      <c r="AM1" s="51" t="s">
        <v>33</v>
      </c>
      <c r="AN1" s="51" t="s">
        <v>34</v>
      </c>
      <c r="AO1" s="51" t="s">
        <v>35</v>
      </c>
      <c r="AP1" s="51" t="s">
        <v>727</v>
      </c>
      <c r="AQ1" s="51" t="s">
        <v>63</v>
      </c>
      <c r="AR1" s="51" t="s">
        <v>64</v>
      </c>
      <c r="AS1" s="51" t="s">
        <v>65</v>
      </c>
      <c r="AT1" s="51" t="s">
        <v>66</v>
      </c>
      <c r="AU1" s="51" t="s">
        <v>68</v>
      </c>
      <c r="AV1" s="51" t="s">
        <v>75</v>
      </c>
      <c r="AW1" s="51" t="s">
        <v>76</v>
      </c>
      <c r="AX1" s="51" t="s">
        <v>71</v>
      </c>
      <c r="AY1" s="51" t="s">
        <v>72</v>
      </c>
      <c r="AZ1" s="51" t="s">
        <v>259</v>
      </c>
      <c r="BA1" s="51" t="s">
        <v>70</v>
      </c>
      <c r="BB1" s="51" t="s">
        <v>69</v>
      </c>
      <c r="BC1" s="51" t="s">
        <v>728</v>
      </c>
      <c r="BD1" s="51" t="s">
        <v>77</v>
      </c>
      <c r="BE1" s="51" t="s">
        <v>78</v>
      </c>
      <c r="BF1" s="51" t="s">
        <v>38</v>
      </c>
      <c r="BG1" s="51" t="s">
        <v>39</v>
      </c>
      <c r="BH1" s="51" t="s">
        <v>40</v>
      </c>
      <c r="BI1" s="51" t="s">
        <v>41</v>
      </c>
    </row>
    <row r="2" spans="1:61" ht="36.6" customHeight="1">
      <c r="A2" s="57" t="s">
        <v>729</v>
      </c>
      <c r="B2" s="47"/>
      <c r="C2" s="27"/>
      <c r="D2" s="50"/>
      <c r="E2" s="27"/>
      <c r="F2" s="49"/>
      <c r="G2" s="48"/>
      <c r="H2" s="47"/>
      <c r="I2" s="47"/>
      <c r="J2" s="50" t="s">
        <v>1184</v>
      </c>
      <c r="K2" s="47"/>
      <c r="L2" s="47"/>
      <c r="M2" s="47"/>
      <c r="O2" s="47"/>
      <c r="P2" s="27"/>
      <c r="Q2" s="27"/>
      <c r="R2" s="47"/>
      <c r="S2" s="47"/>
      <c r="T2" s="47"/>
      <c r="U2" s="47"/>
      <c r="V2" s="47"/>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42.75">
      <c r="A3" s="45" t="s">
        <v>1</v>
      </c>
      <c r="B3" s="45" t="s">
        <v>260</v>
      </c>
      <c r="C3" s="45" t="s">
        <v>2</v>
      </c>
      <c r="D3" s="46" t="s">
        <v>3</v>
      </c>
      <c r="E3" s="45" t="s">
        <v>261</v>
      </c>
      <c r="F3" s="46" t="s">
        <v>445</v>
      </c>
      <c r="G3" s="45" t="s">
        <v>730</v>
      </c>
      <c r="H3" s="45" t="s">
        <v>74</v>
      </c>
      <c r="I3" s="45" t="s">
        <v>262</v>
      </c>
      <c r="J3" s="45" t="s">
        <v>11</v>
      </c>
      <c r="K3" s="45" t="s">
        <v>12</v>
      </c>
      <c r="L3" s="45" t="s">
        <v>736</v>
      </c>
      <c r="M3" s="45" t="s">
        <v>737</v>
      </c>
      <c r="N3" s="45" t="s">
        <v>263</v>
      </c>
      <c r="O3" s="45" t="s">
        <v>264</v>
      </c>
      <c r="P3" s="45" t="s">
        <v>25</v>
      </c>
      <c r="Q3" s="45" t="s">
        <v>26</v>
      </c>
      <c r="R3" s="45" t="s">
        <v>265</v>
      </c>
      <c r="S3" s="45" t="s">
        <v>442</v>
      </c>
      <c r="T3" s="45" t="s">
        <v>738</v>
      </c>
      <c r="U3" s="45" t="s">
        <v>739</v>
      </c>
      <c r="V3" s="45" t="s">
        <v>732</v>
      </c>
      <c r="W3" s="45" t="s">
        <v>733</v>
      </c>
      <c r="X3" s="45" t="s">
        <v>734</v>
      </c>
      <c r="Y3" s="45" t="s">
        <v>735</v>
      </c>
      <c r="Z3" s="45" t="s">
        <v>364</v>
      </c>
      <c r="AA3" s="45" t="s">
        <v>740</v>
      </c>
      <c r="AB3" s="45" t="s">
        <v>741</v>
      </c>
      <c r="AC3" s="45" t="s">
        <v>742</v>
      </c>
      <c r="AD3" s="45" t="s">
        <v>67</v>
      </c>
      <c r="AE3" s="45" t="s">
        <v>62</v>
      </c>
      <c r="AF3" s="45" t="s">
        <v>444</v>
      </c>
      <c r="AG3" s="45" t="s">
        <v>4</v>
      </c>
      <c r="AH3" s="45" t="s">
        <v>5</v>
      </c>
      <c r="AI3" s="45" t="s">
        <v>81</v>
      </c>
      <c r="AJ3" s="45" t="s">
        <v>82</v>
      </c>
      <c r="AK3" s="45" t="s">
        <v>31</v>
      </c>
      <c r="AL3" s="45" t="s">
        <v>32</v>
      </c>
      <c r="AM3" s="45" t="s">
        <v>33</v>
      </c>
      <c r="AN3" s="45" t="s">
        <v>34</v>
      </c>
      <c r="AO3" s="45" t="s">
        <v>35</v>
      </c>
      <c r="AP3" s="45" t="s">
        <v>727</v>
      </c>
      <c r="AQ3" s="45" t="s">
        <v>63</v>
      </c>
      <c r="AR3" s="45" t="s">
        <v>64</v>
      </c>
      <c r="AS3" s="45" t="s">
        <v>441</v>
      </c>
      <c r="AT3" s="45" t="s">
        <v>66</v>
      </c>
      <c r="AU3" s="45" t="s">
        <v>68</v>
      </c>
      <c r="AV3" s="45" t="s">
        <v>75</v>
      </c>
      <c r="AW3" s="45" t="s">
        <v>76</v>
      </c>
      <c r="AX3" s="45" t="s">
        <v>71</v>
      </c>
      <c r="AY3" s="45" t="s">
        <v>72</v>
      </c>
      <c r="AZ3" s="45" t="s">
        <v>267</v>
      </c>
      <c r="BA3" s="45" t="s">
        <v>70</v>
      </c>
      <c r="BB3" s="45" t="s">
        <v>69</v>
      </c>
      <c r="BC3" s="45" t="s">
        <v>728</v>
      </c>
      <c r="BD3" s="45" t="s">
        <v>77</v>
      </c>
      <c r="BE3" s="45" t="s">
        <v>78</v>
      </c>
      <c r="BF3" s="45" t="s">
        <v>38</v>
      </c>
      <c r="BG3" s="45" t="s">
        <v>39</v>
      </c>
      <c r="BH3" s="45" t="s">
        <v>40</v>
      </c>
      <c r="BI3" s="45" t="s">
        <v>41</v>
      </c>
    </row>
    <row r="4" spans="1:61" ht="12.75" customHeight="1">
      <c r="A4" s="32">
        <v>2500</v>
      </c>
      <c r="B4" s="32">
        <v>2100</v>
      </c>
      <c r="C4" s="41" t="s">
        <v>1163</v>
      </c>
      <c r="D4" s="40" t="s">
        <v>79</v>
      </c>
      <c r="E4" s="37"/>
      <c r="F4" s="39" t="s">
        <v>494</v>
      </c>
      <c r="G4" s="37">
        <v>366</v>
      </c>
      <c r="H4" s="36"/>
      <c r="I4" s="36"/>
      <c r="J4" s="38" t="s">
        <v>1130</v>
      </c>
      <c r="K4" s="38" t="s">
        <v>1164</v>
      </c>
      <c r="L4" s="36"/>
      <c r="M4" s="36"/>
      <c r="N4" s="36">
        <v>137</v>
      </c>
      <c r="O4" s="36">
        <v>137</v>
      </c>
      <c r="Q4" s="37"/>
      <c r="R4" s="36" t="s">
        <v>1134</v>
      </c>
      <c r="S4" s="36">
        <v>0</v>
      </c>
      <c r="T4" s="36">
        <v>0</v>
      </c>
      <c r="U4" s="36">
        <v>0</v>
      </c>
      <c r="V4" s="36">
        <v>0</v>
      </c>
      <c r="W4" s="36">
        <v>0</v>
      </c>
      <c r="X4" s="36">
        <v>0</v>
      </c>
      <c r="Y4" s="36">
        <v>0</v>
      </c>
      <c r="Z4" s="36"/>
      <c r="AA4" s="36"/>
      <c r="AB4" s="36"/>
      <c r="AC4" s="36"/>
      <c r="AD4" s="36"/>
      <c r="AE4" s="36"/>
      <c r="AF4" s="36"/>
      <c r="AG4" s="36" t="s">
        <v>196</v>
      </c>
      <c r="AH4" s="36" t="s">
        <v>692</v>
      </c>
      <c r="AI4" s="36"/>
      <c r="AJ4" s="36" t="s">
        <v>1055</v>
      </c>
      <c r="AK4" s="36" t="s">
        <v>1010</v>
      </c>
      <c r="AL4" s="36" t="s">
        <v>1163</v>
      </c>
      <c r="AM4" s="36"/>
      <c r="AN4" s="36"/>
      <c r="AO4" s="36"/>
      <c r="AP4" s="36"/>
      <c r="AQ4" s="36"/>
      <c r="AR4" s="36"/>
      <c r="AS4" s="36"/>
      <c r="AT4" s="36"/>
      <c r="AU4" s="36"/>
      <c r="AV4" s="36"/>
      <c r="AW4" s="36"/>
      <c r="AX4" s="36"/>
      <c r="AY4" s="36"/>
      <c r="AZ4" s="36">
        <v>30</v>
      </c>
      <c r="BA4" s="36"/>
      <c r="BB4" s="36">
        <v>44</v>
      </c>
      <c r="BC4" s="36"/>
      <c r="BD4" s="36"/>
      <c r="BE4" s="36"/>
      <c r="BF4" s="36"/>
      <c r="BG4" s="36"/>
      <c r="BH4" s="36"/>
      <c r="BI4" s="36"/>
    </row>
    <row r="5" spans="1:61" ht="12.75" customHeight="1">
      <c r="A5" s="32">
        <v>2501</v>
      </c>
      <c r="B5" s="32">
        <v>2101</v>
      </c>
      <c r="C5" s="44" t="s">
        <v>1156</v>
      </c>
      <c r="D5" s="43" t="s">
        <v>83</v>
      </c>
      <c r="E5" s="37"/>
      <c r="F5" s="39" t="s">
        <v>744</v>
      </c>
      <c r="G5" s="37">
        <v>134</v>
      </c>
      <c r="H5" s="36">
        <v>187</v>
      </c>
      <c r="I5" s="36">
        <v>0</v>
      </c>
      <c r="J5" s="38" t="s">
        <v>1130</v>
      </c>
      <c r="K5" s="38" t="s">
        <v>1118</v>
      </c>
      <c r="L5" s="36"/>
      <c r="M5" s="36"/>
      <c r="N5" s="36">
        <v>24</v>
      </c>
      <c r="O5" s="36">
        <v>24</v>
      </c>
      <c r="Q5" s="37"/>
      <c r="R5" s="36"/>
      <c r="S5" s="36">
        <v>3843.7</v>
      </c>
      <c r="T5" s="36">
        <v>0</v>
      </c>
      <c r="U5" s="36">
        <v>3843.7</v>
      </c>
      <c r="V5" s="36">
        <v>45.1</v>
      </c>
      <c r="W5" s="36">
        <v>0</v>
      </c>
      <c r="X5" s="36">
        <v>45.1</v>
      </c>
      <c r="Y5" s="36">
        <v>0</v>
      </c>
      <c r="Z5" s="36"/>
      <c r="AA5" s="36"/>
      <c r="AB5" s="36"/>
      <c r="AC5" s="36">
        <v>0</v>
      </c>
      <c r="AD5" s="36">
        <v>0</v>
      </c>
      <c r="AE5" s="36"/>
      <c r="AF5" s="36"/>
      <c r="AG5" s="36" t="s">
        <v>196</v>
      </c>
      <c r="AH5" s="36"/>
      <c r="AI5" s="36"/>
      <c r="AJ5" s="36" t="s">
        <v>1055</v>
      </c>
      <c r="AK5" s="36" t="s">
        <v>1010</v>
      </c>
      <c r="AL5" s="36" t="s">
        <v>1059</v>
      </c>
      <c r="AM5" s="36" t="s">
        <v>1162</v>
      </c>
      <c r="AN5" s="36"/>
      <c r="AO5" s="36"/>
      <c r="AP5" s="36"/>
      <c r="AQ5" s="36"/>
      <c r="AR5" s="36"/>
      <c r="AS5" s="36">
        <v>0</v>
      </c>
      <c r="AT5" s="36">
        <v>0</v>
      </c>
      <c r="AU5" s="36">
        <v>1</v>
      </c>
      <c r="AV5" s="36"/>
      <c r="AW5" s="36"/>
      <c r="AX5" s="36"/>
      <c r="AY5" s="36"/>
      <c r="AZ5" s="36">
        <v>30</v>
      </c>
      <c r="BA5" s="36"/>
      <c r="BB5" s="36">
        <v>44</v>
      </c>
      <c r="BC5" s="36"/>
      <c r="BD5" s="36"/>
      <c r="BE5" s="36"/>
      <c r="BF5" s="36"/>
      <c r="BG5" s="36"/>
      <c r="BH5" s="36"/>
      <c r="BI5" s="36"/>
    </row>
    <row r="6" spans="1:61" ht="12.75" customHeight="1">
      <c r="A6" s="32">
        <v>2502</v>
      </c>
      <c r="B6" s="32">
        <v>2501</v>
      </c>
      <c r="C6" s="37" t="s">
        <v>1161</v>
      </c>
      <c r="D6" s="42" t="s">
        <v>84</v>
      </c>
      <c r="E6" s="37"/>
      <c r="F6" s="39" t="s">
        <v>745</v>
      </c>
      <c r="G6" s="37">
        <v>178</v>
      </c>
      <c r="H6" s="36">
        <v>100</v>
      </c>
      <c r="I6" s="36">
        <v>0</v>
      </c>
      <c r="J6" s="38" t="s">
        <v>1130</v>
      </c>
      <c r="K6" s="38" t="s">
        <v>1129</v>
      </c>
      <c r="L6" s="36"/>
      <c r="M6" s="36"/>
      <c r="N6" s="36">
        <v>9</v>
      </c>
      <c r="O6" s="36">
        <v>9</v>
      </c>
      <c r="Q6" s="37"/>
      <c r="R6" s="36"/>
      <c r="S6" s="36">
        <v>1265.5999999999999</v>
      </c>
      <c r="T6" s="36">
        <v>0</v>
      </c>
      <c r="U6" s="36">
        <v>1265.5999999999999</v>
      </c>
      <c r="V6" s="36">
        <v>16.899999999999999</v>
      </c>
      <c r="W6" s="36">
        <v>0</v>
      </c>
      <c r="X6" s="36">
        <v>16.899999999999999</v>
      </c>
      <c r="Y6" s="36">
        <v>0</v>
      </c>
      <c r="Z6" s="36"/>
      <c r="AA6" s="36"/>
      <c r="AB6" s="36"/>
      <c r="AC6" s="36">
        <v>0</v>
      </c>
      <c r="AD6" s="36">
        <v>0</v>
      </c>
      <c r="AE6" s="36"/>
      <c r="AF6" s="36"/>
      <c r="AG6" s="36" t="s">
        <v>196</v>
      </c>
      <c r="AH6" s="36"/>
      <c r="AI6" s="36"/>
      <c r="AJ6" s="36" t="s">
        <v>1055</v>
      </c>
      <c r="AK6" s="36" t="s">
        <v>1010</v>
      </c>
      <c r="AL6" s="36" t="s">
        <v>1059</v>
      </c>
      <c r="AM6" s="36" t="s">
        <v>1156</v>
      </c>
      <c r="AN6" s="36" t="s">
        <v>1160</v>
      </c>
      <c r="AO6" s="36"/>
      <c r="AP6" s="36"/>
      <c r="AQ6" s="36"/>
      <c r="AR6" s="36"/>
      <c r="AS6" s="36">
        <v>0</v>
      </c>
      <c r="AT6" s="36">
        <v>0</v>
      </c>
      <c r="AU6" s="36">
        <v>1</v>
      </c>
      <c r="AV6" s="36"/>
      <c r="AW6" s="36"/>
      <c r="AX6" s="36"/>
      <c r="AY6" s="36"/>
      <c r="AZ6" s="36">
        <v>30</v>
      </c>
      <c r="BA6" s="36"/>
      <c r="BB6" s="36">
        <v>44</v>
      </c>
      <c r="BC6" s="36"/>
      <c r="BD6" s="36"/>
      <c r="BE6" s="36"/>
      <c r="BF6" s="36"/>
      <c r="BG6" s="36"/>
      <c r="BH6" s="36"/>
      <c r="BI6" s="36"/>
    </row>
    <row r="7" spans="1:61" ht="12.75" customHeight="1">
      <c r="A7" s="32">
        <v>2503</v>
      </c>
      <c r="B7" s="32">
        <v>2502</v>
      </c>
      <c r="C7" s="37" t="s">
        <v>1114</v>
      </c>
      <c r="D7" s="42" t="s">
        <v>85</v>
      </c>
      <c r="E7" s="37"/>
      <c r="F7" s="39" t="s">
        <v>1131</v>
      </c>
      <c r="G7" s="37">
        <v>208</v>
      </c>
      <c r="H7" s="36"/>
      <c r="I7" s="36"/>
      <c r="J7" s="38" t="s">
        <v>1130</v>
      </c>
      <c r="K7" s="38" t="s">
        <v>1129</v>
      </c>
      <c r="L7" s="36"/>
      <c r="M7" s="36"/>
      <c r="N7" s="36">
        <v>9</v>
      </c>
      <c r="O7" s="36">
        <v>9</v>
      </c>
      <c r="Q7" s="37"/>
      <c r="R7" s="36" t="s">
        <v>1110</v>
      </c>
      <c r="S7" s="36">
        <v>1265.5999999999999</v>
      </c>
      <c r="T7" s="36">
        <v>0</v>
      </c>
      <c r="U7" s="36">
        <v>1265.5999999999999</v>
      </c>
      <c r="V7" s="36">
        <v>16.899999999999999</v>
      </c>
      <c r="W7" s="36">
        <v>0</v>
      </c>
      <c r="X7" s="36">
        <v>16.899999999999999</v>
      </c>
      <c r="Y7" s="36">
        <v>0</v>
      </c>
      <c r="Z7" s="36">
        <v>7.5</v>
      </c>
      <c r="AA7" s="36">
        <v>1.875</v>
      </c>
      <c r="AB7" s="36">
        <v>25</v>
      </c>
      <c r="AC7" s="36">
        <v>75</v>
      </c>
      <c r="AD7" s="36">
        <v>806</v>
      </c>
      <c r="AE7" s="36"/>
      <c r="AF7" s="36" t="s">
        <v>654</v>
      </c>
      <c r="AG7" s="36" t="s">
        <v>196</v>
      </c>
      <c r="AH7" s="36"/>
      <c r="AI7" s="36"/>
      <c r="AJ7" s="36"/>
      <c r="AK7" s="36"/>
      <c r="AL7" s="36"/>
      <c r="AM7" s="36"/>
      <c r="AN7" s="36"/>
      <c r="AO7" s="36"/>
      <c r="AP7" s="36"/>
      <c r="AQ7" s="36"/>
      <c r="AR7" s="36"/>
      <c r="AS7" s="36">
        <v>0</v>
      </c>
      <c r="AT7" s="36">
        <v>0</v>
      </c>
      <c r="AU7" s="36">
        <v>1</v>
      </c>
      <c r="AV7" s="36"/>
      <c r="AW7" s="36"/>
      <c r="AX7" s="36"/>
      <c r="AY7" s="36"/>
      <c r="AZ7" s="36">
        <v>30</v>
      </c>
      <c r="BA7" s="36"/>
      <c r="BB7" s="36">
        <v>44</v>
      </c>
      <c r="BC7" s="36"/>
      <c r="BD7" s="36"/>
      <c r="BE7" s="36"/>
      <c r="BF7" s="36"/>
      <c r="BG7" s="36"/>
      <c r="BH7" s="36"/>
      <c r="BI7" s="36"/>
    </row>
    <row r="8" spans="1:61" ht="12.75" customHeight="1">
      <c r="A8" s="32">
        <v>2504</v>
      </c>
      <c r="B8" s="32">
        <v>2501</v>
      </c>
      <c r="C8" s="37" t="s">
        <v>1159</v>
      </c>
      <c r="D8" s="42" t="s">
        <v>84</v>
      </c>
      <c r="E8" s="37"/>
      <c r="F8" s="39" t="s">
        <v>1128</v>
      </c>
      <c r="G8" s="37">
        <v>178</v>
      </c>
      <c r="H8" s="36">
        <v>100</v>
      </c>
      <c r="I8" s="36">
        <v>0</v>
      </c>
      <c r="J8" s="38" t="s">
        <v>1125</v>
      </c>
      <c r="K8" s="38" t="s">
        <v>1124</v>
      </c>
      <c r="L8" s="36"/>
      <c r="M8" s="36"/>
      <c r="N8" s="36">
        <v>10</v>
      </c>
      <c r="O8" s="36">
        <v>10</v>
      </c>
      <c r="Q8" s="37"/>
      <c r="R8" s="36"/>
      <c r="S8" s="36">
        <v>1875</v>
      </c>
      <c r="T8" s="36">
        <v>0</v>
      </c>
      <c r="U8" s="36">
        <v>1875</v>
      </c>
      <c r="V8" s="36">
        <v>18.8</v>
      </c>
      <c r="W8" s="36">
        <v>0</v>
      </c>
      <c r="X8" s="36">
        <v>18.8</v>
      </c>
      <c r="Y8" s="36">
        <v>0</v>
      </c>
      <c r="Z8" s="36"/>
      <c r="AA8" s="36"/>
      <c r="AB8" s="36"/>
      <c r="AC8" s="36">
        <v>0</v>
      </c>
      <c r="AD8" s="36">
        <v>0</v>
      </c>
      <c r="AE8" s="36"/>
      <c r="AF8" s="36"/>
      <c r="AG8" s="36" t="s">
        <v>196</v>
      </c>
      <c r="AH8" s="36"/>
      <c r="AI8" s="36"/>
      <c r="AJ8" s="36" t="s">
        <v>1055</v>
      </c>
      <c r="AK8" s="36" t="s">
        <v>1010</v>
      </c>
      <c r="AL8" s="36" t="s">
        <v>1059</v>
      </c>
      <c r="AM8" s="36" t="s">
        <v>1156</v>
      </c>
      <c r="AN8" s="36" t="s">
        <v>1158</v>
      </c>
      <c r="AO8" s="36"/>
      <c r="AP8" s="36"/>
      <c r="AQ8" s="36"/>
      <c r="AR8" s="36"/>
      <c r="AS8" s="36">
        <v>0</v>
      </c>
      <c r="AT8" s="36">
        <v>0</v>
      </c>
      <c r="AU8" s="36">
        <v>1</v>
      </c>
      <c r="AV8" s="36"/>
      <c r="AW8" s="36"/>
      <c r="AX8" s="36"/>
      <c r="AY8" s="36"/>
      <c r="AZ8" s="36">
        <v>30</v>
      </c>
      <c r="BA8" s="36"/>
      <c r="BB8" s="36">
        <v>44</v>
      </c>
      <c r="BC8" s="36"/>
      <c r="BD8" s="36"/>
      <c r="BE8" s="36"/>
      <c r="BF8" s="36"/>
      <c r="BG8" s="36"/>
      <c r="BH8" s="36"/>
      <c r="BI8" s="36"/>
    </row>
    <row r="9" spans="1:61" ht="12.75" customHeight="1">
      <c r="A9" s="32">
        <v>2505</v>
      </c>
      <c r="B9" s="32">
        <v>2504</v>
      </c>
      <c r="C9" s="37" t="s">
        <v>1072</v>
      </c>
      <c r="D9" s="42" t="s">
        <v>85</v>
      </c>
      <c r="E9" s="37"/>
      <c r="F9" s="39" t="s">
        <v>1126</v>
      </c>
      <c r="G9" s="37">
        <v>210</v>
      </c>
      <c r="H9" s="36"/>
      <c r="I9" s="36"/>
      <c r="J9" s="38" t="s">
        <v>1125</v>
      </c>
      <c r="K9" s="38" t="s">
        <v>1124</v>
      </c>
      <c r="L9" s="36"/>
      <c r="M9" s="36"/>
      <c r="N9" s="36">
        <v>10</v>
      </c>
      <c r="O9" s="36">
        <v>10</v>
      </c>
      <c r="Q9" s="37"/>
      <c r="R9" s="36" t="s">
        <v>1069</v>
      </c>
      <c r="S9" s="36">
        <v>1875</v>
      </c>
      <c r="T9" s="36">
        <v>0</v>
      </c>
      <c r="U9" s="36">
        <v>1875</v>
      </c>
      <c r="V9" s="36">
        <v>18.8</v>
      </c>
      <c r="W9" s="36">
        <v>0</v>
      </c>
      <c r="X9" s="36">
        <v>18.8</v>
      </c>
      <c r="Y9" s="36">
        <v>0</v>
      </c>
      <c r="Z9" s="36">
        <v>7.5</v>
      </c>
      <c r="AA9" s="36">
        <v>1.875</v>
      </c>
      <c r="AB9" s="36">
        <v>25</v>
      </c>
      <c r="AC9" s="36">
        <v>100</v>
      </c>
      <c r="AD9" s="36">
        <v>810</v>
      </c>
      <c r="AE9" s="36"/>
      <c r="AF9" s="36" t="s">
        <v>654</v>
      </c>
      <c r="AG9" s="36" t="s">
        <v>196</v>
      </c>
      <c r="AH9" s="36"/>
      <c r="AI9" s="36"/>
      <c r="AJ9" s="36"/>
      <c r="AK9" s="36"/>
      <c r="AL9" s="36"/>
      <c r="AM9" s="36"/>
      <c r="AN9" s="36"/>
      <c r="AO9" s="36"/>
      <c r="AP9" s="36"/>
      <c r="AQ9" s="36"/>
      <c r="AR9" s="36"/>
      <c r="AS9" s="36">
        <v>0</v>
      </c>
      <c r="AT9" s="36">
        <v>0</v>
      </c>
      <c r="AU9" s="36">
        <v>1</v>
      </c>
      <c r="AV9" s="36"/>
      <c r="AW9" s="36"/>
      <c r="AX9" s="36"/>
      <c r="AY9" s="36"/>
      <c r="AZ9" s="36">
        <v>30</v>
      </c>
      <c r="BA9" s="36"/>
      <c r="BB9" s="36">
        <v>44</v>
      </c>
      <c r="BC9" s="36"/>
      <c r="BD9" s="36"/>
      <c r="BE9" s="36"/>
      <c r="BF9" s="36"/>
      <c r="BG9" s="36"/>
      <c r="BH9" s="36"/>
      <c r="BI9" s="36"/>
    </row>
    <row r="10" spans="1:61" ht="12.75" customHeight="1">
      <c r="A10" s="32">
        <v>2506</v>
      </c>
      <c r="B10" s="32">
        <v>2501</v>
      </c>
      <c r="C10" s="37" t="s">
        <v>1157</v>
      </c>
      <c r="D10" s="42" t="s">
        <v>84</v>
      </c>
      <c r="E10" s="37"/>
      <c r="F10" s="39" t="s">
        <v>1123</v>
      </c>
      <c r="G10" s="37">
        <v>184</v>
      </c>
      <c r="H10" s="36">
        <v>100</v>
      </c>
      <c r="I10" s="36">
        <v>0</v>
      </c>
      <c r="J10" s="38" t="s">
        <v>1119</v>
      </c>
      <c r="K10" s="38" t="s">
        <v>1118</v>
      </c>
      <c r="L10" s="36"/>
      <c r="M10" s="36"/>
      <c r="N10" s="36">
        <v>5</v>
      </c>
      <c r="O10" s="36">
        <v>5</v>
      </c>
      <c r="Q10" s="37"/>
      <c r="R10" s="36"/>
      <c r="S10" s="36">
        <v>703.1</v>
      </c>
      <c r="T10" s="36">
        <v>0</v>
      </c>
      <c r="U10" s="36">
        <v>703.1</v>
      </c>
      <c r="V10" s="36">
        <v>9.4</v>
      </c>
      <c r="W10" s="36">
        <v>0</v>
      </c>
      <c r="X10" s="36">
        <v>9.4</v>
      </c>
      <c r="Y10" s="36">
        <v>0</v>
      </c>
      <c r="Z10" s="36"/>
      <c r="AA10" s="36"/>
      <c r="AB10" s="36"/>
      <c r="AC10" s="36">
        <v>0</v>
      </c>
      <c r="AD10" s="36">
        <v>0</v>
      </c>
      <c r="AE10" s="36"/>
      <c r="AF10" s="36"/>
      <c r="AG10" s="36" t="s">
        <v>196</v>
      </c>
      <c r="AH10" s="36"/>
      <c r="AI10" s="36"/>
      <c r="AJ10" s="36" t="s">
        <v>1055</v>
      </c>
      <c r="AK10" s="36" t="s">
        <v>1010</v>
      </c>
      <c r="AL10" s="36" t="s">
        <v>1059</v>
      </c>
      <c r="AM10" s="36" t="s">
        <v>1156</v>
      </c>
      <c r="AN10" s="36" t="s">
        <v>1155</v>
      </c>
      <c r="AO10" s="36"/>
      <c r="AP10" s="36"/>
      <c r="AQ10" s="36"/>
      <c r="AR10" s="36"/>
      <c r="AS10" s="36">
        <v>0</v>
      </c>
      <c r="AT10" s="36">
        <v>0</v>
      </c>
      <c r="AU10" s="36">
        <v>1</v>
      </c>
      <c r="AV10" s="36"/>
      <c r="AW10" s="36"/>
      <c r="AX10" s="36"/>
      <c r="AY10" s="36"/>
      <c r="AZ10" s="36">
        <v>30</v>
      </c>
      <c r="BA10" s="36"/>
      <c r="BB10" s="36">
        <v>44</v>
      </c>
      <c r="BC10" s="36"/>
      <c r="BD10" s="36"/>
      <c r="BE10" s="36"/>
      <c r="BF10" s="36"/>
      <c r="BG10" s="36"/>
      <c r="BH10" s="36"/>
      <c r="BI10" s="36"/>
    </row>
    <row r="11" spans="1:61" ht="12.75" customHeight="1">
      <c r="A11" s="32">
        <v>2507</v>
      </c>
      <c r="B11" s="32">
        <v>2506</v>
      </c>
      <c r="C11" s="37" t="s">
        <v>1065</v>
      </c>
      <c r="D11" s="42" t="s">
        <v>85</v>
      </c>
      <c r="E11" s="37"/>
      <c r="F11" s="39" t="s">
        <v>1120</v>
      </c>
      <c r="G11" s="37">
        <v>220</v>
      </c>
      <c r="H11" s="36"/>
      <c r="I11" s="36"/>
      <c r="J11" s="38" t="s">
        <v>1119</v>
      </c>
      <c r="K11" s="38" t="s">
        <v>1118</v>
      </c>
      <c r="L11" s="36"/>
      <c r="M11" s="36"/>
      <c r="N11" s="36">
        <v>5</v>
      </c>
      <c r="O11" s="36">
        <v>5</v>
      </c>
      <c r="Q11" s="37"/>
      <c r="R11" s="36" t="s">
        <v>1061</v>
      </c>
      <c r="S11" s="36">
        <v>703.1</v>
      </c>
      <c r="T11" s="36">
        <v>0</v>
      </c>
      <c r="U11" s="36">
        <v>703.1</v>
      </c>
      <c r="V11" s="36">
        <v>9.4</v>
      </c>
      <c r="W11" s="36">
        <v>0</v>
      </c>
      <c r="X11" s="36">
        <v>9.4</v>
      </c>
      <c r="Y11" s="36">
        <v>0</v>
      </c>
      <c r="Z11" s="36">
        <v>7.5</v>
      </c>
      <c r="AA11" s="36">
        <v>1.875</v>
      </c>
      <c r="AB11" s="36">
        <v>25</v>
      </c>
      <c r="AC11" s="36">
        <v>75</v>
      </c>
      <c r="AD11" s="36">
        <v>809</v>
      </c>
      <c r="AE11" s="36"/>
      <c r="AF11" s="36" t="s">
        <v>654</v>
      </c>
      <c r="AG11" s="36" t="s">
        <v>196</v>
      </c>
      <c r="AH11" s="36"/>
      <c r="AI11" s="36"/>
      <c r="AJ11" s="36"/>
      <c r="AK11" s="36"/>
      <c r="AL11" s="36"/>
      <c r="AM11" s="36"/>
      <c r="AN11" s="36"/>
      <c r="AO11" s="36"/>
      <c r="AP11" s="36"/>
      <c r="AQ11" s="36"/>
      <c r="AR11" s="36"/>
      <c r="AS11" s="36">
        <v>0</v>
      </c>
      <c r="AT11" s="36">
        <v>0</v>
      </c>
      <c r="AU11" s="36">
        <v>1</v>
      </c>
      <c r="AV11" s="36"/>
      <c r="AW11" s="36"/>
      <c r="AX11" s="36"/>
      <c r="AY11" s="36"/>
      <c r="AZ11" s="36">
        <v>30</v>
      </c>
      <c r="BA11" s="36"/>
      <c r="BB11" s="36">
        <v>44</v>
      </c>
      <c r="BC11" s="36"/>
      <c r="BD11" s="36"/>
      <c r="BE11" s="36"/>
      <c r="BF11" s="36"/>
      <c r="BG11" s="36"/>
      <c r="BH11" s="36"/>
      <c r="BI11" s="36"/>
    </row>
    <row r="12" spans="1:61" ht="12.75" customHeight="1">
      <c r="A12" s="32">
        <v>2508</v>
      </c>
      <c r="B12" s="32">
        <v>2101</v>
      </c>
      <c r="C12" s="44" t="s">
        <v>1150</v>
      </c>
      <c r="D12" s="43" t="s">
        <v>83</v>
      </c>
      <c r="E12" s="37"/>
      <c r="F12" s="39" t="s">
        <v>1117</v>
      </c>
      <c r="G12" s="37">
        <v>140</v>
      </c>
      <c r="H12" s="36">
        <v>194</v>
      </c>
      <c r="I12" s="36">
        <v>0</v>
      </c>
      <c r="J12" s="38" t="s">
        <v>1112</v>
      </c>
      <c r="K12" s="38" t="s">
        <v>1105</v>
      </c>
      <c r="L12" s="36"/>
      <c r="M12" s="36"/>
      <c r="N12" s="36">
        <v>15</v>
      </c>
      <c r="O12" s="36">
        <v>15</v>
      </c>
      <c r="Q12" s="37"/>
      <c r="R12" s="36"/>
      <c r="S12" s="36">
        <v>3609.4</v>
      </c>
      <c r="T12" s="36">
        <v>0</v>
      </c>
      <c r="U12" s="36">
        <v>3609.4</v>
      </c>
      <c r="V12" s="36">
        <v>43.1</v>
      </c>
      <c r="W12" s="36">
        <v>0</v>
      </c>
      <c r="X12" s="36">
        <v>43.1</v>
      </c>
      <c r="Y12" s="36">
        <v>0</v>
      </c>
      <c r="Z12" s="36"/>
      <c r="AA12" s="36"/>
      <c r="AB12" s="36"/>
      <c r="AC12" s="36">
        <v>0</v>
      </c>
      <c r="AD12" s="36">
        <v>0</v>
      </c>
      <c r="AE12" s="36"/>
      <c r="AF12" s="36"/>
      <c r="AG12" s="36" t="s">
        <v>196</v>
      </c>
      <c r="AH12" s="36"/>
      <c r="AI12" s="36"/>
      <c r="AJ12" s="36" t="s">
        <v>1055</v>
      </c>
      <c r="AK12" s="36" t="s">
        <v>1010</v>
      </c>
      <c r="AL12" s="36" t="s">
        <v>1059</v>
      </c>
      <c r="AM12" s="36" t="s">
        <v>1150</v>
      </c>
      <c r="AN12" s="36"/>
      <c r="AO12" s="36"/>
      <c r="AP12" s="36"/>
      <c r="AQ12" s="36"/>
      <c r="AR12" s="36"/>
      <c r="AS12" s="36">
        <v>0</v>
      </c>
      <c r="AT12" s="36">
        <v>0</v>
      </c>
      <c r="AU12" s="36">
        <v>1</v>
      </c>
      <c r="AV12" s="36"/>
      <c r="AW12" s="36"/>
      <c r="AX12" s="36"/>
      <c r="AY12" s="36"/>
      <c r="AZ12" s="36">
        <v>30</v>
      </c>
      <c r="BA12" s="36"/>
      <c r="BB12" s="36">
        <v>44</v>
      </c>
      <c r="BC12" s="36"/>
      <c r="BD12" s="36"/>
      <c r="BE12" s="36"/>
      <c r="BF12" s="36"/>
      <c r="BG12" s="36"/>
      <c r="BH12" s="36"/>
      <c r="BI12" s="36"/>
    </row>
    <row r="13" spans="1:61" ht="12.75" customHeight="1">
      <c r="A13" s="32">
        <v>2509</v>
      </c>
      <c r="B13" s="32">
        <v>2508</v>
      </c>
      <c r="C13" s="37" t="s">
        <v>1154</v>
      </c>
      <c r="D13" s="42" t="s">
        <v>84</v>
      </c>
      <c r="E13" s="37"/>
      <c r="F13" s="39" t="s">
        <v>1116</v>
      </c>
      <c r="G13" s="37">
        <v>184</v>
      </c>
      <c r="H13" s="36">
        <v>100</v>
      </c>
      <c r="I13" s="36">
        <v>0</v>
      </c>
      <c r="J13" s="38" t="s">
        <v>1112</v>
      </c>
      <c r="K13" s="38" t="s">
        <v>1111</v>
      </c>
      <c r="L13" s="36"/>
      <c r="M13" s="36"/>
      <c r="N13" s="36">
        <v>5</v>
      </c>
      <c r="O13" s="36">
        <v>5</v>
      </c>
      <c r="Q13" s="37"/>
      <c r="R13" s="36"/>
      <c r="S13" s="36">
        <v>984.4</v>
      </c>
      <c r="T13" s="36">
        <v>0</v>
      </c>
      <c r="U13" s="36">
        <v>984.4</v>
      </c>
      <c r="V13" s="36">
        <v>13.1</v>
      </c>
      <c r="W13" s="36">
        <v>0</v>
      </c>
      <c r="X13" s="36">
        <v>13.1</v>
      </c>
      <c r="Y13" s="36">
        <v>0</v>
      </c>
      <c r="Z13" s="36"/>
      <c r="AA13" s="36"/>
      <c r="AB13" s="36"/>
      <c r="AC13" s="36">
        <v>0</v>
      </c>
      <c r="AD13" s="36">
        <v>0</v>
      </c>
      <c r="AE13" s="36"/>
      <c r="AF13" s="36"/>
      <c r="AG13" s="36" t="s">
        <v>196</v>
      </c>
      <c r="AH13" s="36"/>
      <c r="AI13" s="36"/>
      <c r="AJ13" s="36" t="s">
        <v>1055</v>
      </c>
      <c r="AK13" s="36" t="s">
        <v>1010</v>
      </c>
      <c r="AL13" s="36" t="s">
        <v>1059</v>
      </c>
      <c r="AM13" s="36" t="s">
        <v>1150</v>
      </c>
      <c r="AN13" s="36" t="s">
        <v>1153</v>
      </c>
      <c r="AO13" s="36"/>
      <c r="AP13" s="36"/>
      <c r="AQ13" s="36"/>
      <c r="AR13" s="36"/>
      <c r="AS13" s="36">
        <v>0</v>
      </c>
      <c r="AT13" s="36">
        <v>0</v>
      </c>
      <c r="AU13" s="36">
        <v>1</v>
      </c>
      <c r="AV13" s="36"/>
      <c r="AW13" s="36"/>
      <c r="AX13" s="36"/>
      <c r="AY13" s="36"/>
      <c r="AZ13" s="36">
        <v>30</v>
      </c>
      <c r="BA13" s="36"/>
      <c r="BB13" s="36">
        <v>44</v>
      </c>
      <c r="BC13" s="36"/>
      <c r="BD13" s="36"/>
      <c r="BE13" s="36"/>
      <c r="BF13" s="36"/>
      <c r="BG13" s="36"/>
      <c r="BH13" s="36"/>
      <c r="BI13" s="36"/>
    </row>
    <row r="14" spans="1:61" ht="12.75" customHeight="1">
      <c r="A14" s="32">
        <v>2510</v>
      </c>
      <c r="B14" s="32">
        <v>2509</v>
      </c>
      <c r="C14" s="37" t="s">
        <v>1114</v>
      </c>
      <c r="D14" s="42" t="s">
        <v>85</v>
      </c>
      <c r="E14" s="37"/>
      <c r="F14" s="39" t="s">
        <v>1113</v>
      </c>
      <c r="G14" s="37">
        <v>214</v>
      </c>
      <c r="H14" s="36"/>
      <c r="I14" s="36"/>
      <c r="J14" s="38" t="s">
        <v>1112</v>
      </c>
      <c r="K14" s="38" t="s">
        <v>1111</v>
      </c>
      <c r="L14" s="36"/>
      <c r="M14" s="36"/>
      <c r="N14" s="36">
        <v>4</v>
      </c>
      <c r="O14" s="36">
        <v>4</v>
      </c>
      <c r="Q14" s="37"/>
      <c r="R14" s="36" t="s">
        <v>1110</v>
      </c>
      <c r="S14" s="36">
        <v>984.4</v>
      </c>
      <c r="T14" s="36">
        <v>0</v>
      </c>
      <c r="U14" s="36">
        <v>984.4</v>
      </c>
      <c r="V14" s="36">
        <v>13.1</v>
      </c>
      <c r="W14" s="36">
        <v>0</v>
      </c>
      <c r="X14" s="36">
        <v>13.1</v>
      </c>
      <c r="Y14" s="36">
        <v>0</v>
      </c>
      <c r="Z14" s="36">
        <v>7.5</v>
      </c>
      <c r="AA14" s="36">
        <v>1.875</v>
      </c>
      <c r="AB14" s="36">
        <v>25</v>
      </c>
      <c r="AC14" s="36">
        <v>75</v>
      </c>
      <c r="AD14" s="36">
        <v>806</v>
      </c>
      <c r="AE14" s="36"/>
      <c r="AF14" s="36" t="s">
        <v>654</v>
      </c>
      <c r="AG14" s="36" t="s">
        <v>196</v>
      </c>
      <c r="AH14" s="36"/>
      <c r="AI14" s="36"/>
      <c r="AJ14" s="36"/>
      <c r="AK14" s="36"/>
      <c r="AL14" s="36"/>
      <c r="AM14" s="36"/>
      <c r="AN14" s="36"/>
      <c r="AO14" s="36"/>
      <c r="AP14" s="36"/>
      <c r="AQ14" s="36"/>
      <c r="AR14" s="36"/>
      <c r="AS14" s="36">
        <v>0</v>
      </c>
      <c r="AT14" s="36">
        <v>0</v>
      </c>
      <c r="AU14" s="36">
        <v>1</v>
      </c>
      <c r="AV14" s="36"/>
      <c r="AW14" s="36"/>
      <c r="AX14" s="36"/>
      <c r="AY14" s="36"/>
      <c r="AZ14" s="36">
        <v>30</v>
      </c>
      <c r="BA14" s="36"/>
      <c r="BB14" s="36">
        <v>44</v>
      </c>
      <c r="BC14" s="36"/>
      <c r="BD14" s="36"/>
      <c r="BE14" s="36"/>
      <c r="BF14" s="36"/>
      <c r="BG14" s="36"/>
      <c r="BH14" s="36"/>
      <c r="BI14" s="36"/>
    </row>
    <row r="15" spans="1:61" ht="12.75" customHeight="1">
      <c r="A15" s="32">
        <v>2511</v>
      </c>
      <c r="B15" s="32">
        <v>2508</v>
      </c>
      <c r="C15" s="37" t="s">
        <v>1152</v>
      </c>
      <c r="D15" s="42" t="s">
        <v>84</v>
      </c>
      <c r="E15" s="37"/>
      <c r="F15" s="39" t="s">
        <v>1109</v>
      </c>
      <c r="G15" s="37">
        <v>184</v>
      </c>
      <c r="H15" s="36">
        <v>100</v>
      </c>
      <c r="I15" s="36">
        <v>0</v>
      </c>
      <c r="J15" s="38" t="s">
        <v>1106</v>
      </c>
      <c r="K15" s="38" t="s">
        <v>1105</v>
      </c>
      <c r="L15" s="36"/>
      <c r="M15" s="36"/>
      <c r="N15" s="36">
        <v>5</v>
      </c>
      <c r="O15" s="36">
        <v>5</v>
      </c>
      <c r="Q15" s="37"/>
      <c r="R15" s="36"/>
      <c r="S15" s="36">
        <v>1125</v>
      </c>
      <c r="T15" s="36">
        <v>0</v>
      </c>
      <c r="U15" s="36">
        <v>1125</v>
      </c>
      <c r="V15" s="36">
        <v>15</v>
      </c>
      <c r="W15" s="36">
        <v>0</v>
      </c>
      <c r="X15" s="36">
        <v>15</v>
      </c>
      <c r="Y15" s="36">
        <v>0</v>
      </c>
      <c r="Z15" s="36"/>
      <c r="AA15" s="36"/>
      <c r="AB15" s="36"/>
      <c r="AC15" s="36"/>
      <c r="AD15" s="36">
        <v>0</v>
      </c>
      <c r="AE15" s="36"/>
      <c r="AF15" s="36"/>
      <c r="AG15" s="36" t="s">
        <v>196</v>
      </c>
      <c r="AH15" s="36"/>
      <c r="AI15" s="36"/>
      <c r="AJ15" s="36"/>
      <c r="AK15" s="36" t="s">
        <v>1010</v>
      </c>
      <c r="AL15" s="36" t="s">
        <v>1059</v>
      </c>
      <c r="AM15" s="36" t="s">
        <v>1150</v>
      </c>
      <c r="AN15" s="36" t="s">
        <v>1152</v>
      </c>
      <c r="AO15" s="36"/>
      <c r="AP15" s="36"/>
      <c r="AQ15" s="36"/>
      <c r="AR15" s="36"/>
      <c r="AS15" s="36">
        <v>0</v>
      </c>
      <c r="AT15" s="36">
        <v>0</v>
      </c>
      <c r="AU15" s="36">
        <v>1</v>
      </c>
      <c r="AV15" s="36"/>
      <c r="AW15" s="36"/>
      <c r="AX15" s="36"/>
      <c r="AY15" s="36"/>
      <c r="AZ15" s="36">
        <v>30</v>
      </c>
      <c r="BA15" s="36"/>
      <c r="BB15" s="36">
        <v>44</v>
      </c>
      <c r="BC15" s="36"/>
      <c r="BD15" s="36"/>
      <c r="BE15" s="36"/>
      <c r="BF15" s="36"/>
      <c r="BG15" s="36"/>
      <c r="BH15" s="36"/>
      <c r="BI15" s="36"/>
    </row>
    <row r="16" spans="1:61" ht="12.75" customHeight="1">
      <c r="A16" s="32">
        <v>2512</v>
      </c>
      <c r="B16" s="32">
        <v>2511</v>
      </c>
      <c r="C16" s="37" t="s">
        <v>1065</v>
      </c>
      <c r="D16" s="42" t="s">
        <v>85</v>
      </c>
      <c r="E16" s="37"/>
      <c r="F16" s="39" t="s">
        <v>1107</v>
      </c>
      <c r="G16" s="37">
        <v>214</v>
      </c>
      <c r="H16" s="36"/>
      <c r="I16" s="36"/>
      <c r="J16" s="38" t="s">
        <v>1106</v>
      </c>
      <c r="K16" s="38" t="s">
        <v>1105</v>
      </c>
      <c r="L16" s="36"/>
      <c r="M16" s="36"/>
      <c r="N16" s="36">
        <v>4</v>
      </c>
      <c r="O16" s="36">
        <v>4</v>
      </c>
      <c r="Q16" s="37"/>
      <c r="R16" s="36" t="s">
        <v>1061</v>
      </c>
      <c r="S16" s="36">
        <v>1125</v>
      </c>
      <c r="T16" s="36">
        <v>0</v>
      </c>
      <c r="U16" s="36">
        <v>1125</v>
      </c>
      <c r="V16" s="36">
        <v>15</v>
      </c>
      <c r="W16" s="36">
        <v>0</v>
      </c>
      <c r="X16" s="36">
        <v>15</v>
      </c>
      <c r="Y16" s="36">
        <v>0</v>
      </c>
      <c r="Z16" s="36">
        <v>7.5</v>
      </c>
      <c r="AA16" s="36">
        <v>1.875</v>
      </c>
      <c r="AB16" s="36">
        <v>25</v>
      </c>
      <c r="AC16" s="36">
        <v>75</v>
      </c>
      <c r="AD16" s="36">
        <v>809</v>
      </c>
      <c r="AE16" s="36"/>
      <c r="AF16" s="36" t="s">
        <v>654</v>
      </c>
      <c r="AG16" s="36" t="s">
        <v>196</v>
      </c>
      <c r="AH16" s="36"/>
      <c r="AI16" s="36"/>
      <c r="AJ16" s="36"/>
      <c r="AK16" s="36"/>
      <c r="AL16" s="36"/>
      <c r="AM16" s="36"/>
      <c r="AN16" s="36"/>
      <c r="AO16" s="36"/>
      <c r="AP16" s="36"/>
      <c r="AQ16" s="36"/>
      <c r="AR16" s="36"/>
      <c r="AS16" s="36">
        <v>0</v>
      </c>
      <c r="AT16" s="36">
        <v>0</v>
      </c>
      <c r="AU16" s="36">
        <v>1</v>
      </c>
      <c r="AV16" s="36"/>
      <c r="AW16" s="36"/>
      <c r="AX16" s="36"/>
      <c r="AY16" s="36"/>
      <c r="AZ16" s="36">
        <v>30</v>
      </c>
      <c r="BA16" s="36"/>
      <c r="BB16" s="36">
        <v>44</v>
      </c>
      <c r="BC16" s="36"/>
      <c r="BD16" s="36"/>
      <c r="BE16" s="36"/>
      <c r="BF16" s="36"/>
      <c r="BG16" s="36"/>
      <c r="BH16" s="36"/>
      <c r="BI16" s="36"/>
    </row>
    <row r="17" spans="1:61" ht="12.75" customHeight="1">
      <c r="A17" s="32">
        <v>2513</v>
      </c>
      <c r="B17" s="32">
        <v>2508</v>
      </c>
      <c r="C17" s="37" t="s">
        <v>1151</v>
      </c>
      <c r="D17" s="42" t="s">
        <v>84</v>
      </c>
      <c r="E17" s="37"/>
      <c r="F17" s="39" t="s">
        <v>1104</v>
      </c>
      <c r="G17" s="37">
        <v>186</v>
      </c>
      <c r="H17" s="36">
        <v>100</v>
      </c>
      <c r="I17" s="36">
        <v>0</v>
      </c>
      <c r="J17" s="38" t="s">
        <v>1100</v>
      </c>
      <c r="K17" s="38" t="s">
        <v>1099</v>
      </c>
      <c r="L17" s="36"/>
      <c r="M17" s="36"/>
      <c r="N17" s="36">
        <v>5</v>
      </c>
      <c r="O17" s="36">
        <v>5</v>
      </c>
      <c r="Q17" s="37"/>
      <c r="R17" s="36"/>
      <c r="S17" s="36">
        <v>1500</v>
      </c>
      <c r="T17" s="36">
        <v>0</v>
      </c>
      <c r="U17" s="36">
        <v>1500</v>
      </c>
      <c r="V17" s="36">
        <v>15</v>
      </c>
      <c r="W17" s="36">
        <v>0</v>
      </c>
      <c r="X17" s="36">
        <v>15</v>
      </c>
      <c r="Y17" s="36">
        <v>0</v>
      </c>
      <c r="Z17" s="36"/>
      <c r="AA17" s="36"/>
      <c r="AB17" s="36"/>
      <c r="AC17" s="36">
        <v>0</v>
      </c>
      <c r="AD17" s="36">
        <v>0</v>
      </c>
      <c r="AE17" s="36"/>
      <c r="AF17" s="36"/>
      <c r="AG17" s="36" t="s">
        <v>196</v>
      </c>
      <c r="AH17" s="36"/>
      <c r="AI17" s="36"/>
      <c r="AJ17" s="36" t="s">
        <v>1055</v>
      </c>
      <c r="AK17" s="36" t="s">
        <v>1010</v>
      </c>
      <c r="AL17" s="36" t="s">
        <v>1059</v>
      </c>
      <c r="AM17" s="36" t="s">
        <v>1150</v>
      </c>
      <c r="AN17" s="36" t="s">
        <v>1149</v>
      </c>
      <c r="AO17" s="36"/>
      <c r="AP17" s="36"/>
      <c r="AQ17" s="36"/>
      <c r="AR17" s="36"/>
      <c r="AS17" s="36">
        <v>0</v>
      </c>
      <c r="AT17" s="36">
        <v>0</v>
      </c>
      <c r="AU17" s="36">
        <v>1</v>
      </c>
      <c r="AV17" s="36"/>
      <c r="AW17" s="36"/>
      <c r="AX17" s="36"/>
      <c r="AY17" s="36"/>
      <c r="AZ17" s="36">
        <v>30</v>
      </c>
      <c r="BA17" s="36"/>
      <c r="BB17" s="36">
        <v>44</v>
      </c>
      <c r="BC17" s="36"/>
      <c r="BD17" s="36"/>
      <c r="BE17" s="36"/>
      <c r="BF17" s="36"/>
      <c r="BG17" s="36"/>
      <c r="BH17" s="36"/>
      <c r="BI17" s="36"/>
    </row>
    <row r="18" spans="1:61" ht="12.75" customHeight="1">
      <c r="A18" s="32">
        <v>2514</v>
      </c>
      <c r="B18" s="32">
        <v>2513</v>
      </c>
      <c r="C18" s="37" t="s">
        <v>1072</v>
      </c>
      <c r="D18" s="42" t="s">
        <v>85</v>
      </c>
      <c r="E18" s="37"/>
      <c r="F18" s="39" t="s">
        <v>1101</v>
      </c>
      <c r="G18" s="37">
        <v>216</v>
      </c>
      <c r="H18" s="36"/>
      <c r="I18" s="36"/>
      <c r="J18" s="38" t="s">
        <v>1100</v>
      </c>
      <c r="K18" s="38" t="s">
        <v>1099</v>
      </c>
      <c r="L18" s="36"/>
      <c r="M18" s="36"/>
      <c r="N18" s="36">
        <v>4</v>
      </c>
      <c r="O18" s="36">
        <v>4</v>
      </c>
      <c r="Q18" s="37"/>
      <c r="R18" s="36" t="s">
        <v>1069</v>
      </c>
      <c r="S18" s="36">
        <v>1500</v>
      </c>
      <c r="T18" s="36">
        <v>0</v>
      </c>
      <c r="U18" s="36">
        <v>1500</v>
      </c>
      <c r="V18" s="36">
        <v>15</v>
      </c>
      <c r="W18" s="36">
        <v>0</v>
      </c>
      <c r="X18" s="36">
        <v>15</v>
      </c>
      <c r="Y18" s="36">
        <v>0</v>
      </c>
      <c r="Z18" s="36">
        <v>7.5</v>
      </c>
      <c r="AA18" s="36">
        <v>1.875</v>
      </c>
      <c r="AB18" s="36">
        <v>25</v>
      </c>
      <c r="AC18" s="36">
        <v>100</v>
      </c>
      <c r="AD18" s="36">
        <v>810</v>
      </c>
      <c r="AE18" s="36"/>
      <c r="AF18" s="36" t="s">
        <v>654</v>
      </c>
      <c r="AG18" s="36" t="s">
        <v>196</v>
      </c>
      <c r="AH18" s="36"/>
      <c r="AI18" s="36"/>
      <c r="AJ18" s="36"/>
      <c r="AK18" s="36"/>
      <c r="AL18" s="36"/>
      <c r="AM18" s="36"/>
      <c r="AN18" s="36"/>
      <c r="AO18" s="36"/>
      <c r="AP18" s="36"/>
      <c r="AQ18" s="36"/>
      <c r="AR18" s="36"/>
      <c r="AS18" s="36">
        <v>0</v>
      </c>
      <c r="AT18" s="36">
        <v>0</v>
      </c>
      <c r="AU18" s="36">
        <v>1</v>
      </c>
      <c r="AV18" s="36"/>
      <c r="AW18" s="36"/>
      <c r="AX18" s="36"/>
      <c r="AY18" s="36"/>
      <c r="AZ18" s="36">
        <v>30</v>
      </c>
      <c r="BA18" s="36"/>
      <c r="BB18" s="36">
        <v>44</v>
      </c>
      <c r="BC18" s="36"/>
      <c r="BD18" s="36"/>
      <c r="BE18" s="36"/>
      <c r="BF18" s="36"/>
      <c r="BG18" s="36"/>
      <c r="BH18" s="36"/>
      <c r="BI18" s="36"/>
    </row>
    <row r="19" spans="1:61" ht="12.75" customHeight="1">
      <c r="A19" s="32">
        <v>2515</v>
      </c>
      <c r="B19" s="32">
        <v>2101</v>
      </c>
      <c r="C19" s="44" t="s">
        <v>1148</v>
      </c>
      <c r="D19" s="43" t="s">
        <v>83</v>
      </c>
      <c r="E19" s="37"/>
      <c r="F19" s="39" t="s">
        <v>1098</v>
      </c>
      <c r="G19" s="37">
        <v>148</v>
      </c>
      <c r="H19" s="36">
        <v>176</v>
      </c>
      <c r="I19" s="36">
        <v>0</v>
      </c>
      <c r="J19" s="38" t="s">
        <v>1082</v>
      </c>
      <c r="K19" s="38" t="s">
        <v>1081</v>
      </c>
      <c r="L19" s="36"/>
      <c r="M19" s="36"/>
      <c r="N19" s="36">
        <v>10</v>
      </c>
      <c r="O19" s="36">
        <v>10</v>
      </c>
      <c r="Q19" s="37"/>
      <c r="R19" s="36"/>
      <c r="S19" s="36">
        <v>2343.9</v>
      </c>
      <c r="T19" s="36">
        <v>0</v>
      </c>
      <c r="U19" s="36">
        <v>2343.9</v>
      </c>
      <c r="V19" s="36">
        <v>37.6</v>
      </c>
      <c r="W19" s="36">
        <v>0</v>
      </c>
      <c r="X19" s="36">
        <v>37.6</v>
      </c>
      <c r="Y19" s="36">
        <v>0</v>
      </c>
      <c r="Z19" s="36"/>
      <c r="AA19" s="36"/>
      <c r="AB19" s="36"/>
      <c r="AC19" s="36">
        <v>0</v>
      </c>
      <c r="AD19" s="36">
        <v>0</v>
      </c>
      <c r="AE19" s="36"/>
      <c r="AF19" s="36"/>
      <c r="AG19" s="36" t="s">
        <v>196</v>
      </c>
      <c r="AH19" s="36"/>
      <c r="AI19" s="36"/>
      <c r="AJ19" s="36" t="s">
        <v>1055</v>
      </c>
      <c r="AK19" s="36" t="s">
        <v>1010</v>
      </c>
      <c r="AL19" s="36" t="s">
        <v>1059</v>
      </c>
      <c r="AM19" s="36" t="s">
        <v>1148</v>
      </c>
      <c r="AN19" s="36"/>
      <c r="AO19" s="36"/>
      <c r="AP19" s="36"/>
      <c r="AQ19" s="36"/>
      <c r="AR19" s="36"/>
      <c r="AS19" s="36">
        <v>0</v>
      </c>
      <c r="AT19" s="36">
        <v>0</v>
      </c>
      <c r="AU19" s="36">
        <v>1</v>
      </c>
      <c r="AV19" s="36"/>
      <c r="AW19" s="36"/>
      <c r="AX19" s="36"/>
      <c r="AY19" s="36"/>
      <c r="AZ19" s="36">
        <v>30</v>
      </c>
      <c r="BA19" s="36"/>
      <c r="BB19" s="36">
        <v>44</v>
      </c>
      <c r="BC19" s="36"/>
      <c r="BD19" s="36"/>
      <c r="BE19" s="36"/>
      <c r="BF19" s="36"/>
      <c r="BG19" s="36"/>
      <c r="BH19" s="36"/>
      <c r="BI19" s="36"/>
    </row>
    <row r="20" spans="1:61" ht="12.75" customHeight="1">
      <c r="A20" s="32">
        <v>2516</v>
      </c>
      <c r="B20" s="32">
        <v>2515</v>
      </c>
      <c r="C20" s="37" t="s">
        <v>1147</v>
      </c>
      <c r="D20" s="42" t="s">
        <v>84</v>
      </c>
      <c r="E20" s="37"/>
      <c r="F20" s="39" t="s">
        <v>1095</v>
      </c>
      <c r="G20" s="37">
        <v>192</v>
      </c>
      <c r="H20" s="36">
        <v>100</v>
      </c>
      <c r="I20" s="36">
        <v>0</v>
      </c>
      <c r="J20" s="38" t="s">
        <v>1082</v>
      </c>
      <c r="K20" s="38" t="s">
        <v>1093</v>
      </c>
      <c r="L20" s="36"/>
      <c r="M20" s="36"/>
      <c r="N20" s="36">
        <v>5</v>
      </c>
      <c r="O20" s="36">
        <v>5</v>
      </c>
      <c r="Q20" s="37"/>
      <c r="R20" s="36"/>
      <c r="S20" s="36">
        <v>468.8</v>
      </c>
      <c r="T20" s="36">
        <v>0</v>
      </c>
      <c r="U20" s="36">
        <v>468.8</v>
      </c>
      <c r="V20" s="36">
        <v>9.4</v>
      </c>
      <c r="W20" s="36">
        <v>0</v>
      </c>
      <c r="X20" s="36">
        <v>9.4</v>
      </c>
      <c r="Y20" s="36">
        <v>0</v>
      </c>
      <c r="Z20" s="36"/>
      <c r="AA20" s="36"/>
      <c r="AB20" s="36"/>
      <c r="AC20" s="36">
        <v>0</v>
      </c>
      <c r="AD20" s="36">
        <v>0</v>
      </c>
      <c r="AE20" s="36"/>
      <c r="AF20" s="36"/>
      <c r="AG20" s="36" t="s">
        <v>196</v>
      </c>
      <c r="AH20" s="36"/>
      <c r="AI20" s="36"/>
      <c r="AJ20" s="36" t="s">
        <v>1055</v>
      </c>
      <c r="AK20" s="36"/>
      <c r="AL20" s="36"/>
      <c r="AM20" s="36"/>
      <c r="AN20" s="36"/>
      <c r="AO20" s="36"/>
      <c r="AP20" s="36"/>
      <c r="AQ20" s="36"/>
      <c r="AR20" s="36"/>
      <c r="AS20" s="36">
        <v>0</v>
      </c>
      <c r="AT20" s="36">
        <v>0</v>
      </c>
      <c r="AU20" s="36">
        <v>1</v>
      </c>
      <c r="AV20" s="36"/>
      <c r="AW20" s="36"/>
      <c r="AX20" s="36"/>
      <c r="AY20" s="36"/>
      <c r="AZ20" s="36"/>
      <c r="BA20" s="36"/>
      <c r="BB20" s="36">
        <v>44</v>
      </c>
      <c r="BC20" s="36"/>
      <c r="BD20" s="36"/>
      <c r="BE20" s="36"/>
      <c r="BF20" s="36"/>
      <c r="BG20" s="36"/>
      <c r="BH20" s="36"/>
      <c r="BI20" s="36"/>
    </row>
    <row r="21" spans="1:61" ht="12.75" customHeight="1">
      <c r="A21" s="32">
        <v>2517</v>
      </c>
      <c r="B21" s="32">
        <v>2516</v>
      </c>
      <c r="C21" s="37" t="s">
        <v>1092</v>
      </c>
      <c r="D21" s="42" t="s">
        <v>85</v>
      </c>
      <c r="E21" s="37"/>
      <c r="F21" s="39" t="s">
        <v>1094</v>
      </c>
      <c r="G21" s="37">
        <v>222</v>
      </c>
      <c r="H21" s="36"/>
      <c r="I21" s="36"/>
      <c r="J21" s="38" t="s">
        <v>1082</v>
      </c>
      <c r="K21" s="38" t="s">
        <v>1093</v>
      </c>
      <c r="L21" s="36"/>
      <c r="M21" s="36"/>
      <c r="N21" s="36">
        <v>5</v>
      </c>
      <c r="O21" s="36">
        <v>5</v>
      </c>
      <c r="Q21" s="37"/>
      <c r="R21" s="36" t="s">
        <v>1092</v>
      </c>
      <c r="S21" s="36">
        <v>468.8</v>
      </c>
      <c r="T21" s="36">
        <v>0</v>
      </c>
      <c r="U21" s="36">
        <v>468.8</v>
      </c>
      <c r="V21" s="36">
        <v>9.4</v>
      </c>
      <c r="W21" s="36">
        <v>0</v>
      </c>
      <c r="X21" s="36">
        <v>9.4</v>
      </c>
      <c r="Y21" s="36">
        <v>0</v>
      </c>
      <c r="Z21" s="36">
        <v>7.5</v>
      </c>
      <c r="AA21" s="36">
        <v>1.875</v>
      </c>
      <c r="AB21" s="36">
        <v>25</v>
      </c>
      <c r="AC21" s="36">
        <v>50</v>
      </c>
      <c r="AD21" s="36">
        <v>719</v>
      </c>
      <c r="AE21" s="36"/>
      <c r="AF21" s="36" t="s">
        <v>654</v>
      </c>
      <c r="AG21" s="36" t="s">
        <v>196</v>
      </c>
      <c r="AH21" s="36"/>
      <c r="AI21" s="36"/>
      <c r="AJ21" s="36"/>
      <c r="AK21" s="36"/>
      <c r="AL21" s="36"/>
      <c r="AM21" s="36"/>
      <c r="AN21" s="36"/>
      <c r="AO21" s="36"/>
      <c r="AP21" s="36"/>
      <c r="AQ21" s="36"/>
      <c r="AR21" s="36"/>
      <c r="AS21" s="36">
        <v>0</v>
      </c>
      <c r="AT21" s="36">
        <v>0</v>
      </c>
      <c r="AU21" s="36">
        <v>1</v>
      </c>
      <c r="AV21" s="36"/>
      <c r="AW21" s="36"/>
      <c r="AX21" s="36"/>
      <c r="AY21" s="36"/>
      <c r="AZ21" s="36"/>
      <c r="BA21" s="36"/>
      <c r="BB21" s="36">
        <v>44</v>
      </c>
      <c r="BC21" s="36"/>
      <c r="BD21" s="36"/>
      <c r="BE21" s="36"/>
      <c r="BF21" s="36"/>
      <c r="BG21" s="36"/>
      <c r="BH21" s="36"/>
      <c r="BI21" s="36"/>
    </row>
    <row r="22" spans="1:61" ht="12.75" customHeight="1">
      <c r="A22" s="32">
        <v>2518</v>
      </c>
      <c r="B22" s="32">
        <v>2515</v>
      </c>
      <c r="C22" s="37" t="s">
        <v>1146</v>
      </c>
      <c r="D22" s="42" t="s">
        <v>84</v>
      </c>
      <c r="E22" s="37"/>
      <c r="F22" s="39" t="s">
        <v>1090</v>
      </c>
      <c r="G22" s="37">
        <v>192</v>
      </c>
      <c r="H22" s="36">
        <v>100</v>
      </c>
      <c r="I22" s="36">
        <v>0</v>
      </c>
      <c r="J22" s="38" t="s">
        <v>1087</v>
      </c>
      <c r="K22" s="38" t="s">
        <v>1081</v>
      </c>
      <c r="L22" s="36"/>
      <c r="M22" s="36"/>
      <c r="N22" s="36">
        <v>5</v>
      </c>
      <c r="O22" s="36">
        <v>5</v>
      </c>
      <c r="Q22" s="37"/>
      <c r="R22" s="36"/>
      <c r="S22" s="36">
        <v>468.8</v>
      </c>
      <c r="T22" s="36">
        <v>0</v>
      </c>
      <c r="U22" s="36">
        <v>468.8</v>
      </c>
      <c r="V22" s="36">
        <v>9.4</v>
      </c>
      <c r="W22" s="36">
        <v>0</v>
      </c>
      <c r="X22" s="36">
        <v>9.4</v>
      </c>
      <c r="Y22" s="36">
        <v>0</v>
      </c>
      <c r="Z22" s="36"/>
      <c r="AA22" s="36"/>
      <c r="AB22" s="36"/>
      <c r="AC22" s="36"/>
      <c r="AD22" s="36">
        <v>0</v>
      </c>
      <c r="AE22" s="36"/>
      <c r="AF22" s="36"/>
      <c r="AG22" s="36" t="s">
        <v>196</v>
      </c>
      <c r="AH22" s="36"/>
      <c r="AI22" s="36"/>
      <c r="AJ22" s="36"/>
      <c r="AK22" s="36"/>
      <c r="AL22" s="36"/>
      <c r="AM22" s="36"/>
      <c r="AN22" s="36"/>
      <c r="AO22" s="36"/>
      <c r="AP22" s="36"/>
      <c r="AQ22" s="36"/>
      <c r="AR22" s="36"/>
      <c r="AS22" s="36">
        <v>0</v>
      </c>
      <c r="AT22" s="36">
        <v>0</v>
      </c>
      <c r="AU22" s="36">
        <v>1</v>
      </c>
      <c r="AV22" s="36"/>
      <c r="AW22" s="36"/>
      <c r="AX22" s="36"/>
      <c r="AY22" s="36"/>
      <c r="AZ22" s="36">
        <v>30</v>
      </c>
      <c r="BA22" s="36"/>
      <c r="BB22" s="36">
        <v>44</v>
      </c>
      <c r="BC22" s="36"/>
      <c r="BD22" s="36"/>
      <c r="BE22" s="36"/>
      <c r="BF22" s="36"/>
      <c r="BG22" s="36"/>
      <c r="BH22" s="36"/>
      <c r="BI22" s="36"/>
    </row>
    <row r="23" spans="1:61" ht="12.75" customHeight="1">
      <c r="A23" s="32">
        <v>2519</v>
      </c>
      <c r="B23" s="32">
        <v>2518</v>
      </c>
      <c r="C23" s="37" t="s">
        <v>1089</v>
      </c>
      <c r="D23" s="42" t="s">
        <v>85</v>
      </c>
      <c r="E23" s="37"/>
      <c r="F23" s="39" t="s">
        <v>1088</v>
      </c>
      <c r="G23" s="37">
        <v>222</v>
      </c>
      <c r="H23" s="36"/>
      <c r="I23" s="36"/>
      <c r="J23" s="38" t="s">
        <v>1087</v>
      </c>
      <c r="K23" s="38" t="s">
        <v>1081</v>
      </c>
      <c r="L23" s="36"/>
      <c r="M23" s="36"/>
      <c r="N23" s="36">
        <v>5</v>
      </c>
      <c r="O23" s="36">
        <v>5</v>
      </c>
      <c r="Q23" s="37"/>
      <c r="R23" s="36" t="s">
        <v>1086</v>
      </c>
      <c r="S23" s="36">
        <v>468.8</v>
      </c>
      <c r="T23" s="36">
        <v>0</v>
      </c>
      <c r="U23" s="36">
        <v>468.8</v>
      </c>
      <c r="V23" s="36">
        <v>9.4</v>
      </c>
      <c r="W23" s="36">
        <v>0</v>
      </c>
      <c r="X23" s="36">
        <v>9.4</v>
      </c>
      <c r="Y23" s="36">
        <v>0</v>
      </c>
      <c r="Z23" s="36">
        <v>7.5</v>
      </c>
      <c r="AA23" s="36">
        <v>1.875</v>
      </c>
      <c r="AB23" s="36">
        <v>25</v>
      </c>
      <c r="AC23" s="36">
        <v>50</v>
      </c>
      <c r="AD23" s="36">
        <v>811</v>
      </c>
      <c r="AE23" s="36"/>
      <c r="AF23" s="36" t="s">
        <v>654</v>
      </c>
      <c r="AG23" s="36" t="s">
        <v>196</v>
      </c>
      <c r="AH23" s="36"/>
      <c r="AI23" s="36"/>
      <c r="AJ23" s="36"/>
      <c r="AK23" s="36"/>
      <c r="AL23" s="36"/>
      <c r="AM23" s="36"/>
      <c r="AN23" s="36"/>
      <c r="AO23" s="36"/>
      <c r="AP23" s="36"/>
      <c r="AQ23" s="36"/>
      <c r="AR23" s="36"/>
      <c r="AS23" s="36">
        <v>0</v>
      </c>
      <c r="AT23" s="36">
        <v>0</v>
      </c>
      <c r="AU23" s="36">
        <v>1</v>
      </c>
      <c r="AV23" s="36"/>
      <c r="AW23" s="36"/>
      <c r="AX23" s="36"/>
      <c r="AY23" s="36"/>
      <c r="AZ23" s="36">
        <v>30</v>
      </c>
      <c r="BA23" s="36"/>
      <c r="BB23" s="36">
        <v>44</v>
      </c>
      <c r="BC23" s="36"/>
      <c r="BD23" s="36"/>
      <c r="BE23" s="36"/>
      <c r="BF23" s="36"/>
      <c r="BG23" s="36"/>
      <c r="BH23" s="36"/>
      <c r="BI23" s="36"/>
    </row>
    <row r="24" spans="1:61" ht="12.75" customHeight="1">
      <c r="A24" s="32">
        <v>2520</v>
      </c>
      <c r="B24" s="32">
        <v>2515</v>
      </c>
      <c r="C24" s="37" t="s">
        <v>1145</v>
      </c>
      <c r="D24" s="42" t="s">
        <v>84</v>
      </c>
      <c r="E24" s="37"/>
      <c r="F24" s="39" t="s">
        <v>1084</v>
      </c>
      <c r="G24" s="37">
        <v>258</v>
      </c>
      <c r="H24" s="36">
        <v>100</v>
      </c>
      <c r="I24" s="36">
        <v>0</v>
      </c>
      <c r="J24" s="38" t="s">
        <v>1082</v>
      </c>
      <c r="K24" s="38" t="s">
        <v>1081</v>
      </c>
      <c r="L24" s="36"/>
      <c r="M24" s="36"/>
      <c r="N24" s="36">
        <v>10</v>
      </c>
      <c r="O24" s="36">
        <v>10</v>
      </c>
      <c r="Q24" s="37"/>
      <c r="R24" s="36"/>
      <c r="S24" s="36">
        <v>1406.3</v>
      </c>
      <c r="T24" s="36">
        <v>0</v>
      </c>
      <c r="U24" s="36">
        <v>1406.3</v>
      </c>
      <c r="V24" s="36">
        <v>18.8</v>
      </c>
      <c r="W24" s="36">
        <v>0</v>
      </c>
      <c r="X24" s="36">
        <v>18.8</v>
      </c>
      <c r="Y24" s="36">
        <v>0</v>
      </c>
      <c r="Z24" s="36"/>
      <c r="AA24" s="36"/>
      <c r="AB24" s="36"/>
      <c r="AC24" s="36"/>
      <c r="AD24" s="36">
        <v>0</v>
      </c>
      <c r="AE24" s="36"/>
      <c r="AF24" s="36"/>
      <c r="AG24" s="36" t="s">
        <v>196</v>
      </c>
      <c r="AH24" s="36"/>
      <c r="AI24" s="36"/>
      <c r="AJ24" s="36"/>
      <c r="AK24" s="36"/>
      <c r="AL24" s="36"/>
      <c r="AM24" s="36"/>
      <c r="AN24" s="36"/>
      <c r="AO24" s="36"/>
      <c r="AP24" s="36"/>
      <c r="AQ24" s="36"/>
      <c r="AR24" s="36"/>
      <c r="AS24" s="36">
        <v>0</v>
      </c>
      <c r="AT24" s="36">
        <v>0</v>
      </c>
      <c r="AU24" s="36">
        <v>1</v>
      </c>
      <c r="AV24" s="36"/>
      <c r="AW24" s="36"/>
      <c r="AX24" s="36"/>
      <c r="AY24" s="36"/>
      <c r="AZ24" s="36">
        <v>30</v>
      </c>
      <c r="BA24" s="36"/>
      <c r="BB24" s="36">
        <v>44</v>
      </c>
      <c r="BC24" s="36"/>
      <c r="BD24" s="36"/>
      <c r="BE24" s="36"/>
      <c r="BF24" s="36"/>
      <c r="BG24" s="36"/>
      <c r="BH24" s="36"/>
      <c r="BI24" s="36"/>
    </row>
    <row r="25" spans="1:61" ht="12.75" customHeight="1">
      <c r="A25" s="32">
        <v>2521</v>
      </c>
      <c r="B25" s="32">
        <v>2520</v>
      </c>
      <c r="C25" s="37" t="s">
        <v>1065</v>
      </c>
      <c r="D25" s="42" t="s">
        <v>85</v>
      </c>
      <c r="E25" s="37"/>
      <c r="F25" s="39" t="s">
        <v>1083</v>
      </c>
      <c r="G25" s="37">
        <v>288</v>
      </c>
      <c r="H25" s="36"/>
      <c r="I25" s="36"/>
      <c r="J25" s="38" t="s">
        <v>1082</v>
      </c>
      <c r="K25" s="38" t="s">
        <v>1081</v>
      </c>
      <c r="L25" s="36"/>
      <c r="M25" s="36"/>
      <c r="N25" s="36">
        <v>10</v>
      </c>
      <c r="O25" s="36">
        <v>10</v>
      </c>
      <c r="Q25" s="37"/>
      <c r="R25" s="36" t="s">
        <v>1061</v>
      </c>
      <c r="S25" s="36">
        <v>1406.3</v>
      </c>
      <c r="T25" s="36">
        <v>0</v>
      </c>
      <c r="U25" s="36">
        <v>1406.3</v>
      </c>
      <c r="V25" s="36">
        <v>18.8</v>
      </c>
      <c r="W25" s="36">
        <v>0</v>
      </c>
      <c r="X25" s="36">
        <v>18.8</v>
      </c>
      <c r="Y25" s="36">
        <v>0</v>
      </c>
      <c r="Z25" s="36">
        <v>7.5</v>
      </c>
      <c r="AA25" s="36">
        <v>1.875</v>
      </c>
      <c r="AB25" s="36">
        <v>25</v>
      </c>
      <c r="AC25" s="36">
        <v>75</v>
      </c>
      <c r="AD25" s="36">
        <v>809</v>
      </c>
      <c r="AE25" s="36"/>
      <c r="AF25" s="36" t="s">
        <v>654</v>
      </c>
      <c r="AG25" s="36" t="s">
        <v>196</v>
      </c>
      <c r="AH25" s="36"/>
      <c r="AI25" s="36"/>
      <c r="AJ25" s="36"/>
      <c r="AK25" s="36"/>
      <c r="AL25" s="36"/>
      <c r="AM25" s="36"/>
      <c r="AN25" s="36"/>
      <c r="AO25" s="36"/>
      <c r="AP25" s="36"/>
      <c r="AQ25" s="36"/>
      <c r="AR25" s="36"/>
      <c r="AS25" s="36">
        <v>0</v>
      </c>
      <c r="AT25" s="36">
        <v>0</v>
      </c>
      <c r="AU25" s="36">
        <v>1</v>
      </c>
      <c r="AV25" s="36"/>
      <c r="AW25" s="36"/>
      <c r="AX25" s="36"/>
      <c r="AY25" s="36"/>
      <c r="AZ25" s="36">
        <v>30</v>
      </c>
      <c r="BA25" s="36"/>
      <c r="BB25" s="36">
        <v>44</v>
      </c>
      <c r="BC25" s="36"/>
      <c r="BD25" s="36"/>
      <c r="BE25" s="36"/>
      <c r="BF25" s="36"/>
      <c r="BG25" s="36"/>
      <c r="BH25" s="36"/>
      <c r="BI25" s="36"/>
    </row>
    <row r="26" spans="1:61" ht="12.75" customHeight="1">
      <c r="A26" s="32">
        <v>2522</v>
      </c>
      <c r="B26" s="32">
        <v>2101</v>
      </c>
      <c r="C26" s="44" t="s">
        <v>1142</v>
      </c>
      <c r="D26" s="43" t="s">
        <v>83</v>
      </c>
      <c r="E26" s="37"/>
      <c r="F26" s="39" t="s">
        <v>1080</v>
      </c>
      <c r="G26" s="37">
        <v>164</v>
      </c>
      <c r="H26" s="36">
        <v>176</v>
      </c>
      <c r="I26" s="36">
        <v>0</v>
      </c>
      <c r="J26" s="38" t="s">
        <v>1076</v>
      </c>
      <c r="K26" s="38" t="s">
        <v>1062</v>
      </c>
      <c r="L26" s="36"/>
      <c r="M26" s="36"/>
      <c r="N26" s="36">
        <v>10</v>
      </c>
      <c r="O26" s="36">
        <v>10</v>
      </c>
      <c r="Q26" s="37"/>
      <c r="R26" s="36"/>
      <c r="S26" s="36">
        <v>1406.3</v>
      </c>
      <c r="T26" s="36">
        <v>0</v>
      </c>
      <c r="U26" s="36">
        <v>1406.3</v>
      </c>
      <c r="V26" s="36">
        <v>20.6</v>
      </c>
      <c r="W26" s="36">
        <v>0</v>
      </c>
      <c r="X26" s="36">
        <v>20.6</v>
      </c>
      <c r="Y26" s="36">
        <v>0</v>
      </c>
      <c r="Z26" s="36"/>
      <c r="AA26" s="36"/>
      <c r="AB26" s="36"/>
      <c r="AC26" s="36">
        <v>0</v>
      </c>
      <c r="AD26" s="36">
        <v>0</v>
      </c>
      <c r="AE26" s="36"/>
      <c r="AF26" s="36"/>
      <c r="AG26" s="36" t="s">
        <v>196</v>
      </c>
      <c r="AH26" s="36"/>
      <c r="AI26" s="36"/>
      <c r="AJ26" s="36" t="s">
        <v>1055</v>
      </c>
      <c r="AK26" s="36" t="s">
        <v>1010</v>
      </c>
      <c r="AL26" s="36" t="s">
        <v>1059</v>
      </c>
      <c r="AM26" s="36" t="s">
        <v>1142</v>
      </c>
      <c r="AN26" s="36"/>
      <c r="AO26" s="36"/>
      <c r="AP26" s="36"/>
      <c r="AQ26" s="36"/>
      <c r="AR26" s="36"/>
      <c r="AS26" s="36">
        <v>0</v>
      </c>
      <c r="AT26" s="36">
        <v>0</v>
      </c>
      <c r="AU26" s="36">
        <v>1</v>
      </c>
      <c r="AV26" s="36"/>
      <c r="AW26" s="36"/>
      <c r="AX26" s="36"/>
      <c r="AY26" s="36"/>
      <c r="AZ26" s="36">
        <v>30</v>
      </c>
      <c r="BA26" s="36"/>
      <c r="BB26" s="36">
        <v>44</v>
      </c>
      <c r="BC26" s="36"/>
      <c r="BD26" s="36"/>
      <c r="BE26" s="36"/>
      <c r="BF26" s="36"/>
      <c r="BG26" s="36"/>
      <c r="BH26" s="36"/>
      <c r="BI26" s="36"/>
    </row>
    <row r="27" spans="1:61" ht="12.75" customHeight="1">
      <c r="A27" s="32">
        <v>2523</v>
      </c>
      <c r="B27" s="32">
        <v>2522</v>
      </c>
      <c r="C27" s="37" t="s">
        <v>1144</v>
      </c>
      <c r="D27" s="42" t="s">
        <v>84</v>
      </c>
      <c r="E27" s="37"/>
      <c r="F27" s="39" t="s">
        <v>1079</v>
      </c>
      <c r="G27" s="37">
        <v>208</v>
      </c>
      <c r="H27" s="36">
        <v>100</v>
      </c>
      <c r="I27" s="36">
        <v>0</v>
      </c>
      <c r="J27" s="38" t="s">
        <v>1076</v>
      </c>
      <c r="K27" s="38" t="s">
        <v>1070</v>
      </c>
      <c r="L27" s="36"/>
      <c r="M27" s="36"/>
      <c r="N27" s="36">
        <v>7</v>
      </c>
      <c r="O27" s="36">
        <v>7</v>
      </c>
      <c r="Q27" s="37"/>
      <c r="R27" s="36"/>
      <c r="S27" s="36">
        <v>656.3</v>
      </c>
      <c r="T27" s="36">
        <v>0</v>
      </c>
      <c r="U27" s="36">
        <v>656.3</v>
      </c>
      <c r="V27" s="36">
        <v>13.1</v>
      </c>
      <c r="W27" s="36">
        <v>0</v>
      </c>
      <c r="X27" s="36">
        <v>13.1</v>
      </c>
      <c r="Y27" s="36">
        <v>0</v>
      </c>
      <c r="Z27" s="36"/>
      <c r="AA27" s="36"/>
      <c r="AB27" s="36"/>
      <c r="AC27" s="36">
        <v>0</v>
      </c>
      <c r="AD27" s="36">
        <v>0</v>
      </c>
      <c r="AE27" s="36"/>
      <c r="AF27" s="36"/>
      <c r="AG27" s="36" t="s">
        <v>196</v>
      </c>
      <c r="AH27" s="36"/>
      <c r="AI27" s="36"/>
      <c r="AJ27" s="36" t="s">
        <v>1055</v>
      </c>
      <c r="AK27" s="36" t="s">
        <v>1010</v>
      </c>
      <c r="AL27" s="36" t="s">
        <v>1059</v>
      </c>
      <c r="AM27" s="36" t="s">
        <v>1142</v>
      </c>
      <c r="AN27" s="36" t="s">
        <v>1144</v>
      </c>
      <c r="AO27" s="36"/>
      <c r="AP27" s="36"/>
      <c r="AQ27" s="36"/>
      <c r="AR27" s="36"/>
      <c r="AS27" s="36">
        <v>0</v>
      </c>
      <c r="AT27" s="36">
        <v>0</v>
      </c>
      <c r="AU27" s="36">
        <v>1</v>
      </c>
      <c r="AV27" s="36"/>
      <c r="AW27" s="36"/>
      <c r="AX27" s="36"/>
      <c r="AY27" s="36"/>
      <c r="AZ27" s="36">
        <v>30</v>
      </c>
      <c r="BA27" s="36"/>
      <c r="BB27" s="36">
        <v>44</v>
      </c>
      <c r="BC27" s="36"/>
      <c r="BD27" s="36"/>
      <c r="BE27" s="36"/>
      <c r="BF27" s="36"/>
      <c r="BG27" s="36"/>
      <c r="BH27" s="36"/>
      <c r="BI27" s="36"/>
    </row>
    <row r="28" spans="1:61" ht="12.75" customHeight="1">
      <c r="A28" s="32">
        <v>2524</v>
      </c>
      <c r="B28" s="32">
        <v>2523</v>
      </c>
      <c r="C28" s="37" t="s">
        <v>1047</v>
      </c>
      <c r="D28" s="42" t="s">
        <v>85</v>
      </c>
      <c r="E28" s="37"/>
      <c r="F28" s="39" t="s">
        <v>1077</v>
      </c>
      <c r="G28" s="37">
        <v>238</v>
      </c>
      <c r="H28" s="36"/>
      <c r="I28" s="36"/>
      <c r="J28" s="38" t="s">
        <v>1076</v>
      </c>
      <c r="K28" s="38" t="s">
        <v>1070</v>
      </c>
      <c r="L28" s="36"/>
      <c r="M28" s="36"/>
      <c r="N28" s="36">
        <v>7</v>
      </c>
      <c r="O28" s="36">
        <v>7</v>
      </c>
      <c r="Q28" s="37"/>
      <c r="R28" s="36" t="s">
        <v>1043</v>
      </c>
      <c r="S28" s="36">
        <v>656.3</v>
      </c>
      <c r="T28" s="36">
        <v>0</v>
      </c>
      <c r="U28" s="36">
        <v>656.3</v>
      </c>
      <c r="V28" s="36">
        <v>13.1</v>
      </c>
      <c r="W28" s="36">
        <v>0</v>
      </c>
      <c r="X28" s="36">
        <v>13.1</v>
      </c>
      <c r="Y28" s="36">
        <v>0</v>
      </c>
      <c r="Z28" s="36">
        <v>7.5</v>
      </c>
      <c r="AA28" s="36">
        <v>1.875</v>
      </c>
      <c r="AB28" s="36">
        <v>25</v>
      </c>
      <c r="AC28" s="36">
        <v>50</v>
      </c>
      <c r="AD28" s="36">
        <v>808</v>
      </c>
      <c r="AE28" s="36"/>
      <c r="AF28" s="36" t="s">
        <v>654</v>
      </c>
      <c r="AG28" s="36" t="s">
        <v>196</v>
      </c>
      <c r="AH28" s="36"/>
      <c r="AI28" s="36"/>
      <c r="AJ28" s="36"/>
      <c r="AK28" s="36"/>
      <c r="AL28" s="36"/>
      <c r="AM28" s="36"/>
      <c r="AN28" s="36"/>
      <c r="AO28" s="36"/>
      <c r="AP28" s="36"/>
      <c r="AQ28" s="36"/>
      <c r="AR28" s="36"/>
      <c r="AS28" s="36">
        <v>0</v>
      </c>
      <c r="AT28" s="36">
        <v>0</v>
      </c>
      <c r="AU28" s="36">
        <v>1</v>
      </c>
      <c r="AV28" s="36"/>
      <c r="AW28" s="36"/>
      <c r="AX28" s="36"/>
      <c r="AY28" s="36"/>
      <c r="AZ28" s="36">
        <v>30</v>
      </c>
      <c r="BA28" s="36"/>
      <c r="BB28" s="36">
        <v>44</v>
      </c>
      <c r="BC28" s="36"/>
      <c r="BD28" s="36"/>
      <c r="BE28" s="36"/>
      <c r="BF28" s="36"/>
      <c r="BG28" s="36"/>
      <c r="BH28" s="36"/>
      <c r="BI28" s="36"/>
    </row>
    <row r="29" spans="1:61" ht="12.75" customHeight="1">
      <c r="A29" s="32">
        <v>2525</v>
      </c>
      <c r="B29" s="32">
        <v>2522</v>
      </c>
      <c r="C29" s="37" t="s">
        <v>1143</v>
      </c>
      <c r="D29" s="42" t="s">
        <v>84</v>
      </c>
      <c r="E29" s="37"/>
      <c r="F29" s="39" t="s">
        <v>1074</v>
      </c>
      <c r="G29" s="37">
        <v>208</v>
      </c>
      <c r="H29" s="36">
        <v>100</v>
      </c>
      <c r="I29" s="36">
        <v>0</v>
      </c>
      <c r="J29" s="38" t="s">
        <v>1070</v>
      </c>
      <c r="K29" s="38" t="s">
        <v>1063</v>
      </c>
      <c r="L29" s="36"/>
      <c r="M29" s="36"/>
      <c r="N29" s="36">
        <v>4</v>
      </c>
      <c r="O29" s="36">
        <v>4</v>
      </c>
      <c r="Q29" s="37"/>
      <c r="R29" s="36"/>
      <c r="S29" s="36">
        <v>750</v>
      </c>
      <c r="T29" s="36">
        <v>0</v>
      </c>
      <c r="U29" s="36">
        <v>750</v>
      </c>
      <c r="V29" s="36">
        <v>7.5</v>
      </c>
      <c r="W29" s="36">
        <v>0</v>
      </c>
      <c r="X29" s="36">
        <v>7.5</v>
      </c>
      <c r="Y29" s="36">
        <v>0</v>
      </c>
      <c r="Z29" s="36"/>
      <c r="AA29" s="36"/>
      <c r="AB29" s="36"/>
      <c r="AC29" s="36">
        <v>0</v>
      </c>
      <c r="AD29" s="36">
        <v>0</v>
      </c>
      <c r="AE29" s="36"/>
      <c r="AF29" s="36"/>
      <c r="AG29" s="36" t="s">
        <v>196</v>
      </c>
      <c r="AH29" s="36"/>
      <c r="AI29" s="36"/>
      <c r="AJ29" s="36" t="s">
        <v>1055</v>
      </c>
      <c r="AK29" s="36" t="s">
        <v>1010</v>
      </c>
      <c r="AL29" s="36" t="s">
        <v>1059</v>
      </c>
      <c r="AM29" s="36" t="s">
        <v>1142</v>
      </c>
      <c r="AN29" s="36" t="s">
        <v>1073</v>
      </c>
      <c r="AO29" s="36"/>
      <c r="AP29" s="36"/>
      <c r="AQ29" s="36"/>
      <c r="AR29" s="36"/>
      <c r="AS29" s="36">
        <v>0</v>
      </c>
      <c r="AT29" s="36">
        <v>0</v>
      </c>
      <c r="AU29" s="36">
        <v>1</v>
      </c>
      <c r="AV29" s="36"/>
      <c r="AW29" s="36"/>
      <c r="AX29" s="36"/>
      <c r="AY29" s="36"/>
      <c r="AZ29" s="36"/>
      <c r="BA29" s="36"/>
      <c r="BB29" s="36">
        <v>44</v>
      </c>
      <c r="BC29" s="36"/>
      <c r="BD29" s="36"/>
      <c r="BE29" s="36"/>
      <c r="BF29" s="36"/>
      <c r="BG29" s="36"/>
      <c r="BH29" s="36"/>
      <c r="BI29" s="36"/>
    </row>
    <row r="30" spans="1:61" ht="12.75" customHeight="1">
      <c r="A30" s="32">
        <v>2526</v>
      </c>
      <c r="B30" s="32">
        <v>2525</v>
      </c>
      <c r="C30" s="37" t="s">
        <v>1072</v>
      </c>
      <c r="D30" s="42" t="s">
        <v>85</v>
      </c>
      <c r="E30" s="37"/>
      <c r="F30" s="39" t="s">
        <v>1071</v>
      </c>
      <c r="G30" s="37">
        <v>238</v>
      </c>
      <c r="H30" s="36"/>
      <c r="I30" s="36"/>
      <c r="J30" s="38" t="s">
        <v>1070</v>
      </c>
      <c r="K30" s="38" t="s">
        <v>1063</v>
      </c>
      <c r="L30" s="36"/>
      <c r="M30" s="36"/>
      <c r="N30" s="36">
        <v>4</v>
      </c>
      <c r="O30" s="36">
        <v>4</v>
      </c>
      <c r="Q30" s="37"/>
      <c r="R30" s="36" t="s">
        <v>1069</v>
      </c>
      <c r="S30" s="36">
        <v>750</v>
      </c>
      <c r="T30" s="36">
        <v>0</v>
      </c>
      <c r="U30" s="36">
        <v>750</v>
      </c>
      <c r="V30" s="36">
        <v>7.5</v>
      </c>
      <c r="W30" s="36">
        <v>0</v>
      </c>
      <c r="X30" s="36">
        <v>7.5</v>
      </c>
      <c r="Y30" s="36">
        <v>0</v>
      </c>
      <c r="Z30" s="36">
        <v>7.5</v>
      </c>
      <c r="AA30" s="36">
        <v>1.875</v>
      </c>
      <c r="AB30" s="36">
        <v>25</v>
      </c>
      <c r="AC30" s="36">
        <v>100</v>
      </c>
      <c r="AD30" s="36">
        <v>810</v>
      </c>
      <c r="AE30" s="36"/>
      <c r="AF30" s="36" t="s">
        <v>654</v>
      </c>
      <c r="AG30" s="36" t="s">
        <v>196</v>
      </c>
      <c r="AH30" s="36"/>
      <c r="AI30" s="36"/>
      <c r="AJ30" s="36"/>
      <c r="AK30" s="36"/>
      <c r="AL30" s="36"/>
      <c r="AM30" s="36"/>
      <c r="AN30" s="36"/>
      <c r="AO30" s="36"/>
      <c r="AP30" s="36"/>
      <c r="AQ30" s="36"/>
      <c r="AR30" s="36"/>
      <c r="AS30" s="36">
        <v>0</v>
      </c>
      <c r="AT30" s="36">
        <v>0</v>
      </c>
      <c r="AU30" s="36">
        <v>1</v>
      </c>
      <c r="AV30" s="36"/>
      <c r="AW30" s="36"/>
      <c r="AX30" s="36"/>
      <c r="AY30" s="36"/>
      <c r="AZ30" s="36"/>
      <c r="BA30" s="36"/>
      <c r="BB30" s="36">
        <v>44</v>
      </c>
      <c r="BC30" s="36"/>
      <c r="BD30" s="36"/>
      <c r="BE30" s="36"/>
      <c r="BF30" s="36"/>
      <c r="BG30" s="36"/>
      <c r="BH30" s="36"/>
      <c r="BI30" s="36"/>
    </row>
    <row r="31" spans="1:61" ht="12.75" customHeight="1">
      <c r="A31" s="32">
        <v>2527</v>
      </c>
      <c r="B31" s="32">
        <v>2522</v>
      </c>
      <c r="C31" s="37" t="s">
        <v>1141</v>
      </c>
      <c r="D31" s="42" t="s">
        <v>84</v>
      </c>
      <c r="E31" s="37"/>
      <c r="F31" s="39" t="s">
        <v>1068</v>
      </c>
      <c r="G31" s="37">
        <v>208</v>
      </c>
      <c r="H31" s="36">
        <v>100</v>
      </c>
      <c r="I31" s="36">
        <v>0</v>
      </c>
      <c r="J31" s="38" t="s">
        <v>1063</v>
      </c>
      <c r="K31" s="38" t="s">
        <v>1062</v>
      </c>
      <c r="L31" s="36"/>
      <c r="M31" s="36"/>
      <c r="N31" s="36">
        <v>0</v>
      </c>
      <c r="O31" s="36">
        <v>0</v>
      </c>
      <c r="Q31" s="37"/>
      <c r="R31" s="36"/>
      <c r="S31" s="36">
        <v>0</v>
      </c>
      <c r="T31" s="36">
        <v>0</v>
      </c>
      <c r="U31" s="36">
        <v>0</v>
      </c>
      <c r="V31" s="36">
        <v>0</v>
      </c>
      <c r="W31" s="36">
        <v>0</v>
      </c>
      <c r="X31" s="36">
        <v>0</v>
      </c>
      <c r="Y31" s="36">
        <v>0</v>
      </c>
      <c r="Z31" s="36"/>
      <c r="AA31" s="36"/>
      <c r="AB31" s="36"/>
      <c r="AC31" s="36">
        <v>0</v>
      </c>
      <c r="AD31" s="36">
        <v>0</v>
      </c>
      <c r="AE31" s="36"/>
      <c r="AF31" s="36"/>
      <c r="AG31" s="36" t="s">
        <v>196</v>
      </c>
      <c r="AH31" s="36"/>
      <c r="AI31" s="36"/>
      <c r="AJ31" s="36" t="s">
        <v>1055</v>
      </c>
      <c r="AK31" s="36" t="s">
        <v>1010</v>
      </c>
      <c r="AL31" s="36" t="s">
        <v>1059</v>
      </c>
      <c r="AM31" s="36" t="s">
        <v>1142</v>
      </c>
      <c r="AN31" s="36" t="s">
        <v>1141</v>
      </c>
      <c r="AO31" s="36"/>
      <c r="AP31" s="36"/>
      <c r="AQ31" s="36"/>
      <c r="AR31" s="36"/>
      <c r="AS31" s="36">
        <v>0</v>
      </c>
      <c r="AT31" s="36">
        <v>0</v>
      </c>
      <c r="AU31" s="36">
        <v>1</v>
      </c>
      <c r="AV31" s="36"/>
      <c r="AW31" s="36"/>
      <c r="AX31" s="36"/>
      <c r="AY31" s="36"/>
      <c r="AZ31" s="36">
        <v>30</v>
      </c>
      <c r="BA31" s="36"/>
      <c r="BB31" s="36">
        <v>44</v>
      </c>
      <c r="BC31" s="36"/>
      <c r="BD31" s="36"/>
      <c r="BE31" s="36"/>
      <c r="BF31" s="36"/>
      <c r="BG31" s="36"/>
      <c r="BH31" s="36"/>
      <c r="BI31" s="36"/>
    </row>
    <row r="32" spans="1:61" ht="12.75" customHeight="1">
      <c r="A32" s="32">
        <v>2528</v>
      </c>
      <c r="B32" s="32">
        <v>2527</v>
      </c>
      <c r="C32" s="37" t="s">
        <v>1065</v>
      </c>
      <c r="D32" s="42" t="s">
        <v>85</v>
      </c>
      <c r="E32" s="37"/>
      <c r="F32" s="39" t="s">
        <v>1064</v>
      </c>
      <c r="G32" s="37">
        <v>238</v>
      </c>
      <c r="H32" s="36"/>
      <c r="I32" s="36"/>
      <c r="J32" s="38" t="s">
        <v>1063</v>
      </c>
      <c r="K32" s="38" t="s">
        <v>1062</v>
      </c>
      <c r="L32" s="36"/>
      <c r="M32" s="36"/>
      <c r="N32" s="36">
        <v>0</v>
      </c>
      <c r="O32" s="36">
        <v>0</v>
      </c>
      <c r="Q32" s="37"/>
      <c r="R32" s="36" t="s">
        <v>1061</v>
      </c>
      <c r="S32" s="36">
        <v>0</v>
      </c>
      <c r="T32" s="36">
        <v>0</v>
      </c>
      <c r="U32" s="36">
        <v>0</v>
      </c>
      <c r="V32" s="36">
        <v>0</v>
      </c>
      <c r="W32" s="36">
        <v>0</v>
      </c>
      <c r="X32" s="36">
        <v>0</v>
      </c>
      <c r="Y32" s="36">
        <v>0</v>
      </c>
      <c r="Z32" s="36">
        <v>7.5</v>
      </c>
      <c r="AA32" s="36">
        <v>1.875</v>
      </c>
      <c r="AB32" s="36">
        <v>25</v>
      </c>
      <c r="AC32" s="36">
        <v>75</v>
      </c>
      <c r="AD32" s="36">
        <v>809</v>
      </c>
      <c r="AE32" s="36"/>
      <c r="AF32" s="36" t="s">
        <v>654</v>
      </c>
      <c r="AG32" s="36" t="s">
        <v>196</v>
      </c>
      <c r="AH32" s="36"/>
      <c r="AI32" s="36"/>
      <c r="AJ32" s="36"/>
      <c r="AK32" s="36"/>
      <c r="AL32" s="36"/>
      <c r="AM32" s="36"/>
      <c r="AN32" s="36"/>
      <c r="AO32" s="36"/>
      <c r="AP32" s="36"/>
      <c r="AQ32" s="36"/>
      <c r="AR32" s="36"/>
      <c r="AS32" s="36">
        <v>0</v>
      </c>
      <c r="AT32" s="36">
        <v>0</v>
      </c>
      <c r="AU32" s="36">
        <v>1</v>
      </c>
      <c r="AV32" s="36"/>
      <c r="AW32" s="36"/>
      <c r="AX32" s="36"/>
      <c r="AY32" s="36"/>
      <c r="AZ32" s="36"/>
      <c r="BA32" s="36"/>
      <c r="BB32" s="36">
        <v>44</v>
      </c>
      <c r="BC32" s="36"/>
      <c r="BD32" s="36"/>
      <c r="BE32" s="36"/>
      <c r="BF32" s="36"/>
      <c r="BG32" s="36"/>
      <c r="BH32" s="36"/>
      <c r="BI32" s="36"/>
    </row>
    <row r="33" spans="1:61" ht="12.75" customHeight="1">
      <c r="A33" s="32">
        <v>2529</v>
      </c>
      <c r="B33" s="32">
        <v>2101</v>
      </c>
      <c r="C33" s="44" t="s">
        <v>1140</v>
      </c>
      <c r="D33" s="43" t="s">
        <v>83</v>
      </c>
      <c r="E33" s="37"/>
      <c r="F33" s="39" t="s">
        <v>1060</v>
      </c>
      <c r="G33" s="37">
        <v>174</v>
      </c>
      <c r="H33" s="36">
        <v>184</v>
      </c>
      <c r="I33" s="36">
        <v>0</v>
      </c>
      <c r="J33" s="38" t="s">
        <v>1052</v>
      </c>
      <c r="K33" s="38" t="s">
        <v>1037</v>
      </c>
      <c r="L33" s="36"/>
      <c r="M33" s="36"/>
      <c r="N33" s="36">
        <v>27</v>
      </c>
      <c r="O33" s="36">
        <v>27</v>
      </c>
      <c r="Q33" s="37"/>
      <c r="R33" s="36"/>
      <c r="S33" s="36">
        <v>4031.3</v>
      </c>
      <c r="T33" s="36">
        <v>0</v>
      </c>
      <c r="U33" s="36">
        <v>4031.3</v>
      </c>
      <c r="V33" s="36">
        <v>50.7</v>
      </c>
      <c r="W33" s="36">
        <v>0</v>
      </c>
      <c r="X33" s="36">
        <v>50.7</v>
      </c>
      <c r="Y33" s="36">
        <v>0</v>
      </c>
      <c r="Z33" s="36"/>
      <c r="AA33" s="36"/>
      <c r="AB33" s="36"/>
      <c r="AC33" s="36">
        <v>0</v>
      </c>
      <c r="AD33" s="36">
        <v>0</v>
      </c>
      <c r="AE33" s="36"/>
      <c r="AF33" s="36"/>
      <c r="AG33" s="36" t="s">
        <v>196</v>
      </c>
      <c r="AH33" s="36"/>
      <c r="AI33" s="36"/>
      <c r="AJ33" s="36" t="s">
        <v>1055</v>
      </c>
      <c r="AK33" s="36" t="s">
        <v>1010</v>
      </c>
      <c r="AL33" s="36" t="s">
        <v>1059</v>
      </c>
      <c r="AM33" s="36" t="s">
        <v>1140</v>
      </c>
      <c r="AN33" s="36"/>
      <c r="AO33" s="36"/>
      <c r="AP33" s="36"/>
      <c r="AQ33" s="36"/>
      <c r="AR33" s="36"/>
      <c r="AS33" s="36">
        <v>0</v>
      </c>
      <c r="AT33" s="36">
        <v>0</v>
      </c>
      <c r="AU33" s="36">
        <v>1</v>
      </c>
      <c r="AV33" s="36"/>
      <c r="AW33" s="36"/>
      <c r="AX33" s="36"/>
      <c r="AY33" s="36"/>
      <c r="AZ33" s="36">
        <v>30</v>
      </c>
      <c r="BA33" s="36"/>
      <c r="BB33" s="36">
        <v>44</v>
      </c>
      <c r="BC33" s="36"/>
      <c r="BD33" s="36"/>
      <c r="BE33" s="36"/>
      <c r="BF33" s="36"/>
      <c r="BG33" s="36"/>
      <c r="BH33" s="36"/>
      <c r="BI33" s="36"/>
    </row>
    <row r="34" spans="1:61" ht="12.75" customHeight="1">
      <c r="A34" s="32">
        <v>2530</v>
      </c>
      <c r="B34" s="32">
        <v>2529</v>
      </c>
      <c r="C34" s="37" t="s">
        <v>1139</v>
      </c>
      <c r="D34" s="42" t="s">
        <v>84</v>
      </c>
      <c r="E34" s="37"/>
      <c r="F34" s="39" t="s">
        <v>1056</v>
      </c>
      <c r="G34" s="37">
        <v>218</v>
      </c>
      <c r="H34" s="36">
        <v>100</v>
      </c>
      <c r="I34" s="36">
        <v>0</v>
      </c>
      <c r="J34" s="38" t="s">
        <v>1052</v>
      </c>
      <c r="K34" s="38" t="s">
        <v>1051</v>
      </c>
      <c r="L34" s="36"/>
      <c r="M34" s="36"/>
      <c r="N34" s="36">
        <v>10</v>
      </c>
      <c r="O34" s="36">
        <v>10</v>
      </c>
      <c r="Q34" s="37"/>
      <c r="R34" s="36"/>
      <c r="S34" s="36">
        <v>1875</v>
      </c>
      <c r="T34" s="36">
        <v>0</v>
      </c>
      <c r="U34" s="36">
        <v>1875</v>
      </c>
      <c r="V34" s="36">
        <v>18.8</v>
      </c>
      <c r="W34" s="36">
        <v>0</v>
      </c>
      <c r="X34" s="36">
        <v>18.8</v>
      </c>
      <c r="Y34" s="36">
        <v>0</v>
      </c>
      <c r="Z34" s="36"/>
      <c r="AA34" s="36"/>
      <c r="AB34" s="36"/>
      <c r="AC34" s="36">
        <v>0</v>
      </c>
      <c r="AD34" s="36">
        <v>0</v>
      </c>
      <c r="AE34" s="36"/>
      <c r="AF34" s="36"/>
      <c r="AG34" s="36" t="s">
        <v>196</v>
      </c>
      <c r="AH34" s="36"/>
      <c r="AI34" s="36"/>
      <c r="AJ34" s="36" t="s">
        <v>1055</v>
      </c>
      <c r="AK34" s="36"/>
      <c r="AL34" s="36"/>
      <c r="AM34" s="36"/>
      <c r="AN34" s="36"/>
      <c r="AO34" s="36"/>
      <c r="AP34" s="36"/>
      <c r="AQ34" s="36"/>
      <c r="AR34" s="36"/>
      <c r="AS34" s="36">
        <v>0</v>
      </c>
      <c r="AT34" s="36">
        <v>0</v>
      </c>
      <c r="AU34" s="36">
        <v>1</v>
      </c>
      <c r="AV34" s="36"/>
      <c r="AW34" s="36"/>
      <c r="AX34" s="36"/>
      <c r="AY34" s="36"/>
      <c r="AZ34" s="36">
        <v>30</v>
      </c>
      <c r="BA34" s="36"/>
      <c r="BB34" s="36">
        <v>44</v>
      </c>
      <c r="BC34" s="36"/>
      <c r="BD34" s="36"/>
      <c r="BE34" s="36"/>
      <c r="BF34" s="36"/>
      <c r="BG34" s="36"/>
      <c r="BH34" s="36"/>
      <c r="BI34" s="36"/>
    </row>
    <row r="35" spans="1:61" ht="12.75" customHeight="1">
      <c r="A35" s="32">
        <v>2531</v>
      </c>
      <c r="B35" s="32">
        <v>2530</v>
      </c>
      <c r="C35" s="37" t="s">
        <v>1054</v>
      </c>
      <c r="D35" s="42" t="s">
        <v>85</v>
      </c>
      <c r="E35" s="37"/>
      <c r="F35" s="39" t="s">
        <v>1053</v>
      </c>
      <c r="G35" s="37">
        <v>248</v>
      </c>
      <c r="H35" s="36"/>
      <c r="I35" s="36"/>
      <c r="J35" s="38" t="s">
        <v>1052</v>
      </c>
      <c r="K35" s="38" t="s">
        <v>1051</v>
      </c>
      <c r="L35" s="36"/>
      <c r="M35" s="36"/>
      <c r="N35" s="36">
        <v>10</v>
      </c>
      <c r="O35" s="36">
        <v>10</v>
      </c>
      <c r="Q35" s="37"/>
      <c r="R35" s="36" t="s">
        <v>1050</v>
      </c>
      <c r="S35" s="36">
        <v>1875</v>
      </c>
      <c r="T35" s="36">
        <v>0</v>
      </c>
      <c r="U35" s="36">
        <v>1875</v>
      </c>
      <c r="V35" s="36">
        <v>18.8</v>
      </c>
      <c r="W35" s="36">
        <v>0</v>
      </c>
      <c r="X35" s="36">
        <v>18.8</v>
      </c>
      <c r="Y35" s="36">
        <v>0</v>
      </c>
      <c r="Z35" s="36">
        <v>7.5</v>
      </c>
      <c r="AA35" s="36">
        <v>1.875</v>
      </c>
      <c r="AB35" s="36">
        <v>25</v>
      </c>
      <c r="AC35" s="36">
        <v>100</v>
      </c>
      <c r="AD35" s="36">
        <v>807</v>
      </c>
      <c r="AE35" s="36"/>
      <c r="AF35" s="36" t="s">
        <v>654</v>
      </c>
      <c r="AG35" s="36" t="s">
        <v>196</v>
      </c>
      <c r="AH35" s="36"/>
      <c r="AI35" s="36"/>
      <c r="AJ35" s="36"/>
      <c r="AK35" s="36"/>
      <c r="AL35" s="36"/>
      <c r="AM35" s="36"/>
      <c r="AN35" s="36"/>
      <c r="AO35" s="36"/>
      <c r="AP35" s="36"/>
      <c r="AQ35" s="36"/>
      <c r="AR35" s="36"/>
      <c r="AS35" s="36">
        <v>0</v>
      </c>
      <c r="AT35" s="36">
        <v>0</v>
      </c>
      <c r="AU35" s="36">
        <v>1</v>
      </c>
      <c r="AV35" s="36"/>
      <c r="AW35" s="36"/>
      <c r="AX35" s="36"/>
      <c r="AY35" s="36"/>
      <c r="AZ35" s="36">
        <v>30</v>
      </c>
      <c r="BA35" s="36"/>
      <c r="BB35" s="36">
        <v>44</v>
      </c>
      <c r="BC35" s="36"/>
      <c r="BD35" s="36"/>
      <c r="BE35" s="36"/>
      <c r="BF35" s="36"/>
      <c r="BG35" s="36"/>
      <c r="BH35" s="36"/>
      <c r="BI35" s="36"/>
    </row>
    <row r="36" spans="1:61" ht="12.75" customHeight="1">
      <c r="A36" s="32">
        <v>2532</v>
      </c>
      <c r="B36" s="32">
        <v>2529</v>
      </c>
      <c r="C36" s="37" t="s">
        <v>1138</v>
      </c>
      <c r="D36" s="42" t="s">
        <v>84</v>
      </c>
      <c r="E36" s="37"/>
      <c r="F36" s="39" t="s">
        <v>1048</v>
      </c>
      <c r="G36" s="37">
        <v>218</v>
      </c>
      <c r="H36" s="36">
        <v>100</v>
      </c>
      <c r="I36" s="36">
        <v>0</v>
      </c>
      <c r="J36" s="38" t="s">
        <v>1045</v>
      </c>
      <c r="K36" s="38" t="s">
        <v>1044</v>
      </c>
      <c r="L36" s="36"/>
      <c r="M36" s="36"/>
      <c r="N36" s="36">
        <v>11</v>
      </c>
      <c r="O36" s="36">
        <v>11</v>
      </c>
      <c r="Q36" s="37"/>
      <c r="R36" s="36"/>
      <c r="S36" s="36">
        <v>1031.3</v>
      </c>
      <c r="T36" s="36">
        <v>0</v>
      </c>
      <c r="U36" s="36">
        <v>1031.3</v>
      </c>
      <c r="V36" s="36">
        <v>20.6</v>
      </c>
      <c r="W36" s="36">
        <v>0</v>
      </c>
      <c r="X36" s="36">
        <v>20.6</v>
      </c>
      <c r="Y36" s="36">
        <v>0</v>
      </c>
      <c r="Z36" s="36"/>
      <c r="AA36" s="36"/>
      <c r="AB36" s="36"/>
      <c r="AC36" s="36"/>
      <c r="AD36" s="36">
        <v>0</v>
      </c>
      <c r="AE36" s="36"/>
      <c r="AF36" s="36"/>
      <c r="AG36" s="36" t="s">
        <v>196</v>
      </c>
      <c r="AH36" s="36"/>
      <c r="AI36" s="36"/>
      <c r="AJ36" s="36"/>
      <c r="AK36" s="36"/>
      <c r="AL36" s="36"/>
      <c r="AM36" s="36"/>
      <c r="AN36" s="36"/>
      <c r="AO36" s="36"/>
      <c r="AP36" s="36"/>
      <c r="AQ36" s="36"/>
      <c r="AR36" s="36"/>
      <c r="AS36" s="36">
        <v>0</v>
      </c>
      <c r="AT36" s="36">
        <v>0</v>
      </c>
      <c r="AU36" s="36">
        <v>1</v>
      </c>
      <c r="AV36" s="36"/>
      <c r="AW36" s="36"/>
      <c r="AX36" s="36"/>
      <c r="AY36" s="36"/>
      <c r="AZ36" s="36">
        <v>30</v>
      </c>
      <c r="BA36" s="36"/>
      <c r="BB36" s="36">
        <v>44</v>
      </c>
      <c r="BC36" s="36"/>
      <c r="BD36" s="36"/>
      <c r="BE36" s="36"/>
      <c r="BF36" s="36"/>
      <c r="BG36" s="36"/>
      <c r="BH36" s="36"/>
      <c r="BI36" s="36"/>
    </row>
    <row r="37" spans="1:61" ht="12.75" customHeight="1">
      <c r="A37" s="32">
        <v>2533</v>
      </c>
      <c r="B37" s="32">
        <v>2532</v>
      </c>
      <c r="C37" s="37" t="s">
        <v>1047</v>
      </c>
      <c r="D37" s="42" t="s">
        <v>85</v>
      </c>
      <c r="E37" s="37"/>
      <c r="F37" s="39" t="s">
        <v>1046</v>
      </c>
      <c r="G37" s="37">
        <v>248</v>
      </c>
      <c r="H37" s="36"/>
      <c r="I37" s="36"/>
      <c r="J37" s="38" t="s">
        <v>1045</v>
      </c>
      <c r="K37" s="38" t="s">
        <v>1044</v>
      </c>
      <c r="L37" s="36"/>
      <c r="M37" s="36"/>
      <c r="N37" s="36">
        <v>11</v>
      </c>
      <c r="O37" s="36">
        <v>11</v>
      </c>
      <c r="Q37" s="37"/>
      <c r="R37" s="36" t="s">
        <v>1043</v>
      </c>
      <c r="S37" s="36">
        <v>1031.3</v>
      </c>
      <c r="T37" s="36">
        <v>0</v>
      </c>
      <c r="U37" s="36">
        <v>1031.3</v>
      </c>
      <c r="V37" s="36">
        <v>20.6</v>
      </c>
      <c r="W37" s="36">
        <v>0</v>
      </c>
      <c r="X37" s="36">
        <v>20.6</v>
      </c>
      <c r="Y37" s="36">
        <v>0</v>
      </c>
      <c r="Z37" s="36">
        <v>7.5</v>
      </c>
      <c r="AA37" s="36">
        <v>1.875</v>
      </c>
      <c r="AB37" s="36">
        <v>25</v>
      </c>
      <c r="AC37" s="36">
        <v>50</v>
      </c>
      <c r="AD37" s="36">
        <v>808</v>
      </c>
      <c r="AE37" s="36"/>
      <c r="AF37" s="36" t="s">
        <v>654</v>
      </c>
      <c r="AG37" s="36" t="s">
        <v>196</v>
      </c>
      <c r="AH37" s="36"/>
      <c r="AI37" s="36"/>
      <c r="AJ37" s="36"/>
      <c r="AK37" s="36"/>
      <c r="AL37" s="36"/>
      <c r="AM37" s="36"/>
      <c r="AN37" s="36"/>
      <c r="AO37" s="36"/>
      <c r="AP37" s="36"/>
      <c r="AQ37" s="36"/>
      <c r="AR37" s="36"/>
      <c r="AS37" s="36">
        <v>0</v>
      </c>
      <c r="AT37" s="36">
        <v>0</v>
      </c>
      <c r="AU37" s="36">
        <v>1</v>
      </c>
      <c r="AV37" s="36"/>
      <c r="AW37" s="36"/>
      <c r="AX37" s="36"/>
      <c r="AY37" s="36"/>
      <c r="AZ37" s="36">
        <v>30</v>
      </c>
      <c r="BA37" s="36"/>
      <c r="BB37" s="36">
        <v>44</v>
      </c>
      <c r="BC37" s="36"/>
      <c r="BD37" s="36"/>
      <c r="BE37" s="36"/>
      <c r="BF37" s="36"/>
      <c r="BG37" s="36"/>
      <c r="BH37" s="36"/>
      <c r="BI37" s="36"/>
    </row>
    <row r="38" spans="1:61" ht="12.75" customHeight="1">
      <c r="A38" s="32">
        <v>2534</v>
      </c>
      <c r="B38" s="32">
        <v>2529</v>
      </c>
      <c r="C38" s="37" t="s">
        <v>1137</v>
      </c>
      <c r="D38" s="42" t="s">
        <v>84</v>
      </c>
      <c r="E38" s="37"/>
      <c r="F38" s="39" t="s">
        <v>1041</v>
      </c>
      <c r="G38" s="37">
        <v>218</v>
      </c>
      <c r="H38" s="36">
        <v>100</v>
      </c>
      <c r="I38" s="36">
        <v>0</v>
      </c>
      <c r="J38" s="38" t="s">
        <v>1038</v>
      </c>
      <c r="K38" s="38" t="s">
        <v>1037</v>
      </c>
      <c r="L38" s="36"/>
      <c r="M38" s="36"/>
      <c r="N38" s="36">
        <v>6</v>
      </c>
      <c r="O38" s="36">
        <v>6</v>
      </c>
      <c r="Q38" s="37"/>
      <c r="R38" s="36"/>
      <c r="S38" s="36">
        <v>1125</v>
      </c>
      <c r="T38" s="36">
        <v>0</v>
      </c>
      <c r="U38" s="36">
        <v>1125</v>
      </c>
      <c r="V38" s="36">
        <v>11.3</v>
      </c>
      <c r="W38" s="36">
        <v>0</v>
      </c>
      <c r="X38" s="36">
        <v>11.3</v>
      </c>
      <c r="Y38" s="36">
        <v>0</v>
      </c>
      <c r="Z38" s="36"/>
      <c r="AA38" s="36"/>
      <c r="AB38" s="36"/>
      <c r="AC38" s="36"/>
      <c r="AD38" s="36">
        <v>0</v>
      </c>
      <c r="AE38" s="36"/>
      <c r="AF38" s="36"/>
      <c r="AG38" s="36" t="s">
        <v>196</v>
      </c>
      <c r="AH38" s="36"/>
      <c r="AI38" s="36"/>
      <c r="AJ38" s="36"/>
      <c r="AK38" s="36"/>
      <c r="AL38" s="36"/>
      <c r="AM38" s="36"/>
      <c r="AN38" s="36"/>
      <c r="AO38" s="36"/>
      <c r="AP38" s="36"/>
      <c r="AQ38" s="36"/>
      <c r="AR38" s="36"/>
      <c r="AS38" s="36">
        <v>0</v>
      </c>
      <c r="AT38" s="36">
        <v>0</v>
      </c>
      <c r="AU38" s="36">
        <v>1</v>
      </c>
      <c r="AV38" s="36"/>
      <c r="AW38" s="36"/>
      <c r="AX38" s="36"/>
      <c r="AY38" s="36"/>
      <c r="AZ38" s="36">
        <v>30</v>
      </c>
      <c r="BA38" s="36"/>
      <c r="BB38" s="36">
        <v>44</v>
      </c>
      <c r="BC38" s="36"/>
      <c r="BD38" s="36"/>
      <c r="BE38" s="36"/>
      <c r="BF38" s="36"/>
      <c r="BG38" s="36"/>
      <c r="BH38" s="36"/>
      <c r="BI38" s="36"/>
    </row>
    <row r="39" spans="1:61" ht="12.75" customHeight="1">
      <c r="A39" s="32">
        <v>2535</v>
      </c>
      <c r="B39" s="32">
        <v>2534</v>
      </c>
      <c r="C39" s="37" t="s">
        <v>1040</v>
      </c>
      <c r="D39" s="42" t="s">
        <v>85</v>
      </c>
      <c r="E39" s="37"/>
      <c r="F39" s="39" t="s">
        <v>1039</v>
      </c>
      <c r="G39" s="37">
        <v>254</v>
      </c>
      <c r="H39" s="36"/>
      <c r="I39" s="36"/>
      <c r="J39" s="38" t="s">
        <v>1038</v>
      </c>
      <c r="K39" s="38" t="s">
        <v>1037</v>
      </c>
      <c r="L39" s="36"/>
      <c r="M39" s="36"/>
      <c r="N39" s="36">
        <v>6</v>
      </c>
      <c r="O39" s="36">
        <v>6</v>
      </c>
      <c r="Q39" s="37"/>
      <c r="R39" s="36" t="s">
        <v>1036</v>
      </c>
      <c r="S39" s="36">
        <v>1125</v>
      </c>
      <c r="T39" s="36">
        <v>0</v>
      </c>
      <c r="U39" s="36">
        <v>1125</v>
      </c>
      <c r="V39" s="36">
        <v>11.3</v>
      </c>
      <c r="W39" s="36">
        <v>0</v>
      </c>
      <c r="X39" s="36">
        <v>11.3</v>
      </c>
      <c r="Y39" s="36">
        <v>0</v>
      </c>
      <c r="Z39" s="36">
        <v>7.5</v>
      </c>
      <c r="AA39" s="36">
        <v>1.875</v>
      </c>
      <c r="AB39" s="36">
        <v>25</v>
      </c>
      <c r="AC39" s="36">
        <v>100</v>
      </c>
      <c r="AD39" s="36">
        <v>813</v>
      </c>
      <c r="AE39" s="36"/>
      <c r="AF39" s="36" t="s">
        <v>654</v>
      </c>
      <c r="AG39" s="36" t="s">
        <v>196</v>
      </c>
      <c r="AH39" s="36"/>
      <c r="AI39" s="36"/>
      <c r="AJ39" s="36"/>
      <c r="AK39" s="36"/>
      <c r="AL39" s="36"/>
      <c r="AM39" s="36"/>
      <c r="AN39" s="36"/>
      <c r="AO39" s="36"/>
      <c r="AP39" s="36"/>
      <c r="AQ39" s="36"/>
      <c r="AR39" s="36"/>
      <c r="AS39" s="36">
        <v>0</v>
      </c>
      <c r="AT39" s="36">
        <v>0</v>
      </c>
      <c r="AU39" s="36">
        <v>1</v>
      </c>
      <c r="AV39" s="36"/>
      <c r="AW39" s="36"/>
      <c r="AX39" s="36"/>
      <c r="AY39" s="36"/>
      <c r="AZ39" s="36">
        <v>30</v>
      </c>
      <c r="BA39" s="36"/>
      <c r="BB39" s="36">
        <v>44</v>
      </c>
      <c r="BC39" s="36"/>
      <c r="BD39" s="36"/>
      <c r="BE39" s="36"/>
      <c r="BF39" s="36"/>
      <c r="BG39" s="36"/>
      <c r="BH39" s="36"/>
      <c r="BI39" s="36"/>
    </row>
    <row r="40" spans="1:61" ht="12.75" customHeight="1">
      <c r="A40" s="32">
        <v>2536</v>
      </c>
      <c r="B40" s="32">
        <v>2100</v>
      </c>
      <c r="C40" s="41" t="s">
        <v>1136</v>
      </c>
      <c r="D40" s="40" t="s">
        <v>79</v>
      </c>
      <c r="E40" s="37"/>
      <c r="F40" s="39" t="s">
        <v>495</v>
      </c>
      <c r="G40" s="37">
        <v>454</v>
      </c>
      <c r="H40" s="36"/>
      <c r="I40" s="36"/>
      <c r="J40" s="38" t="s">
        <v>1130</v>
      </c>
      <c r="K40" s="38" t="s">
        <v>1135</v>
      </c>
      <c r="L40" s="36"/>
      <c r="M40" s="36"/>
      <c r="N40" s="36">
        <v>130</v>
      </c>
      <c r="O40" s="36">
        <v>130</v>
      </c>
      <c r="Q40" s="37"/>
      <c r="R40" s="36" t="s">
        <v>1134</v>
      </c>
      <c r="S40" s="36">
        <v>0</v>
      </c>
      <c r="T40" s="36">
        <v>0</v>
      </c>
      <c r="U40" s="36">
        <v>0</v>
      </c>
      <c r="V40" s="36">
        <v>0</v>
      </c>
      <c r="W40" s="36">
        <v>0</v>
      </c>
      <c r="X40" s="36">
        <v>0</v>
      </c>
      <c r="Y40" s="36">
        <v>0</v>
      </c>
      <c r="Z40" s="36"/>
      <c r="AA40" s="36"/>
      <c r="AB40" s="36"/>
      <c r="AC40" s="36"/>
      <c r="AD40" s="36"/>
      <c r="AE40" s="36"/>
      <c r="AF40" s="36"/>
      <c r="AG40" s="36" t="s">
        <v>196</v>
      </c>
      <c r="AH40" s="36" t="s">
        <v>692</v>
      </c>
      <c r="AI40" s="36"/>
      <c r="AJ40" s="36" t="s">
        <v>1055</v>
      </c>
      <c r="AK40" s="36" t="s">
        <v>1010</v>
      </c>
      <c r="AL40" s="36" t="s">
        <v>1133</v>
      </c>
      <c r="AM40" s="36"/>
      <c r="AN40" s="36"/>
      <c r="AO40" s="36"/>
      <c r="AP40" s="36"/>
      <c r="AQ40" s="36"/>
      <c r="AR40" s="36"/>
      <c r="AS40" s="36"/>
      <c r="AT40" s="36"/>
      <c r="AU40" s="36"/>
      <c r="AV40" s="36"/>
      <c r="AW40" s="36"/>
      <c r="AX40" s="36"/>
      <c r="AY40" s="36"/>
      <c r="AZ40" s="36">
        <v>29.982600000000001</v>
      </c>
      <c r="BA40" s="36"/>
      <c r="BB40" s="36">
        <v>44</v>
      </c>
      <c r="BC40" s="36"/>
      <c r="BD40" s="36"/>
      <c r="BE40" s="36"/>
      <c r="BF40" s="36"/>
      <c r="BG40" s="36"/>
      <c r="BH40" s="36"/>
      <c r="BI40" s="36"/>
    </row>
    <row r="41" spans="1:61" ht="12.75" customHeight="1">
      <c r="A41" s="32">
        <v>2537</v>
      </c>
      <c r="B41" s="32">
        <v>2101</v>
      </c>
      <c r="C41" s="44" t="s">
        <v>1122</v>
      </c>
      <c r="D41" s="43" t="s">
        <v>83</v>
      </c>
      <c r="E41" s="37"/>
      <c r="F41" s="39" t="s">
        <v>744</v>
      </c>
      <c r="G41" s="37">
        <v>134</v>
      </c>
      <c r="H41" s="36">
        <v>187</v>
      </c>
      <c r="I41" s="36">
        <v>0</v>
      </c>
      <c r="J41" s="38" t="s">
        <v>1130</v>
      </c>
      <c r="K41" s="38" t="s">
        <v>1118</v>
      </c>
      <c r="L41" s="36"/>
      <c r="M41" s="36"/>
      <c r="N41" s="36">
        <v>24</v>
      </c>
      <c r="O41" s="36">
        <v>24</v>
      </c>
      <c r="Q41" s="37"/>
      <c r="R41" s="36"/>
      <c r="S41" s="36">
        <v>3843.7</v>
      </c>
      <c r="T41" s="36">
        <v>0</v>
      </c>
      <c r="U41" s="36">
        <v>3843.7</v>
      </c>
      <c r="V41" s="36">
        <v>45.1</v>
      </c>
      <c r="W41" s="36">
        <v>0</v>
      </c>
      <c r="X41" s="36">
        <v>45.1</v>
      </c>
      <c r="Y41" s="36">
        <v>0</v>
      </c>
      <c r="Z41" s="36"/>
      <c r="AA41" s="36"/>
      <c r="AB41" s="36"/>
      <c r="AC41" s="36">
        <v>0</v>
      </c>
      <c r="AD41" s="36">
        <v>0</v>
      </c>
      <c r="AE41" s="36"/>
      <c r="AF41" s="36"/>
      <c r="AG41" s="36" t="s">
        <v>196</v>
      </c>
      <c r="AH41" s="36"/>
      <c r="AI41" s="36"/>
      <c r="AJ41" s="36" t="s">
        <v>1055</v>
      </c>
      <c r="AK41" s="36" t="s">
        <v>1010</v>
      </c>
      <c r="AL41" s="36" t="s">
        <v>1059</v>
      </c>
      <c r="AM41" s="36" t="s">
        <v>1122</v>
      </c>
      <c r="AN41" s="36"/>
      <c r="AO41" s="36"/>
      <c r="AP41" s="36"/>
      <c r="AQ41" s="36"/>
      <c r="AR41" s="36"/>
      <c r="AS41" s="36">
        <v>0</v>
      </c>
      <c r="AT41" s="36">
        <v>0</v>
      </c>
      <c r="AU41" s="36">
        <v>1</v>
      </c>
      <c r="AV41" s="36"/>
      <c r="AW41" s="36"/>
      <c r="AX41" s="36"/>
      <c r="AY41" s="36"/>
      <c r="AZ41" s="36">
        <v>30</v>
      </c>
      <c r="BA41" s="36"/>
      <c r="BB41" s="36">
        <v>44</v>
      </c>
      <c r="BC41" s="36"/>
      <c r="BD41" s="36"/>
      <c r="BE41" s="36"/>
      <c r="BF41" s="36"/>
      <c r="BG41" s="36"/>
      <c r="BH41" s="36"/>
      <c r="BI41" s="36"/>
    </row>
    <row r="42" spans="1:61" ht="12.75" customHeight="1">
      <c r="A42" s="32">
        <v>2538</v>
      </c>
      <c r="B42" s="32">
        <v>2501</v>
      </c>
      <c r="C42" s="37" t="s">
        <v>1132</v>
      </c>
      <c r="D42" s="42" t="s">
        <v>84</v>
      </c>
      <c r="E42" s="37"/>
      <c r="F42" s="39" t="s">
        <v>745</v>
      </c>
      <c r="G42" s="37">
        <v>178</v>
      </c>
      <c r="H42" s="36">
        <v>100</v>
      </c>
      <c r="I42" s="36">
        <v>0</v>
      </c>
      <c r="J42" s="38" t="s">
        <v>1130</v>
      </c>
      <c r="K42" s="38" t="s">
        <v>1129</v>
      </c>
      <c r="L42" s="36"/>
      <c r="M42" s="36"/>
      <c r="N42" s="36">
        <v>9</v>
      </c>
      <c r="O42" s="36">
        <v>9</v>
      </c>
      <c r="Q42" s="37"/>
      <c r="R42" s="36"/>
      <c r="S42" s="36">
        <v>1265.5999999999999</v>
      </c>
      <c r="T42" s="36">
        <v>0</v>
      </c>
      <c r="U42" s="36">
        <v>1265.5999999999999</v>
      </c>
      <c r="V42" s="36">
        <v>16.899999999999999</v>
      </c>
      <c r="W42" s="36">
        <v>0</v>
      </c>
      <c r="X42" s="36">
        <v>16.899999999999999</v>
      </c>
      <c r="Y42" s="36">
        <v>0</v>
      </c>
      <c r="Z42" s="36"/>
      <c r="AA42" s="36"/>
      <c r="AB42" s="36"/>
      <c r="AC42" s="36">
        <v>0</v>
      </c>
      <c r="AD42" s="36">
        <v>0</v>
      </c>
      <c r="AE42" s="36"/>
      <c r="AF42" s="36"/>
      <c r="AG42" s="36" t="s">
        <v>196</v>
      </c>
      <c r="AH42" s="36"/>
      <c r="AI42" s="36"/>
      <c r="AJ42" s="36" t="s">
        <v>1055</v>
      </c>
      <c r="AK42" s="36" t="s">
        <v>1010</v>
      </c>
      <c r="AL42" s="36" t="s">
        <v>1059</v>
      </c>
      <c r="AM42" s="36" t="s">
        <v>1122</v>
      </c>
      <c r="AN42" s="36" t="s">
        <v>1132</v>
      </c>
      <c r="AO42" s="36"/>
      <c r="AP42" s="36"/>
      <c r="AQ42" s="36"/>
      <c r="AR42" s="36"/>
      <c r="AS42" s="36">
        <v>0</v>
      </c>
      <c r="AT42" s="36">
        <v>0</v>
      </c>
      <c r="AU42" s="36">
        <v>1</v>
      </c>
      <c r="AV42" s="36"/>
      <c r="AW42" s="36"/>
      <c r="AX42" s="36"/>
      <c r="AY42" s="36"/>
      <c r="AZ42" s="36">
        <v>30</v>
      </c>
      <c r="BA42" s="36"/>
      <c r="BB42" s="36">
        <v>44</v>
      </c>
      <c r="BC42" s="36"/>
      <c r="BD42" s="36"/>
      <c r="BE42" s="36"/>
      <c r="BF42" s="36"/>
      <c r="BG42" s="36"/>
      <c r="BH42" s="36"/>
      <c r="BI42" s="36"/>
    </row>
    <row r="43" spans="1:61" ht="12.75" customHeight="1">
      <c r="A43" s="32">
        <v>2539</v>
      </c>
      <c r="B43" s="32">
        <v>2502</v>
      </c>
      <c r="C43" s="37" t="s">
        <v>1114</v>
      </c>
      <c r="D43" s="42" t="s">
        <v>85</v>
      </c>
      <c r="E43" s="37"/>
      <c r="F43" s="39" t="s">
        <v>1131</v>
      </c>
      <c r="G43" s="37">
        <v>208</v>
      </c>
      <c r="H43" s="36"/>
      <c r="I43" s="36"/>
      <c r="J43" s="38" t="s">
        <v>1130</v>
      </c>
      <c r="K43" s="38" t="s">
        <v>1129</v>
      </c>
      <c r="L43" s="36"/>
      <c r="M43" s="36"/>
      <c r="N43" s="36">
        <v>9</v>
      </c>
      <c r="O43" s="36">
        <v>9</v>
      </c>
      <c r="Q43" s="37"/>
      <c r="R43" s="36" t="s">
        <v>1110</v>
      </c>
      <c r="S43" s="36">
        <v>1265.5999999999999</v>
      </c>
      <c r="T43" s="36">
        <v>0</v>
      </c>
      <c r="U43" s="36">
        <v>1265.5999999999999</v>
      </c>
      <c r="V43" s="36">
        <v>16.899999999999999</v>
      </c>
      <c r="W43" s="36">
        <v>0</v>
      </c>
      <c r="X43" s="36">
        <v>16.899999999999999</v>
      </c>
      <c r="Y43" s="36">
        <v>0</v>
      </c>
      <c r="Z43" s="36">
        <v>7.5</v>
      </c>
      <c r="AA43" s="36">
        <v>1.875</v>
      </c>
      <c r="AB43" s="36">
        <v>25</v>
      </c>
      <c r="AC43" s="36">
        <v>75</v>
      </c>
      <c r="AD43" s="36">
        <v>806</v>
      </c>
      <c r="AE43" s="36"/>
      <c r="AF43" s="36" t="s">
        <v>654</v>
      </c>
      <c r="AG43" s="36" t="s">
        <v>196</v>
      </c>
      <c r="AH43" s="36"/>
      <c r="AI43" s="36"/>
      <c r="AJ43" s="36"/>
      <c r="AK43" s="36"/>
      <c r="AL43" s="36"/>
      <c r="AM43" s="36"/>
      <c r="AN43" s="36"/>
      <c r="AO43" s="36"/>
      <c r="AP43" s="36"/>
      <c r="AQ43" s="36"/>
      <c r="AR43" s="36"/>
      <c r="AS43" s="36">
        <v>0</v>
      </c>
      <c r="AT43" s="36">
        <v>0</v>
      </c>
      <c r="AU43" s="36">
        <v>1</v>
      </c>
      <c r="AV43" s="36"/>
      <c r="AW43" s="36"/>
      <c r="AX43" s="36"/>
      <c r="AY43" s="36"/>
      <c r="AZ43" s="36">
        <v>30</v>
      </c>
      <c r="BA43" s="36"/>
      <c r="BB43" s="36">
        <v>44</v>
      </c>
      <c r="BC43" s="36"/>
      <c r="BD43" s="36"/>
      <c r="BE43" s="36"/>
      <c r="BF43" s="36"/>
      <c r="BG43" s="36"/>
      <c r="BH43" s="36"/>
      <c r="BI43" s="36"/>
    </row>
    <row r="44" spans="1:61" ht="12.75" customHeight="1">
      <c r="A44" s="32">
        <v>2540</v>
      </c>
      <c r="B44" s="32">
        <v>2501</v>
      </c>
      <c r="C44" s="37" t="s">
        <v>1127</v>
      </c>
      <c r="D44" s="42" t="s">
        <v>84</v>
      </c>
      <c r="E44" s="37"/>
      <c r="F44" s="39" t="s">
        <v>1128</v>
      </c>
      <c r="G44" s="37">
        <v>178</v>
      </c>
      <c r="H44" s="36">
        <v>100</v>
      </c>
      <c r="I44" s="36">
        <v>0</v>
      </c>
      <c r="J44" s="38" t="s">
        <v>1125</v>
      </c>
      <c r="K44" s="38" t="s">
        <v>1124</v>
      </c>
      <c r="L44" s="36"/>
      <c r="M44" s="36"/>
      <c r="N44" s="36">
        <v>10</v>
      </c>
      <c r="O44" s="36">
        <v>10</v>
      </c>
      <c r="Q44" s="37"/>
      <c r="R44" s="36"/>
      <c r="S44" s="36">
        <v>1875</v>
      </c>
      <c r="T44" s="36">
        <v>0</v>
      </c>
      <c r="U44" s="36">
        <v>1875</v>
      </c>
      <c r="V44" s="36">
        <v>18.8</v>
      </c>
      <c r="W44" s="36">
        <v>0</v>
      </c>
      <c r="X44" s="36">
        <v>18.8</v>
      </c>
      <c r="Y44" s="36">
        <v>0</v>
      </c>
      <c r="Z44" s="36"/>
      <c r="AA44" s="36"/>
      <c r="AB44" s="36"/>
      <c r="AC44" s="36">
        <v>0</v>
      </c>
      <c r="AD44" s="36">
        <v>0</v>
      </c>
      <c r="AE44" s="36"/>
      <c r="AF44" s="36"/>
      <c r="AG44" s="36" t="s">
        <v>196</v>
      </c>
      <c r="AH44" s="36"/>
      <c r="AI44" s="36"/>
      <c r="AJ44" s="36" t="s">
        <v>1055</v>
      </c>
      <c r="AK44" s="36" t="s">
        <v>1010</v>
      </c>
      <c r="AL44" s="36" t="s">
        <v>1059</v>
      </c>
      <c r="AM44" s="36" t="s">
        <v>1122</v>
      </c>
      <c r="AN44" s="36" t="s">
        <v>1127</v>
      </c>
      <c r="AO44" s="36"/>
      <c r="AP44" s="36"/>
      <c r="AQ44" s="36"/>
      <c r="AR44" s="36"/>
      <c r="AS44" s="36">
        <v>0</v>
      </c>
      <c r="AT44" s="36">
        <v>0</v>
      </c>
      <c r="AU44" s="36">
        <v>1</v>
      </c>
      <c r="AV44" s="36"/>
      <c r="AW44" s="36"/>
      <c r="AX44" s="36"/>
      <c r="AY44" s="36"/>
      <c r="AZ44" s="36">
        <v>30</v>
      </c>
      <c r="BA44" s="36"/>
      <c r="BB44" s="36">
        <v>44</v>
      </c>
      <c r="BC44" s="36"/>
      <c r="BD44" s="36"/>
      <c r="BE44" s="36"/>
      <c r="BF44" s="36"/>
      <c r="BG44" s="36"/>
      <c r="BH44" s="36"/>
      <c r="BI44" s="36"/>
    </row>
    <row r="45" spans="1:61" ht="12.75" customHeight="1">
      <c r="A45" s="32">
        <v>2541</v>
      </c>
      <c r="B45" s="32">
        <v>2504</v>
      </c>
      <c r="C45" s="37" t="s">
        <v>1072</v>
      </c>
      <c r="D45" s="42" t="s">
        <v>85</v>
      </c>
      <c r="E45" s="37"/>
      <c r="F45" s="39" t="s">
        <v>1126</v>
      </c>
      <c r="G45" s="37">
        <v>210</v>
      </c>
      <c r="H45" s="36"/>
      <c r="I45" s="36"/>
      <c r="J45" s="38" t="s">
        <v>1125</v>
      </c>
      <c r="K45" s="38" t="s">
        <v>1124</v>
      </c>
      <c r="L45" s="36"/>
      <c r="M45" s="36"/>
      <c r="N45" s="36">
        <v>10</v>
      </c>
      <c r="O45" s="36">
        <v>10</v>
      </c>
      <c r="Q45" s="37"/>
      <c r="R45" s="36" t="s">
        <v>1069</v>
      </c>
      <c r="S45" s="36">
        <v>1875</v>
      </c>
      <c r="T45" s="36">
        <v>0</v>
      </c>
      <c r="U45" s="36">
        <v>1875</v>
      </c>
      <c r="V45" s="36">
        <v>18.8</v>
      </c>
      <c r="W45" s="36">
        <v>0</v>
      </c>
      <c r="X45" s="36">
        <v>18.8</v>
      </c>
      <c r="Y45" s="36">
        <v>0</v>
      </c>
      <c r="Z45" s="36">
        <v>7.5</v>
      </c>
      <c r="AA45" s="36">
        <v>1.875</v>
      </c>
      <c r="AB45" s="36">
        <v>25</v>
      </c>
      <c r="AC45" s="36">
        <v>100</v>
      </c>
      <c r="AD45" s="36">
        <v>810</v>
      </c>
      <c r="AE45" s="36"/>
      <c r="AF45" s="36" t="s">
        <v>654</v>
      </c>
      <c r="AG45" s="36" t="s">
        <v>196</v>
      </c>
      <c r="AH45" s="36"/>
      <c r="AI45" s="36"/>
      <c r="AJ45" s="36"/>
      <c r="AK45" s="36"/>
      <c r="AL45" s="36"/>
      <c r="AM45" s="36"/>
      <c r="AN45" s="36"/>
      <c r="AO45" s="36"/>
      <c r="AP45" s="36"/>
      <c r="AQ45" s="36"/>
      <c r="AR45" s="36"/>
      <c r="AS45" s="36">
        <v>0</v>
      </c>
      <c r="AT45" s="36">
        <v>0</v>
      </c>
      <c r="AU45" s="36">
        <v>1</v>
      </c>
      <c r="AV45" s="36"/>
      <c r="AW45" s="36"/>
      <c r="AX45" s="36"/>
      <c r="AY45" s="36"/>
      <c r="AZ45" s="36">
        <v>30</v>
      </c>
      <c r="BA45" s="36"/>
      <c r="BB45" s="36">
        <v>44</v>
      </c>
      <c r="BC45" s="36"/>
      <c r="BD45" s="36"/>
      <c r="BE45" s="36"/>
      <c r="BF45" s="36"/>
      <c r="BG45" s="36"/>
      <c r="BH45" s="36"/>
      <c r="BI45" s="36"/>
    </row>
    <row r="46" spans="1:61" ht="12.75" customHeight="1">
      <c r="A46" s="32">
        <v>2542</v>
      </c>
      <c r="B46" s="32">
        <v>2501</v>
      </c>
      <c r="C46" s="37" t="s">
        <v>1121</v>
      </c>
      <c r="D46" s="42" t="s">
        <v>84</v>
      </c>
      <c r="E46" s="37"/>
      <c r="F46" s="39" t="s">
        <v>1123</v>
      </c>
      <c r="G46" s="37">
        <v>184</v>
      </c>
      <c r="H46" s="36">
        <v>100</v>
      </c>
      <c r="I46" s="36">
        <v>0</v>
      </c>
      <c r="J46" s="38" t="s">
        <v>1119</v>
      </c>
      <c r="K46" s="38" t="s">
        <v>1118</v>
      </c>
      <c r="L46" s="36"/>
      <c r="M46" s="36"/>
      <c r="N46" s="36">
        <v>5</v>
      </c>
      <c r="O46" s="36">
        <v>5</v>
      </c>
      <c r="Q46" s="37"/>
      <c r="R46" s="36"/>
      <c r="S46" s="36">
        <v>703.1</v>
      </c>
      <c r="T46" s="36">
        <v>0</v>
      </c>
      <c r="U46" s="36">
        <v>703.1</v>
      </c>
      <c r="V46" s="36">
        <v>9.4</v>
      </c>
      <c r="W46" s="36">
        <v>0</v>
      </c>
      <c r="X46" s="36">
        <v>9.4</v>
      </c>
      <c r="Y46" s="36">
        <v>0</v>
      </c>
      <c r="Z46" s="36"/>
      <c r="AA46" s="36"/>
      <c r="AB46" s="36"/>
      <c r="AC46" s="36">
        <v>0</v>
      </c>
      <c r="AD46" s="36">
        <v>0</v>
      </c>
      <c r="AE46" s="36"/>
      <c r="AF46" s="36"/>
      <c r="AG46" s="36" t="s">
        <v>196</v>
      </c>
      <c r="AH46" s="36"/>
      <c r="AI46" s="36"/>
      <c r="AJ46" s="36" t="s">
        <v>1055</v>
      </c>
      <c r="AK46" s="36" t="s">
        <v>1010</v>
      </c>
      <c r="AL46" s="36" t="s">
        <v>1059</v>
      </c>
      <c r="AM46" s="36" t="s">
        <v>1122</v>
      </c>
      <c r="AN46" s="36" t="s">
        <v>1121</v>
      </c>
      <c r="AO46" s="36"/>
      <c r="AP46" s="36"/>
      <c r="AQ46" s="36"/>
      <c r="AR46" s="36"/>
      <c r="AS46" s="36">
        <v>0</v>
      </c>
      <c r="AT46" s="36">
        <v>0</v>
      </c>
      <c r="AU46" s="36">
        <v>1</v>
      </c>
      <c r="AV46" s="36"/>
      <c r="AW46" s="36"/>
      <c r="AX46" s="36"/>
      <c r="AY46" s="36"/>
      <c r="AZ46" s="36">
        <v>30</v>
      </c>
      <c r="BA46" s="36"/>
      <c r="BB46" s="36">
        <v>44</v>
      </c>
      <c r="BC46" s="36"/>
      <c r="BD46" s="36"/>
      <c r="BE46" s="36"/>
      <c r="BF46" s="36"/>
      <c r="BG46" s="36"/>
      <c r="BH46" s="36"/>
      <c r="BI46" s="36"/>
    </row>
    <row r="47" spans="1:61" ht="12.75" customHeight="1">
      <c r="A47" s="32">
        <v>2543</v>
      </c>
      <c r="B47" s="32">
        <v>2506</v>
      </c>
      <c r="C47" s="37" t="s">
        <v>1065</v>
      </c>
      <c r="D47" s="42" t="s">
        <v>85</v>
      </c>
      <c r="E47" s="37"/>
      <c r="F47" s="39" t="s">
        <v>1120</v>
      </c>
      <c r="G47" s="37">
        <v>220</v>
      </c>
      <c r="H47" s="36"/>
      <c r="I47" s="36"/>
      <c r="J47" s="38" t="s">
        <v>1119</v>
      </c>
      <c r="K47" s="38" t="s">
        <v>1118</v>
      </c>
      <c r="L47" s="36"/>
      <c r="M47" s="36"/>
      <c r="N47" s="36">
        <v>5</v>
      </c>
      <c r="O47" s="36">
        <v>5</v>
      </c>
      <c r="Q47" s="37"/>
      <c r="R47" s="36" t="s">
        <v>1061</v>
      </c>
      <c r="S47" s="36">
        <v>703.1</v>
      </c>
      <c r="T47" s="36">
        <v>0</v>
      </c>
      <c r="U47" s="36">
        <v>703.1</v>
      </c>
      <c r="V47" s="36">
        <v>9.4</v>
      </c>
      <c r="W47" s="36">
        <v>0</v>
      </c>
      <c r="X47" s="36">
        <v>9.4</v>
      </c>
      <c r="Y47" s="36">
        <v>0</v>
      </c>
      <c r="Z47" s="36">
        <v>7.5</v>
      </c>
      <c r="AA47" s="36">
        <v>1.875</v>
      </c>
      <c r="AB47" s="36">
        <v>25</v>
      </c>
      <c r="AC47" s="36">
        <v>75</v>
      </c>
      <c r="AD47" s="36">
        <v>809</v>
      </c>
      <c r="AE47" s="36"/>
      <c r="AF47" s="36" t="s">
        <v>654</v>
      </c>
      <c r="AG47" s="36" t="s">
        <v>196</v>
      </c>
      <c r="AH47" s="36"/>
      <c r="AI47" s="36"/>
      <c r="AJ47" s="36"/>
      <c r="AK47" s="36"/>
      <c r="AL47" s="36"/>
      <c r="AM47" s="36"/>
      <c r="AN47" s="36"/>
      <c r="AO47" s="36"/>
      <c r="AP47" s="36"/>
      <c r="AQ47" s="36"/>
      <c r="AR47" s="36"/>
      <c r="AS47" s="36">
        <v>0</v>
      </c>
      <c r="AT47" s="36">
        <v>0</v>
      </c>
      <c r="AU47" s="36">
        <v>1</v>
      </c>
      <c r="AV47" s="36"/>
      <c r="AW47" s="36"/>
      <c r="AX47" s="36"/>
      <c r="AY47" s="36"/>
      <c r="AZ47" s="36">
        <v>30</v>
      </c>
      <c r="BA47" s="36"/>
      <c r="BB47" s="36">
        <v>44</v>
      </c>
      <c r="BC47" s="36"/>
      <c r="BD47" s="36"/>
      <c r="BE47" s="36"/>
      <c r="BF47" s="36"/>
      <c r="BG47" s="36"/>
      <c r="BH47" s="36"/>
      <c r="BI47" s="36"/>
    </row>
    <row r="48" spans="1:61" ht="12.75" customHeight="1">
      <c r="A48" s="32">
        <v>2544</v>
      </c>
      <c r="B48" s="32">
        <v>2101</v>
      </c>
      <c r="C48" s="44" t="s">
        <v>1103</v>
      </c>
      <c r="D48" s="43" t="s">
        <v>83</v>
      </c>
      <c r="E48" s="37"/>
      <c r="F48" s="39" t="s">
        <v>1117</v>
      </c>
      <c r="G48" s="37">
        <v>140</v>
      </c>
      <c r="H48" s="36">
        <v>194</v>
      </c>
      <c r="I48" s="36">
        <v>0</v>
      </c>
      <c r="J48" s="38" t="s">
        <v>1112</v>
      </c>
      <c r="K48" s="38" t="s">
        <v>1105</v>
      </c>
      <c r="L48" s="36"/>
      <c r="M48" s="36"/>
      <c r="N48" s="36">
        <v>15</v>
      </c>
      <c r="O48" s="36">
        <v>15</v>
      </c>
      <c r="Q48" s="37"/>
      <c r="R48" s="36"/>
      <c r="S48" s="36">
        <v>3609.4</v>
      </c>
      <c r="T48" s="36">
        <v>0</v>
      </c>
      <c r="U48" s="36">
        <v>3609.4</v>
      </c>
      <c r="V48" s="36">
        <v>43.1</v>
      </c>
      <c r="W48" s="36">
        <v>0</v>
      </c>
      <c r="X48" s="36">
        <v>43.1</v>
      </c>
      <c r="Y48" s="36">
        <v>0</v>
      </c>
      <c r="Z48" s="36"/>
      <c r="AA48" s="36"/>
      <c r="AB48" s="36"/>
      <c r="AC48" s="36">
        <v>0</v>
      </c>
      <c r="AD48" s="36">
        <v>0</v>
      </c>
      <c r="AE48" s="36"/>
      <c r="AF48" s="36"/>
      <c r="AG48" s="36" t="s">
        <v>196</v>
      </c>
      <c r="AH48" s="36"/>
      <c r="AI48" s="36"/>
      <c r="AJ48" s="36" t="s">
        <v>1055</v>
      </c>
      <c r="AK48" s="36" t="s">
        <v>1010</v>
      </c>
      <c r="AL48" s="36" t="s">
        <v>1059</v>
      </c>
      <c r="AM48" s="36" t="s">
        <v>1103</v>
      </c>
      <c r="AN48" s="36"/>
      <c r="AO48" s="36"/>
      <c r="AP48" s="36"/>
      <c r="AQ48" s="36"/>
      <c r="AR48" s="36"/>
      <c r="AS48" s="36">
        <v>0</v>
      </c>
      <c r="AT48" s="36">
        <v>0</v>
      </c>
      <c r="AU48" s="36">
        <v>1</v>
      </c>
      <c r="AV48" s="36"/>
      <c r="AW48" s="36"/>
      <c r="AX48" s="36"/>
      <c r="AY48" s="36"/>
      <c r="AZ48" s="36">
        <v>30</v>
      </c>
      <c r="BA48" s="36"/>
      <c r="BB48" s="36">
        <v>44</v>
      </c>
      <c r="BC48" s="36"/>
      <c r="BD48" s="36"/>
      <c r="BE48" s="36"/>
      <c r="BF48" s="36"/>
      <c r="BG48" s="36"/>
      <c r="BH48" s="36"/>
      <c r="BI48" s="36"/>
    </row>
    <row r="49" spans="1:61" ht="12.75" customHeight="1">
      <c r="A49" s="32">
        <v>2545</v>
      </c>
      <c r="B49" s="32">
        <v>2508</v>
      </c>
      <c r="C49" s="37" t="s">
        <v>1115</v>
      </c>
      <c r="D49" s="42" t="s">
        <v>84</v>
      </c>
      <c r="E49" s="37"/>
      <c r="F49" s="39" t="s">
        <v>1116</v>
      </c>
      <c r="G49" s="37">
        <v>184</v>
      </c>
      <c r="H49" s="36">
        <v>100</v>
      </c>
      <c r="I49" s="36">
        <v>0</v>
      </c>
      <c r="J49" s="38" t="s">
        <v>1112</v>
      </c>
      <c r="K49" s="38" t="s">
        <v>1111</v>
      </c>
      <c r="L49" s="36"/>
      <c r="M49" s="36"/>
      <c r="N49" s="36">
        <v>5</v>
      </c>
      <c r="O49" s="36">
        <v>5</v>
      </c>
      <c r="Q49" s="37"/>
      <c r="R49" s="36"/>
      <c r="S49" s="36">
        <v>984.4</v>
      </c>
      <c r="T49" s="36">
        <v>0</v>
      </c>
      <c r="U49" s="36">
        <v>984.4</v>
      </c>
      <c r="V49" s="36">
        <v>13.1</v>
      </c>
      <c r="W49" s="36">
        <v>0</v>
      </c>
      <c r="X49" s="36">
        <v>13.1</v>
      </c>
      <c r="Y49" s="36">
        <v>0</v>
      </c>
      <c r="Z49" s="36"/>
      <c r="AA49" s="36"/>
      <c r="AB49" s="36"/>
      <c r="AC49" s="36">
        <v>0</v>
      </c>
      <c r="AD49" s="36">
        <v>0</v>
      </c>
      <c r="AE49" s="36"/>
      <c r="AF49" s="36"/>
      <c r="AG49" s="36" t="s">
        <v>196</v>
      </c>
      <c r="AH49" s="36"/>
      <c r="AI49" s="36"/>
      <c r="AJ49" s="36" t="s">
        <v>1055</v>
      </c>
      <c r="AK49" s="36" t="s">
        <v>1010</v>
      </c>
      <c r="AL49" s="36" t="s">
        <v>1059</v>
      </c>
      <c r="AM49" s="36" t="s">
        <v>1103</v>
      </c>
      <c r="AN49" s="36" t="s">
        <v>1115</v>
      </c>
      <c r="AO49" s="36"/>
      <c r="AP49" s="36"/>
      <c r="AQ49" s="36"/>
      <c r="AR49" s="36"/>
      <c r="AS49" s="36">
        <v>0</v>
      </c>
      <c r="AT49" s="36">
        <v>0</v>
      </c>
      <c r="AU49" s="36">
        <v>1</v>
      </c>
      <c r="AV49" s="36"/>
      <c r="AW49" s="36"/>
      <c r="AX49" s="36"/>
      <c r="AY49" s="36"/>
      <c r="AZ49" s="36">
        <v>30</v>
      </c>
      <c r="BA49" s="36"/>
      <c r="BB49" s="36">
        <v>44</v>
      </c>
      <c r="BC49" s="36"/>
      <c r="BD49" s="36"/>
      <c r="BE49" s="36"/>
      <c r="BF49" s="36"/>
      <c r="BG49" s="36"/>
      <c r="BH49" s="36"/>
      <c r="BI49" s="36"/>
    </row>
    <row r="50" spans="1:61" ht="12.75" customHeight="1">
      <c r="A50" s="32">
        <v>2546</v>
      </c>
      <c r="B50" s="32">
        <v>2509</v>
      </c>
      <c r="C50" s="37" t="s">
        <v>1114</v>
      </c>
      <c r="D50" s="42" t="s">
        <v>85</v>
      </c>
      <c r="E50" s="37"/>
      <c r="F50" s="39" t="s">
        <v>1113</v>
      </c>
      <c r="G50" s="37">
        <v>214</v>
      </c>
      <c r="H50" s="36"/>
      <c r="I50" s="36"/>
      <c r="J50" s="38" t="s">
        <v>1112</v>
      </c>
      <c r="K50" s="38" t="s">
        <v>1111</v>
      </c>
      <c r="L50" s="36"/>
      <c r="M50" s="36"/>
      <c r="N50" s="36">
        <v>4</v>
      </c>
      <c r="O50" s="36">
        <v>4</v>
      </c>
      <c r="Q50" s="37"/>
      <c r="R50" s="36" t="s">
        <v>1110</v>
      </c>
      <c r="S50" s="36">
        <v>984.4</v>
      </c>
      <c r="T50" s="36">
        <v>0</v>
      </c>
      <c r="U50" s="36">
        <v>984.4</v>
      </c>
      <c r="V50" s="36">
        <v>13.1</v>
      </c>
      <c r="W50" s="36">
        <v>0</v>
      </c>
      <c r="X50" s="36">
        <v>13.1</v>
      </c>
      <c r="Y50" s="36">
        <v>0</v>
      </c>
      <c r="Z50" s="36">
        <v>7.5</v>
      </c>
      <c r="AA50" s="36">
        <v>1.875</v>
      </c>
      <c r="AB50" s="36">
        <v>25</v>
      </c>
      <c r="AC50" s="36">
        <v>75</v>
      </c>
      <c r="AD50" s="36">
        <v>806</v>
      </c>
      <c r="AE50" s="36"/>
      <c r="AF50" s="36" t="s">
        <v>654</v>
      </c>
      <c r="AG50" s="36" t="s">
        <v>196</v>
      </c>
      <c r="AH50" s="36"/>
      <c r="AI50" s="36"/>
      <c r="AJ50" s="36"/>
      <c r="AK50" s="36"/>
      <c r="AL50" s="36"/>
      <c r="AM50" s="36"/>
      <c r="AN50" s="36"/>
      <c r="AO50" s="36"/>
      <c r="AP50" s="36"/>
      <c r="AQ50" s="36"/>
      <c r="AR50" s="36"/>
      <c r="AS50" s="36">
        <v>0</v>
      </c>
      <c r="AT50" s="36">
        <v>0</v>
      </c>
      <c r="AU50" s="36">
        <v>1</v>
      </c>
      <c r="AV50" s="36"/>
      <c r="AW50" s="36"/>
      <c r="AX50" s="36"/>
      <c r="AY50" s="36"/>
      <c r="AZ50" s="36">
        <v>30</v>
      </c>
      <c r="BA50" s="36"/>
      <c r="BB50" s="36">
        <v>44</v>
      </c>
      <c r="BC50" s="36"/>
      <c r="BD50" s="36"/>
      <c r="BE50" s="36"/>
      <c r="BF50" s="36"/>
      <c r="BG50" s="36"/>
      <c r="BH50" s="36"/>
      <c r="BI50" s="36"/>
    </row>
    <row r="51" spans="1:61" ht="12.75" customHeight="1">
      <c r="A51" s="32">
        <v>2547</v>
      </c>
      <c r="B51" s="32">
        <v>2508</v>
      </c>
      <c r="C51" s="37" t="s">
        <v>1108</v>
      </c>
      <c r="D51" s="42" t="s">
        <v>84</v>
      </c>
      <c r="E51" s="37"/>
      <c r="F51" s="39" t="s">
        <v>1109</v>
      </c>
      <c r="G51" s="37">
        <v>184</v>
      </c>
      <c r="H51" s="36">
        <v>100</v>
      </c>
      <c r="I51" s="36">
        <v>0</v>
      </c>
      <c r="J51" s="38" t="s">
        <v>1106</v>
      </c>
      <c r="K51" s="38" t="s">
        <v>1105</v>
      </c>
      <c r="L51" s="36"/>
      <c r="M51" s="36"/>
      <c r="N51" s="36">
        <v>5</v>
      </c>
      <c r="O51" s="36">
        <v>5</v>
      </c>
      <c r="Q51" s="37"/>
      <c r="R51" s="36"/>
      <c r="S51" s="36">
        <v>1125</v>
      </c>
      <c r="T51" s="36">
        <v>0</v>
      </c>
      <c r="U51" s="36">
        <v>1125</v>
      </c>
      <c r="V51" s="36">
        <v>15</v>
      </c>
      <c r="W51" s="36">
        <v>0</v>
      </c>
      <c r="X51" s="36">
        <v>15</v>
      </c>
      <c r="Y51" s="36">
        <v>0</v>
      </c>
      <c r="Z51" s="36"/>
      <c r="AA51" s="36"/>
      <c r="AB51" s="36"/>
      <c r="AC51" s="36"/>
      <c r="AD51" s="36">
        <v>0</v>
      </c>
      <c r="AE51" s="36"/>
      <c r="AF51" s="36"/>
      <c r="AG51" s="36" t="s">
        <v>196</v>
      </c>
      <c r="AH51" s="36"/>
      <c r="AI51" s="36"/>
      <c r="AJ51" s="36"/>
      <c r="AK51" s="36" t="s">
        <v>1010</v>
      </c>
      <c r="AL51" s="36" t="s">
        <v>1059</v>
      </c>
      <c r="AM51" s="36" t="s">
        <v>1103</v>
      </c>
      <c r="AN51" s="36" t="s">
        <v>1108</v>
      </c>
      <c r="AO51" s="36"/>
      <c r="AP51" s="36"/>
      <c r="AQ51" s="36"/>
      <c r="AR51" s="36"/>
      <c r="AS51" s="36">
        <v>0</v>
      </c>
      <c r="AT51" s="36">
        <v>0</v>
      </c>
      <c r="AU51" s="36">
        <v>1</v>
      </c>
      <c r="AV51" s="36"/>
      <c r="AW51" s="36"/>
      <c r="AX51" s="36"/>
      <c r="AY51" s="36"/>
      <c r="AZ51" s="36">
        <v>30</v>
      </c>
      <c r="BA51" s="36"/>
      <c r="BB51" s="36">
        <v>44</v>
      </c>
      <c r="BC51" s="36"/>
      <c r="BD51" s="36"/>
      <c r="BE51" s="36"/>
      <c r="BF51" s="36"/>
      <c r="BG51" s="36"/>
      <c r="BH51" s="36"/>
      <c r="BI51" s="36"/>
    </row>
    <row r="52" spans="1:61" ht="12.75" customHeight="1">
      <c r="A52" s="32">
        <v>2548</v>
      </c>
      <c r="B52" s="32">
        <v>2511</v>
      </c>
      <c r="C52" s="37" t="s">
        <v>1065</v>
      </c>
      <c r="D52" s="42" t="s">
        <v>85</v>
      </c>
      <c r="E52" s="37"/>
      <c r="F52" s="39" t="s">
        <v>1107</v>
      </c>
      <c r="G52" s="37">
        <v>214</v>
      </c>
      <c r="H52" s="36"/>
      <c r="I52" s="36"/>
      <c r="J52" s="38" t="s">
        <v>1106</v>
      </c>
      <c r="K52" s="38" t="s">
        <v>1105</v>
      </c>
      <c r="L52" s="36"/>
      <c r="M52" s="36"/>
      <c r="N52" s="36">
        <v>4</v>
      </c>
      <c r="O52" s="36">
        <v>4</v>
      </c>
      <c r="Q52" s="37"/>
      <c r="R52" s="36" t="s">
        <v>1061</v>
      </c>
      <c r="S52" s="36">
        <v>1125</v>
      </c>
      <c r="T52" s="36">
        <v>0</v>
      </c>
      <c r="U52" s="36">
        <v>1125</v>
      </c>
      <c r="V52" s="36">
        <v>15</v>
      </c>
      <c r="W52" s="36">
        <v>0</v>
      </c>
      <c r="X52" s="36">
        <v>15</v>
      </c>
      <c r="Y52" s="36">
        <v>0</v>
      </c>
      <c r="Z52" s="36">
        <v>7.5</v>
      </c>
      <c r="AA52" s="36">
        <v>1.875</v>
      </c>
      <c r="AB52" s="36">
        <v>25</v>
      </c>
      <c r="AC52" s="36">
        <v>75</v>
      </c>
      <c r="AD52" s="36">
        <v>809</v>
      </c>
      <c r="AE52" s="36"/>
      <c r="AF52" s="36" t="s">
        <v>654</v>
      </c>
      <c r="AG52" s="36" t="s">
        <v>196</v>
      </c>
      <c r="AH52" s="36"/>
      <c r="AI52" s="36"/>
      <c r="AJ52" s="36"/>
      <c r="AK52" s="36"/>
      <c r="AL52" s="36"/>
      <c r="AM52" s="36"/>
      <c r="AN52" s="36"/>
      <c r="AO52" s="36"/>
      <c r="AP52" s="36"/>
      <c r="AQ52" s="36"/>
      <c r="AR52" s="36"/>
      <c r="AS52" s="36">
        <v>0</v>
      </c>
      <c r="AT52" s="36">
        <v>0</v>
      </c>
      <c r="AU52" s="36">
        <v>1</v>
      </c>
      <c r="AV52" s="36"/>
      <c r="AW52" s="36"/>
      <c r="AX52" s="36"/>
      <c r="AY52" s="36"/>
      <c r="AZ52" s="36">
        <v>30</v>
      </c>
      <c r="BA52" s="36"/>
      <c r="BB52" s="36">
        <v>44</v>
      </c>
      <c r="BC52" s="36"/>
      <c r="BD52" s="36"/>
      <c r="BE52" s="36"/>
      <c r="BF52" s="36"/>
      <c r="BG52" s="36"/>
      <c r="BH52" s="36"/>
      <c r="BI52" s="36"/>
    </row>
    <row r="53" spans="1:61" ht="12.75" customHeight="1">
      <c r="A53" s="32">
        <v>2549</v>
      </c>
      <c r="B53" s="32">
        <v>2508</v>
      </c>
      <c r="C53" s="37" t="s">
        <v>1102</v>
      </c>
      <c r="D53" s="42" t="s">
        <v>84</v>
      </c>
      <c r="E53" s="37"/>
      <c r="F53" s="39" t="s">
        <v>1104</v>
      </c>
      <c r="G53" s="37">
        <v>186</v>
      </c>
      <c r="H53" s="36">
        <v>100</v>
      </c>
      <c r="I53" s="36">
        <v>0</v>
      </c>
      <c r="J53" s="38" t="s">
        <v>1100</v>
      </c>
      <c r="K53" s="38" t="s">
        <v>1099</v>
      </c>
      <c r="L53" s="36"/>
      <c r="M53" s="36"/>
      <c r="N53" s="36">
        <v>5</v>
      </c>
      <c r="O53" s="36">
        <v>5</v>
      </c>
      <c r="Q53" s="37"/>
      <c r="R53" s="36"/>
      <c r="S53" s="36">
        <v>1500</v>
      </c>
      <c r="T53" s="36">
        <v>0</v>
      </c>
      <c r="U53" s="36">
        <v>1500</v>
      </c>
      <c r="V53" s="36">
        <v>15</v>
      </c>
      <c r="W53" s="36">
        <v>0</v>
      </c>
      <c r="X53" s="36">
        <v>15</v>
      </c>
      <c r="Y53" s="36">
        <v>0</v>
      </c>
      <c r="Z53" s="36"/>
      <c r="AA53" s="36"/>
      <c r="AB53" s="36"/>
      <c r="AC53" s="36">
        <v>0</v>
      </c>
      <c r="AD53" s="36">
        <v>0</v>
      </c>
      <c r="AE53" s="36"/>
      <c r="AF53" s="36"/>
      <c r="AG53" s="36" t="s">
        <v>196</v>
      </c>
      <c r="AH53" s="36"/>
      <c r="AI53" s="36"/>
      <c r="AJ53" s="36" t="s">
        <v>1055</v>
      </c>
      <c r="AK53" s="36" t="s">
        <v>1010</v>
      </c>
      <c r="AL53" s="36" t="s">
        <v>1059</v>
      </c>
      <c r="AM53" s="36" t="s">
        <v>1103</v>
      </c>
      <c r="AN53" s="36" t="s">
        <v>1102</v>
      </c>
      <c r="AO53" s="36"/>
      <c r="AP53" s="36"/>
      <c r="AQ53" s="36"/>
      <c r="AR53" s="36"/>
      <c r="AS53" s="36">
        <v>0</v>
      </c>
      <c r="AT53" s="36">
        <v>0</v>
      </c>
      <c r="AU53" s="36">
        <v>1</v>
      </c>
      <c r="AV53" s="36"/>
      <c r="AW53" s="36"/>
      <c r="AX53" s="36"/>
      <c r="AY53" s="36"/>
      <c r="AZ53" s="36">
        <v>30</v>
      </c>
      <c r="BA53" s="36"/>
      <c r="BB53" s="36">
        <v>44</v>
      </c>
      <c r="BC53" s="36"/>
      <c r="BD53" s="36"/>
      <c r="BE53" s="36"/>
      <c r="BF53" s="36"/>
      <c r="BG53" s="36"/>
      <c r="BH53" s="36"/>
      <c r="BI53" s="36"/>
    </row>
    <row r="54" spans="1:61" ht="12.75" customHeight="1">
      <c r="A54" s="32">
        <v>2550</v>
      </c>
      <c r="B54" s="32">
        <v>2513</v>
      </c>
      <c r="C54" s="37" t="s">
        <v>1072</v>
      </c>
      <c r="D54" s="42" t="s">
        <v>85</v>
      </c>
      <c r="E54" s="37"/>
      <c r="F54" s="39" t="s">
        <v>1101</v>
      </c>
      <c r="G54" s="37">
        <v>216</v>
      </c>
      <c r="H54" s="36"/>
      <c r="I54" s="36"/>
      <c r="J54" s="38" t="s">
        <v>1100</v>
      </c>
      <c r="K54" s="38" t="s">
        <v>1099</v>
      </c>
      <c r="L54" s="36"/>
      <c r="M54" s="36"/>
      <c r="N54" s="36">
        <v>4</v>
      </c>
      <c r="O54" s="36">
        <v>4</v>
      </c>
      <c r="Q54" s="37"/>
      <c r="R54" s="36" t="s">
        <v>1069</v>
      </c>
      <c r="S54" s="36">
        <v>1500</v>
      </c>
      <c r="T54" s="36">
        <v>0</v>
      </c>
      <c r="U54" s="36">
        <v>1500</v>
      </c>
      <c r="V54" s="36">
        <v>15</v>
      </c>
      <c r="W54" s="36">
        <v>0</v>
      </c>
      <c r="X54" s="36">
        <v>15</v>
      </c>
      <c r="Y54" s="36">
        <v>0</v>
      </c>
      <c r="Z54" s="36">
        <v>7.5</v>
      </c>
      <c r="AA54" s="36">
        <v>1.875</v>
      </c>
      <c r="AB54" s="36">
        <v>25</v>
      </c>
      <c r="AC54" s="36">
        <v>100</v>
      </c>
      <c r="AD54" s="36">
        <v>810</v>
      </c>
      <c r="AE54" s="36"/>
      <c r="AF54" s="36" t="s">
        <v>654</v>
      </c>
      <c r="AG54" s="36" t="s">
        <v>196</v>
      </c>
      <c r="AH54" s="36"/>
      <c r="AI54" s="36"/>
      <c r="AJ54" s="36"/>
      <c r="AK54" s="36"/>
      <c r="AL54" s="36"/>
      <c r="AM54" s="36"/>
      <c r="AN54" s="36"/>
      <c r="AO54" s="36"/>
      <c r="AP54" s="36"/>
      <c r="AQ54" s="36"/>
      <c r="AR54" s="36"/>
      <c r="AS54" s="36">
        <v>0</v>
      </c>
      <c r="AT54" s="36">
        <v>0</v>
      </c>
      <c r="AU54" s="36">
        <v>1</v>
      </c>
      <c r="AV54" s="36"/>
      <c r="AW54" s="36"/>
      <c r="AX54" s="36"/>
      <c r="AY54" s="36"/>
      <c r="AZ54" s="36">
        <v>30</v>
      </c>
      <c r="BA54" s="36"/>
      <c r="BB54" s="36">
        <v>44</v>
      </c>
      <c r="BC54" s="36"/>
      <c r="BD54" s="36"/>
      <c r="BE54" s="36"/>
      <c r="BF54" s="36"/>
      <c r="BG54" s="36"/>
      <c r="BH54" s="36"/>
      <c r="BI54" s="36"/>
    </row>
    <row r="55" spans="1:61" ht="12.75" customHeight="1">
      <c r="A55" s="32">
        <v>2551</v>
      </c>
      <c r="B55" s="32">
        <v>2101</v>
      </c>
      <c r="C55" s="44" t="s">
        <v>1097</v>
      </c>
      <c r="D55" s="43" t="s">
        <v>83</v>
      </c>
      <c r="E55" s="37"/>
      <c r="F55" s="39" t="s">
        <v>1098</v>
      </c>
      <c r="G55" s="37">
        <v>148</v>
      </c>
      <c r="H55" s="36">
        <v>176</v>
      </c>
      <c r="I55" s="36">
        <v>0</v>
      </c>
      <c r="J55" s="38" t="s">
        <v>1082</v>
      </c>
      <c r="K55" s="38" t="s">
        <v>1081</v>
      </c>
      <c r="L55" s="36"/>
      <c r="M55" s="36"/>
      <c r="N55" s="36">
        <v>10</v>
      </c>
      <c r="O55" s="36">
        <v>10</v>
      </c>
      <c r="Q55" s="37"/>
      <c r="R55" s="36"/>
      <c r="S55" s="36">
        <v>2343.9</v>
      </c>
      <c r="T55" s="36">
        <v>0</v>
      </c>
      <c r="U55" s="36">
        <v>2343.9</v>
      </c>
      <c r="V55" s="36">
        <v>37.6</v>
      </c>
      <c r="W55" s="36">
        <v>0</v>
      </c>
      <c r="X55" s="36">
        <v>37.6</v>
      </c>
      <c r="Y55" s="36">
        <v>0</v>
      </c>
      <c r="Z55" s="36"/>
      <c r="AA55" s="36"/>
      <c r="AB55" s="36"/>
      <c r="AC55" s="36">
        <v>0</v>
      </c>
      <c r="AD55" s="36">
        <v>0</v>
      </c>
      <c r="AE55" s="36"/>
      <c r="AF55" s="36"/>
      <c r="AG55" s="36" t="s">
        <v>196</v>
      </c>
      <c r="AH55" s="36"/>
      <c r="AI55" s="36"/>
      <c r="AJ55" s="36" t="s">
        <v>1055</v>
      </c>
      <c r="AK55" s="36" t="s">
        <v>1010</v>
      </c>
      <c r="AL55" s="36" t="s">
        <v>1059</v>
      </c>
      <c r="AM55" s="36" t="s">
        <v>1097</v>
      </c>
      <c r="AN55" s="36"/>
      <c r="AO55" s="36"/>
      <c r="AP55" s="36"/>
      <c r="AQ55" s="36"/>
      <c r="AR55" s="36"/>
      <c r="AS55" s="36">
        <v>0</v>
      </c>
      <c r="AT55" s="36">
        <v>0</v>
      </c>
      <c r="AU55" s="36">
        <v>1</v>
      </c>
      <c r="AV55" s="36"/>
      <c r="AW55" s="36"/>
      <c r="AX55" s="36"/>
      <c r="AY55" s="36"/>
      <c r="AZ55" s="36">
        <v>30</v>
      </c>
      <c r="BA55" s="36"/>
      <c r="BB55" s="36">
        <v>44</v>
      </c>
      <c r="BC55" s="36"/>
      <c r="BD55" s="36"/>
      <c r="BE55" s="36"/>
      <c r="BF55" s="36"/>
      <c r="BG55" s="36"/>
      <c r="BH55" s="36"/>
      <c r="BI55" s="36"/>
    </row>
    <row r="56" spans="1:61" ht="12.75" customHeight="1">
      <c r="A56" s="32">
        <v>2552</v>
      </c>
      <c r="B56" s="32">
        <v>2515</v>
      </c>
      <c r="C56" s="37" t="s">
        <v>1096</v>
      </c>
      <c r="D56" s="42" t="s">
        <v>84</v>
      </c>
      <c r="E56" s="37"/>
      <c r="F56" s="39" t="s">
        <v>1095</v>
      </c>
      <c r="G56" s="37">
        <v>192</v>
      </c>
      <c r="H56" s="36">
        <v>100</v>
      </c>
      <c r="I56" s="36">
        <v>0</v>
      </c>
      <c r="J56" s="38" t="s">
        <v>1082</v>
      </c>
      <c r="K56" s="38" t="s">
        <v>1093</v>
      </c>
      <c r="L56" s="36"/>
      <c r="M56" s="36"/>
      <c r="N56" s="36">
        <v>5</v>
      </c>
      <c r="O56" s="36">
        <v>5</v>
      </c>
      <c r="Q56" s="37"/>
      <c r="R56" s="36"/>
      <c r="S56" s="36">
        <v>468.8</v>
      </c>
      <c r="T56" s="36">
        <v>0</v>
      </c>
      <c r="U56" s="36">
        <v>468.8</v>
      </c>
      <c r="V56" s="36">
        <v>9.4</v>
      </c>
      <c r="W56" s="36">
        <v>0</v>
      </c>
      <c r="X56" s="36">
        <v>9.4</v>
      </c>
      <c r="Y56" s="36">
        <v>0</v>
      </c>
      <c r="Z56" s="36"/>
      <c r="AA56" s="36"/>
      <c r="AB56" s="36"/>
      <c r="AC56" s="36">
        <v>0</v>
      </c>
      <c r="AD56" s="36">
        <v>0</v>
      </c>
      <c r="AE56" s="36"/>
      <c r="AF56" s="36"/>
      <c r="AG56" s="36" t="s">
        <v>196</v>
      </c>
      <c r="AH56" s="36"/>
      <c r="AI56" s="36"/>
      <c r="AJ56" s="36" t="s">
        <v>1055</v>
      </c>
      <c r="AK56" s="36"/>
      <c r="AL56" s="36"/>
      <c r="AM56" s="36"/>
      <c r="AN56" s="36"/>
      <c r="AO56" s="36"/>
      <c r="AP56" s="36"/>
      <c r="AQ56" s="36"/>
      <c r="AR56" s="36"/>
      <c r="AS56" s="36">
        <v>0</v>
      </c>
      <c r="AT56" s="36">
        <v>0</v>
      </c>
      <c r="AU56" s="36">
        <v>1</v>
      </c>
      <c r="AV56" s="36"/>
      <c r="AW56" s="36"/>
      <c r="AX56" s="36"/>
      <c r="AY56" s="36"/>
      <c r="AZ56" s="36"/>
      <c r="BA56" s="36"/>
      <c r="BB56" s="36">
        <v>44</v>
      </c>
      <c r="BC56" s="36"/>
      <c r="BD56" s="36"/>
      <c r="BE56" s="36"/>
      <c r="BF56" s="36"/>
      <c r="BG56" s="36"/>
      <c r="BH56" s="36"/>
      <c r="BI56" s="36"/>
    </row>
    <row r="57" spans="1:61" ht="12.75" customHeight="1">
      <c r="A57" s="32">
        <v>2553</v>
      </c>
      <c r="B57" s="32">
        <v>2516</v>
      </c>
      <c r="C57" s="37" t="s">
        <v>1092</v>
      </c>
      <c r="D57" s="42" t="s">
        <v>85</v>
      </c>
      <c r="E57" s="37"/>
      <c r="F57" s="39" t="s">
        <v>1094</v>
      </c>
      <c r="G57" s="37">
        <v>222</v>
      </c>
      <c r="H57" s="36"/>
      <c r="I57" s="36"/>
      <c r="J57" s="38" t="s">
        <v>1082</v>
      </c>
      <c r="K57" s="38" t="s">
        <v>1093</v>
      </c>
      <c r="L57" s="36"/>
      <c r="M57" s="36"/>
      <c r="N57" s="36">
        <v>5</v>
      </c>
      <c r="O57" s="36">
        <v>5</v>
      </c>
      <c r="Q57" s="37"/>
      <c r="R57" s="36" t="s">
        <v>1092</v>
      </c>
      <c r="S57" s="36">
        <v>468.8</v>
      </c>
      <c r="T57" s="36">
        <v>0</v>
      </c>
      <c r="U57" s="36">
        <v>468.8</v>
      </c>
      <c r="V57" s="36">
        <v>9.4</v>
      </c>
      <c r="W57" s="36">
        <v>0</v>
      </c>
      <c r="X57" s="36">
        <v>9.4</v>
      </c>
      <c r="Y57" s="36">
        <v>0</v>
      </c>
      <c r="Z57" s="36">
        <v>7.5</v>
      </c>
      <c r="AA57" s="36">
        <v>1.875</v>
      </c>
      <c r="AB57" s="36">
        <v>25</v>
      </c>
      <c r="AC57" s="36">
        <v>50</v>
      </c>
      <c r="AD57" s="36">
        <v>719</v>
      </c>
      <c r="AE57" s="36"/>
      <c r="AF57" s="36" t="s">
        <v>654</v>
      </c>
      <c r="AG57" s="36" t="s">
        <v>196</v>
      </c>
      <c r="AH57" s="36"/>
      <c r="AI57" s="36"/>
      <c r="AJ57" s="36"/>
      <c r="AK57" s="36"/>
      <c r="AL57" s="36"/>
      <c r="AM57" s="36"/>
      <c r="AN57" s="36"/>
      <c r="AO57" s="36"/>
      <c r="AP57" s="36"/>
      <c r="AQ57" s="36"/>
      <c r="AR57" s="36"/>
      <c r="AS57" s="36">
        <v>0</v>
      </c>
      <c r="AT57" s="36">
        <v>0</v>
      </c>
      <c r="AU57" s="36">
        <v>1</v>
      </c>
      <c r="AV57" s="36"/>
      <c r="AW57" s="36"/>
      <c r="AX57" s="36"/>
      <c r="AY57" s="36"/>
      <c r="AZ57" s="36"/>
      <c r="BA57" s="36"/>
      <c r="BB57" s="36">
        <v>44</v>
      </c>
      <c r="BC57" s="36"/>
      <c r="BD57" s="36"/>
      <c r="BE57" s="36"/>
      <c r="BF57" s="36"/>
      <c r="BG57" s="36"/>
      <c r="BH57" s="36"/>
      <c r="BI57" s="36"/>
    </row>
    <row r="58" spans="1:61" ht="12.75" customHeight="1">
      <c r="A58" s="32">
        <v>2554</v>
      </c>
      <c r="B58" s="32">
        <v>2515</v>
      </c>
      <c r="C58" s="37" t="s">
        <v>1091</v>
      </c>
      <c r="D58" s="42" t="s">
        <v>84</v>
      </c>
      <c r="E58" s="37"/>
      <c r="F58" s="39" t="s">
        <v>1090</v>
      </c>
      <c r="G58" s="37">
        <v>192</v>
      </c>
      <c r="H58" s="36">
        <v>100</v>
      </c>
      <c r="I58" s="36">
        <v>0</v>
      </c>
      <c r="J58" s="38" t="s">
        <v>1087</v>
      </c>
      <c r="K58" s="38" t="s">
        <v>1081</v>
      </c>
      <c r="L58" s="36"/>
      <c r="M58" s="36"/>
      <c r="N58" s="36">
        <v>5</v>
      </c>
      <c r="O58" s="36">
        <v>5</v>
      </c>
      <c r="Q58" s="37"/>
      <c r="R58" s="36"/>
      <c r="S58" s="36">
        <v>468.8</v>
      </c>
      <c r="T58" s="36">
        <v>0</v>
      </c>
      <c r="U58" s="36">
        <v>468.8</v>
      </c>
      <c r="V58" s="36">
        <v>9.4</v>
      </c>
      <c r="W58" s="36">
        <v>0</v>
      </c>
      <c r="X58" s="36">
        <v>9.4</v>
      </c>
      <c r="Y58" s="36">
        <v>0</v>
      </c>
      <c r="Z58" s="36"/>
      <c r="AA58" s="36"/>
      <c r="AB58" s="36"/>
      <c r="AC58" s="36"/>
      <c r="AD58" s="36">
        <v>0</v>
      </c>
      <c r="AE58" s="36"/>
      <c r="AF58" s="36"/>
      <c r="AG58" s="36" t="s">
        <v>196</v>
      </c>
      <c r="AH58" s="36"/>
      <c r="AI58" s="36"/>
      <c r="AJ58" s="36"/>
      <c r="AK58" s="36"/>
      <c r="AL58" s="36"/>
      <c r="AM58" s="36"/>
      <c r="AN58" s="36"/>
      <c r="AO58" s="36"/>
      <c r="AP58" s="36"/>
      <c r="AQ58" s="36"/>
      <c r="AR58" s="36"/>
      <c r="AS58" s="36">
        <v>0</v>
      </c>
      <c r="AT58" s="36">
        <v>0</v>
      </c>
      <c r="AU58" s="36">
        <v>1</v>
      </c>
      <c r="AV58" s="36"/>
      <c r="AW58" s="36"/>
      <c r="AX58" s="36"/>
      <c r="AY58" s="36"/>
      <c r="AZ58" s="36">
        <v>30</v>
      </c>
      <c r="BA58" s="36"/>
      <c r="BB58" s="36">
        <v>44</v>
      </c>
      <c r="BC58" s="36"/>
      <c r="BD58" s="36"/>
      <c r="BE58" s="36"/>
      <c r="BF58" s="36"/>
      <c r="BG58" s="36"/>
      <c r="BH58" s="36"/>
      <c r="BI58" s="36"/>
    </row>
    <row r="59" spans="1:61" ht="12.75" customHeight="1">
      <c r="A59" s="32">
        <v>2555</v>
      </c>
      <c r="B59" s="32">
        <v>2518</v>
      </c>
      <c r="C59" s="37" t="s">
        <v>1089</v>
      </c>
      <c r="D59" s="42" t="s">
        <v>85</v>
      </c>
      <c r="E59" s="37"/>
      <c r="F59" s="39" t="s">
        <v>1088</v>
      </c>
      <c r="G59" s="37">
        <v>222</v>
      </c>
      <c r="H59" s="36"/>
      <c r="I59" s="36"/>
      <c r="J59" s="38" t="s">
        <v>1087</v>
      </c>
      <c r="K59" s="38" t="s">
        <v>1081</v>
      </c>
      <c r="L59" s="36"/>
      <c r="M59" s="36"/>
      <c r="N59" s="36">
        <v>5</v>
      </c>
      <c r="O59" s="36">
        <v>5</v>
      </c>
      <c r="Q59" s="37"/>
      <c r="R59" s="36" t="s">
        <v>1086</v>
      </c>
      <c r="S59" s="36">
        <v>468.8</v>
      </c>
      <c r="T59" s="36">
        <v>0</v>
      </c>
      <c r="U59" s="36">
        <v>468.8</v>
      </c>
      <c r="V59" s="36">
        <v>9.4</v>
      </c>
      <c r="W59" s="36">
        <v>0</v>
      </c>
      <c r="X59" s="36">
        <v>9.4</v>
      </c>
      <c r="Y59" s="36">
        <v>0</v>
      </c>
      <c r="Z59" s="36">
        <v>7.5</v>
      </c>
      <c r="AA59" s="36">
        <v>1.875</v>
      </c>
      <c r="AB59" s="36">
        <v>25</v>
      </c>
      <c r="AC59" s="36">
        <v>50</v>
      </c>
      <c r="AD59" s="36">
        <v>811</v>
      </c>
      <c r="AE59" s="36"/>
      <c r="AF59" s="36" t="s">
        <v>654</v>
      </c>
      <c r="AG59" s="36" t="s">
        <v>196</v>
      </c>
      <c r="AH59" s="36"/>
      <c r="AI59" s="36"/>
      <c r="AJ59" s="36"/>
      <c r="AK59" s="36"/>
      <c r="AL59" s="36"/>
      <c r="AM59" s="36"/>
      <c r="AN59" s="36"/>
      <c r="AO59" s="36"/>
      <c r="AP59" s="36"/>
      <c r="AQ59" s="36"/>
      <c r="AR59" s="36"/>
      <c r="AS59" s="36">
        <v>0</v>
      </c>
      <c r="AT59" s="36">
        <v>0</v>
      </c>
      <c r="AU59" s="36">
        <v>1</v>
      </c>
      <c r="AV59" s="36"/>
      <c r="AW59" s="36"/>
      <c r="AX59" s="36"/>
      <c r="AY59" s="36"/>
      <c r="AZ59" s="36">
        <v>30</v>
      </c>
      <c r="BA59" s="36"/>
      <c r="BB59" s="36">
        <v>44</v>
      </c>
      <c r="BC59" s="36"/>
      <c r="BD59" s="36"/>
      <c r="BE59" s="36"/>
      <c r="BF59" s="36"/>
      <c r="BG59" s="36"/>
      <c r="BH59" s="36"/>
      <c r="BI59" s="36"/>
    </row>
    <row r="60" spans="1:61" ht="12.75" customHeight="1">
      <c r="A60" s="32">
        <v>2556</v>
      </c>
      <c r="B60" s="32">
        <v>2515</v>
      </c>
      <c r="C60" s="37" t="s">
        <v>1085</v>
      </c>
      <c r="D60" s="42" t="s">
        <v>84</v>
      </c>
      <c r="E60" s="37"/>
      <c r="F60" s="39" t="s">
        <v>1084</v>
      </c>
      <c r="G60" s="37">
        <v>258</v>
      </c>
      <c r="H60" s="36">
        <v>100</v>
      </c>
      <c r="I60" s="36">
        <v>0</v>
      </c>
      <c r="J60" s="38" t="s">
        <v>1082</v>
      </c>
      <c r="K60" s="38" t="s">
        <v>1081</v>
      </c>
      <c r="L60" s="36"/>
      <c r="M60" s="36"/>
      <c r="N60" s="36">
        <v>10</v>
      </c>
      <c r="O60" s="36">
        <v>10</v>
      </c>
      <c r="Q60" s="37"/>
      <c r="R60" s="36"/>
      <c r="S60" s="36">
        <v>1406.3</v>
      </c>
      <c r="T60" s="36">
        <v>0</v>
      </c>
      <c r="U60" s="36">
        <v>1406.3</v>
      </c>
      <c r="V60" s="36">
        <v>18.8</v>
      </c>
      <c r="W60" s="36">
        <v>0</v>
      </c>
      <c r="X60" s="36">
        <v>18.8</v>
      </c>
      <c r="Y60" s="36">
        <v>0</v>
      </c>
      <c r="Z60" s="36"/>
      <c r="AA60" s="36"/>
      <c r="AB60" s="36"/>
      <c r="AC60" s="36"/>
      <c r="AD60" s="36">
        <v>0</v>
      </c>
      <c r="AE60" s="36"/>
      <c r="AF60" s="36"/>
      <c r="AG60" s="36" t="s">
        <v>196</v>
      </c>
      <c r="AH60" s="36"/>
      <c r="AI60" s="36"/>
      <c r="AJ60" s="36"/>
      <c r="AK60" s="36"/>
      <c r="AL60" s="36"/>
      <c r="AM60" s="36"/>
      <c r="AN60" s="36"/>
      <c r="AO60" s="36"/>
      <c r="AP60" s="36"/>
      <c r="AQ60" s="36"/>
      <c r="AR60" s="36"/>
      <c r="AS60" s="36">
        <v>0</v>
      </c>
      <c r="AT60" s="36">
        <v>0</v>
      </c>
      <c r="AU60" s="36">
        <v>1</v>
      </c>
      <c r="AV60" s="36"/>
      <c r="AW60" s="36"/>
      <c r="AX60" s="36"/>
      <c r="AY60" s="36"/>
      <c r="AZ60" s="36">
        <v>30</v>
      </c>
      <c r="BA60" s="36"/>
      <c r="BB60" s="36">
        <v>44</v>
      </c>
      <c r="BC60" s="36"/>
      <c r="BD60" s="36"/>
      <c r="BE60" s="36"/>
      <c r="BF60" s="36"/>
      <c r="BG60" s="36"/>
      <c r="BH60" s="36"/>
      <c r="BI60" s="36"/>
    </row>
    <row r="61" spans="1:61" ht="12.75" customHeight="1">
      <c r="A61" s="32">
        <v>2557</v>
      </c>
      <c r="B61" s="32">
        <v>2520</v>
      </c>
      <c r="C61" s="37" t="s">
        <v>1065</v>
      </c>
      <c r="D61" s="42" t="s">
        <v>85</v>
      </c>
      <c r="E61" s="37"/>
      <c r="F61" s="39" t="s">
        <v>1083</v>
      </c>
      <c r="G61" s="37">
        <v>288</v>
      </c>
      <c r="H61" s="36"/>
      <c r="I61" s="36"/>
      <c r="J61" s="38" t="s">
        <v>1082</v>
      </c>
      <c r="K61" s="38" t="s">
        <v>1081</v>
      </c>
      <c r="L61" s="36"/>
      <c r="M61" s="36"/>
      <c r="N61" s="36">
        <v>10</v>
      </c>
      <c r="O61" s="36">
        <v>10</v>
      </c>
      <c r="Q61" s="37"/>
      <c r="R61" s="36" t="s">
        <v>1061</v>
      </c>
      <c r="S61" s="36">
        <v>1406.3</v>
      </c>
      <c r="T61" s="36">
        <v>0</v>
      </c>
      <c r="U61" s="36">
        <v>1406.3</v>
      </c>
      <c r="V61" s="36">
        <v>18.8</v>
      </c>
      <c r="W61" s="36">
        <v>0</v>
      </c>
      <c r="X61" s="36">
        <v>18.8</v>
      </c>
      <c r="Y61" s="36">
        <v>0</v>
      </c>
      <c r="Z61" s="36">
        <v>7.5</v>
      </c>
      <c r="AA61" s="36">
        <v>1.875</v>
      </c>
      <c r="AB61" s="36">
        <v>25</v>
      </c>
      <c r="AC61" s="36">
        <v>75</v>
      </c>
      <c r="AD61" s="36">
        <v>809</v>
      </c>
      <c r="AE61" s="36"/>
      <c r="AF61" s="36" t="s">
        <v>654</v>
      </c>
      <c r="AG61" s="36" t="s">
        <v>196</v>
      </c>
      <c r="AH61" s="36"/>
      <c r="AI61" s="36"/>
      <c r="AJ61" s="36"/>
      <c r="AK61" s="36"/>
      <c r="AL61" s="36"/>
      <c r="AM61" s="36"/>
      <c r="AN61" s="36"/>
      <c r="AO61" s="36"/>
      <c r="AP61" s="36"/>
      <c r="AQ61" s="36"/>
      <c r="AR61" s="36"/>
      <c r="AS61" s="36">
        <v>0</v>
      </c>
      <c r="AT61" s="36">
        <v>0</v>
      </c>
      <c r="AU61" s="36">
        <v>1</v>
      </c>
      <c r="AV61" s="36"/>
      <c r="AW61" s="36"/>
      <c r="AX61" s="36"/>
      <c r="AY61" s="36"/>
      <c r="AZ61" s="36">
        <v>30</v>
      </c>
      <c r="BA61" s="36"/>
      <c r="BB61" s="36">
        <v>44</v>
      </c>
      <c r="BC61" s="36"/>
      <c r="BD61" s="36"/>
      <c r="BE61" s="36"/>
      <c r="BF61" s="36"/>
      <c r="BG61" s="36"/>
      <c r="BH61" s="36"/>
      <c r="BI61" s="36"/>
    </row>
    <row r="62" spans="1:61" ht="12.75" customHeight="1">
      <c r="A62" s="32">
        <v>2558</v>
      </c>
      <c r="B62" s="32">
        <v>2101</v>
      </c>
      <c r="C62" s="44" t="s">
        <v>1067</v>
      </c>
      <c r="D62" s="43" t="s">
        <v>83</v>
      </c>
      <c r="E62" s="37"/>
      <c r="F62" s="39" t="s">
        <v>1080</v>
      </c>
      <c r="G62" s="37">
        <v>164</v>
      </c>
      <c r="H62" s="36">
        <v>176</v>
      </c>
      <c r="I62" s="36">
        <v>0</v>
      </c>
      <c r="J62" s="38" t="s">
        <v>1076</v>
      </c>
      <c r="K62" s="38" t="s">
        <v>1062</v>
      </c>
      <c r="L62" s="36"/>
      <c r="M62" s="36"/>
      <c r="N62" s="36">
        <v>10</v>
      </c>
      <c r="O62" s="36">
        <v>10</v>
      </c>
      <c r="Q62" s="37"/>
      <c r="R62" s="36"/>
      <c r="S62" s="36">
        <v>1406.3</v>
      </c>
      <c r="T62" s="36">
        <v>0</v>
      </c>
      <c r="U62" s="36">
        <v>1406.3</v>
      </c>
      <c r="V62" s="36">
        <v>20.6</v>
      </c>
      <c r="W62" s="36">
        <v>0</v>
      </c>
      <c r="X62" s="36">
        <v>20.6</v>
      </c>
      <c r="Y62" s="36">
        <v>0</v>
      </c>
      <c r="Z62" s="36"/>
      <c r="AA62" s="36"/>
      <c r="AB62" s="36"/>
      <c r="AC62" s="36">
        <v>0</v>
      </c>
      <c r="AD62" s="36">
        <v>0</v>
      </c>
      <c r="AE62" s="36"/>
      <c r="AF62" s="36"/>
      <c r="AG62" s="36" t="s">
        <v>196</v>
      </c>
      <c r="AH62" s="36"/>
      <c r="AI62" s="36"/>
      <c r="AJ62" s="36" t="s">
        <v>1055</v>
      </c>
      <c r="AK62" s="36" t="s">
        <v>1010</v>
      </c>
      <c r="AL62" s="36" t="s">
        <v>1059</v>
      </c>
      <c r="AM62" s="36" t="s">
        <v>1067</v>
      </c>
      <c r="AN62" s="36"/>
      <c r="AO62" s="36"/>
      <c r="AP62" s="36"/>
      <c r="AQ62" s="36"/>
      <c r="AR62" s="36"/>
      <c r="AS62" s="36">
        <v>0</v>
      </c>
      <c r="AT62" s="36">
        <v>0</v>
      </c>
      <c r="AU62" s="36">
        <v>1</v>
      </c>
      <c r="AV62" s="36"/>
      <c r="AW62" s="36"/>
      <c r="AX62" s="36"/>
      <c r="AY62" s="36"/>
      <c r="AZ62" s="36">
        <v>30</v>
      </c>
      <c r="BA62" s="36"/>
      <c r="BB62" s="36">
        <v>44</v>
      </c>
      <c r="BC62" s="36"/>
      <c r="BD62" s="36"/>
      <c r="BE62" s="36"/>
      <c r="BF62" s="36"/>
      <c r="BG62" s="36"/>
      <c r="BH62" s="36"/>
      <c r="BI62" s="36"/>
    </row>
    <row r="63" spans="1:61" ht="12.75" customHeight="1">
      <c r="A63" s="32">
        <v>2559</v>
      </c>
      <c r="B63" s="32">
        <v>2522</v>
      </c>
      <c r="C63" s="37" t="s">
        <v>1078</v>
      </c>
      <c r="D63" s="42" t="s">
        <v>84</v>
      </c>
      <c r="E63" s="37"/>
      <c r="F63" s="39" t="s">
        <v>1079</v>
      </c>
      <c r="G63" s="37">
        <v>208</v>
      </c>
      <c r="H63" s="36">
        <v>100</v>
      </c>
      <c r="I63" s="36">
        <v>0</v>
      </c>
      <c r="J63" s="38" t="s">
        <v>1076</v>
      </c>
      <c r="K63" s="38" t="s">
        <v>1070</v>
      </c>
      <c r="L63" s="36"/>
      <c r="M63" s="36"/>
      <c r="N63" s="36">
        <v>7</v>
      </c>
      <c r="O63" s="36">
        <v>7</v>
      </c>
      <c r="Q63" s="37"/>
      <c r="R63" s="36"/>
      <c r="S63" s="36">
        <v>656.3</v>
      </c>
      <c r="T63" s="36">
        <v>0</v>
      </c>
      <c r="U63" s="36">
        <v>656.3</v>
      </c>
      <c r="V63" s="36">
        <v>13.1</v>
      </c>
      <c r="W63" s="36">
        <v>0</v>
      </c>
      <c r="X63" s="36">
        <v>13.1</v>
      </c>
      <c r="Y63" s="36">
        <v>0</v>
      </c>
      <c r="Z63" s="36"/>
      <c r="AA63" s="36"/>
      <c r="AB63" s="36"/>
      <c r="AC63" s="36">
        <v>0</v>
      </c>
      <c r="AD63" s="36">
        <v>0</v>
      </c>
      <c r="AE63" s="36"/>
      <c r="AF63" s="36"/>
      <c r="AG63" s="36" t="s">
        <v>196</v>
      </c>
      <c r="AH63" s="36"/>
      <c r="AI63" s="36"/>
      <c r="AJ63" s="36" t="s">
        <v>1055</v>
      </c>
      <c r="AK63" s="36" t="s">
        <v>1010</v>
      </c>
      <c r="AL63" s="36" t="s">
        <v>1059</v>
      </c>
      <c r="AM63" s="36" t="s">
        <v>1067</v>
      </c>
      <c r="AN63" s="36" t="s">
        <v>1078</v>
      </c>
      <c r="AO63" s="36"/>
      <c r="AP63" s="36"/>
      <c r="AQ63" s="36"/>
      <c r="AR63" s="36"/>
      <c r="AS63" s="36">
        <v>0</v>
      </c>
      <c r="AT63" s="36">
        <v>0</v>
      </c>
      <c r="AU63" s="36">
        <v>1</v>
      </c>
      <c r="AV63" s="36"/>
      <c r="AW63" s="36"/>
      <c r="AX63" s="36"/>
      <c r="AY63" s="36"/>
      <c r="AZ63" s="36">
        <v>30</v>
      </c>
      <c r="BA63" s="36"/>
      <c r="BB63" s="36">
        <v>44</v>
      </c>
      <c r="BC63" s="36"/>
      <c r="BD63" s="36"/>
      <c r="BE63" s="36"/>
      <c r="BF63" s="36"/>
      <c r="BG63" s="36"/>
      <c r="BH63" s="36"/>
      <c r="BI63" s="36"/>
    </row>
    <row r="64" spans="1:61" ht="12.75" customHeight="1">
      <c r="A64" s="32">
        <v>2560</v>
      </c>
      <c r="B64" s="32">
        <v>2523</v>
      </c>
      <c r="C64" s="37" t="s">
        <v>1047</v>
      </c>
      <c r="D64" s="42" t="s">
        <v>85</v>
      </c>
      <c r="E64" s="37"/>
      <c r="F64" s="39" t="s">
        <v>1077</v>
      </c>
      <c r="G64" s="37">
        <v>238</v>
      </c>
      <c r="H64" s="36"/>
      <c r="I64" s="36"/>
      <c r="J64" s="38" t="s">
        <v>1076</v>
      </c>
      <c r="K64" s="38" t="s">
        <v>1070</v>
      </c>
      <c r="L64" s="36"/>
      <c r="M64" s="36"/>
      <c r="N64" s="36">
        <v>7</v>
      </c>
      <c r="O64" s="36">
        <v>7</v>
      </c>
      <c r="Q64" s="37"/>
      <c r="R64" s="36" t="s">
        <v>1043</v>
      </c>
      <c r="S64" s="36">
        <v>656.3</v>
      </c>
      <c r="T64" s="36">
        <v>0</v>
      </c>
      <c r="U64" s="36">
        <v>656.3</v>
      </c>
      <c r="V64" s="36">
        <v>13.1</v>
      </c>
      <c r="W64" s="36">
        <v>0</v>
      </c>
      <c r="X64" s="36">
        <v>13.1</v>
      </c>
      <c r="Y64" s="36">
        <v>0</v>
      </c>
      <c r="Z64" s="36">
        <v>7.5</v>
      </c>
      <c r="AA64" s="36">
        <v>1.875</v>
      </c>
      <c r="AB64" s="36">
        <v>25</v>
      </c>
      <c r="AC64" s="36">
        <v>50</v>
      </c>
      <c r="AD64" s="36">
        <v>808</v>
      </c>
      <c r="AE64" s="36"/>
      <c r="AF64" s="36" t="s">
        <v>654</v>
      </c>
      <c r="AG64" s="36" t="s">
        <v>196</v>
      </c>
      <c r="AH64" s="36"/>
      <c r="AI64" s="36"/>
      <c r="AJ64" s="36"/>
      <c r="AK64" s="36"/>
      <c r="AL64" s="36"/>
      <c r="AM64" s="36"/>
      <c r="AN64" s="36"/>
      <c r="AO64" s="36"/>
      <c r="AP64" s="36"/>
      <c r="AQ64" s="36"/>
      <c r="AR64" s="36"/>
      <c r="AS64" s="36">
        <v>0</v>
      </c>
      <c r="AT64" s="36">
        <v>0</v>
      </c>
      <c r="AU64" s="36">
        <v>1</v>
      </c>
      <c r="AV64" s="36"/>
      <c r="AW64" s="36"/>
      <c r="AX64" s="36"/>
      <c r="AY64" s="36"/>
      <c r="AZ64" s="36">
        <v>30</v>
      </c>
      <c r="BA64" s="36"/>
      <c r="BB64" s="36">
        <v>44</v>
      </c>
      <c r="BC64" s="36"/>
      <c r="BD64" s="36"/>
      <c r="BE64" s="36"/>
      <c r="BF64" s="36"/>
      <c r="BG64" s="36"/>
      <c r="BH64" s="36"/>
      <c r="BI64" s="36"/>
    </row>
    <row r="65" spans="1:61" ht="12.75" customHeight="1">
      <c r="A65" s="32">
        <v>2561</v>
      </c>
      <c r="B65" s="32">
        <v>2522</v>
      </c>
      <c r="C65" s="37" t="s">
        <v>1075</v>
      </c>
      <c r="D65" s="42" t="s">
        <v>84</v>
      </c>
      <c r="E65" s="37"/>
      <c r="F65" s="39" t="s">
        <v>1074</v>
      </c>
      <c r="G65" s="37">
        <v>208</v>
      </c>
      <c r="H65" s="36">
        <v>100</v>
      </c>
      <c r="I65" s="36">
        <v>0</v>
      </c>
      <c r="J65" s="38" t="s">
        <v>1070</v>
      </c>
      <c r="K65" s="38" t="s">
        <v>1063</v>
      </c>
      <c r="L65" s="36"/>
      <c r="M65" s="36"/>
      <c r="N65" s="36">
        <v>4</v>
      </c>
      <c r="O65" s="36">
        <v>4</v>
      </c>
      <c r="Q65" s="37"/>
      <c r="R65" s="36"/>
      <c r="S65" s="36">
        <v>750</v>
      </c>
      <c r="T65" s="36">
        <v>0</v>
      </c>
      <c r="U65" s="36">
        <v>750</v>
      </c>
      <c r="V65" s="36">
        <v>7.5</v>
      </c>
      <c r="W65" s="36">
        <v>0</v>
      </c>
      <c r="X65" s="36">
        <v>7.5</v>
      </c>
      <c r="Y65" s="36">
        <v>0</v>
      </c>
      <c r="Z65" s="36"/>
      <c r="AA65" s="36"/>
      <c r="AB65" s="36"/>
      <c r="AC65" s="36">
        <v>0</v>
      </c>
      <c r="AD65" s="36">
        <v>0</v>
      </c>
      <c r="AE65" s="36"/>
      <c r="AF65" s="36"/>
      <c r="AG65" s="36" t="s">
        <v>196</v>
      </c>
      <c r="AH65" s="36"/>
      <c r="AI65" s="36"/>
      <c r="AJ65" s="36" t="s">
        <v>1055</v>
      </c>
      <c r="AK65" s="36" t="s">
        <v>1010</v>
      </c>
      <c r="AL65" s="36" t="s">
        <v>1059</v>
      </c>
      <c r="AM65" s="36" t="s">
        <v>1067</v>
      </c>
      <c r="AN65" s="36" t="s">
        <v>1073</v>
      </c>
      <c r="AO65" s="36"/>
      <c r="AP65" s="36"/>
      <c r="AQ65" s="36"/>
      <c r="AR65" s="36"/>
      <c r="AS65" s="36">
        <v>0</v>
      </c>
      <c r="AT65" s="36">
        <v>0</v>
      </c>
      <c r="AU65" s="36">
        <v>1</v>
      </c>
      <c r="AV65" s="36"/>
      <c r="AW65" s="36"/>
      <c r="AX65" s="36"/>
      <c r="AY65" s="36"/>
      <c r="AZ65" s="36"/>
      <c r="BA65" s="36"/>
      <c r="BB65" s="36">
        <v>44</v>
      </c>
      <c r="BC65" s="36"/>
      <c r="BD65" s="36"/>
      <c r="BE65" s="36"/>
      <c r="BF65" s="36"/>
      <c r="BG65" s="36"/>
      <c r="BH65" s="36"/>
      <c r="BI65" s="36"/>
    </row>
    <row r="66" spans="1:61" ht="12.75" customHeight="1">
      <c r="A66" s="32">
        <v>2562</v>
      </c>
      <c r="B66" s="32">
        <v>2525</v>
      </c>
      <c r="C66" s="37" t="s">
        <v>1072</v>
      </c>
      <c r="D66" s="42" t="s">
        <v>85</v>
      </c>
      <c r="E66" s="37"/>
      <c r="F66" s="39" t="s">
        <v>1071</v>
      </c>
      <c r="G66" s="37">
        <v>238</v>
      </c>
      <c r="H66" s="36"/>
      <c r="I66" s="36"/>
      <c r="J66" s="38" t="s">
        <v>1070</v>
      </c>
      <c r="K66" s="38" t="s">
        <v>1063</v>
      </c>
      <c r="L66" s="36"/>
      <c r="M66" s="36"/>
      <c r="N66" s="36">
        <v>4</v>
      </c>
      <c r="O66" s="36">
        <v>4</v>
      </c>
      <c r="Q66" s="37"/>
      <c r="R66" s="36" t="s">
        <v>1069</v>
      </c>
      <c r="S66" s="36">
        <v>750</v>
      </c>
      <c r="T66" s="36">
        <v>0</v>
      </c>
      <c r="U66" s="36">
        <v>750</v>
      </c>
      <c r="V66" s="36">
        <v>7.5</v>
      </c>
      <c r="W66" s="36">
        <v>0</v>
      </c>
      <c r="X66" s="36">
        <v>7.5</v>
      </c>
      <c r="Y66" s="36">
        <v>0</v>
      </c>
      <c r="Z66" s="36">
        <v>7.5</v>
      </c>
      <c r="AA66" s="36">
        <v>1.875</v>
      </c>
      <c r="AB66" s="36">
        <v>25</v>
      </c>
      <c r="AC66" s="36">
        <v>100</v>
      </c>
      <c r="AD66" s="36">
        <v>810</v>
      </c>
      <c r="AE66" s="36"/>
      <c r="AF66" s="36" t="s">
        <v>654</v>
      </c>
      <c r="AG66" s="36" t="s">
        <v>196</v>
      </c>
      <c r="AH66" s="36"/>
      <c r="AI66" s="36"/>
      <c r="AJ66" s="36"/>
      <c r="AK66" s="36"/>
      <c r="AL66" s="36"/>
      <c r="AM66" s="36"/>
      <c r="AN66" s="36"/>
      <c r="AO66" s="36"/>
      <c r="AP66" s="36"/>
      <c r="AQ66" s="36"/>
      <c r="AR66" s="36"/>
      <c r="AS66" s="36">
        <v>0</v>
      </c>
      <c r="AT66" s="36">
        <v>0</v>
      </c>
      <c r="AU66" s="36">
        <v>1</v>
      </c>
      <c r="AV66" s="36"/>
      <c r="AW66" s="36"/>
      <c r="AX66" s="36"/>
      <c r="AY66" s="36"/>
      <c r="AZ66" s="36"/>
      <c r="BA66" s="36"/>
      <c r="BB66" s="36">
        <v>44</v>
      </c>
      <c r="BC66" s="36"/>
      <c r="BD66" s="36"/>
      <c r="BE66" s="36"/>
      <c r="BF66" s="36"/>
      <c r="BG66" s="36"/>
      <c r="BH66" s="36"/>
      <c r="BI66" s="36"/>
    </row>
    <row r="67" spans="1:61" ht="12.75" customHeight="1">
      <c r="A67" s="32">
        <v>2563</v>
      </c>
      <c r="B67" s="32">
        <v>2522</v>
      </c>
      <c r="C67" s="37" t="s">
        <v>1066</v>
      </c>
      <c r="D67" s="42" t="s">
        <v>84</v>
      </c>
      <c r="E67" s="37"/>
      <c r="F67" s="39" t="s">
        <v>1068</v>
      </c>
      <c r="G67" s="37">
        <v>208</v>
      </c>
      <c r="H67" s="36">
        <v>100</v>
      </c>
      <c r="I67" s="36">
        <v>0</v>
      </c>
      <c r="J67" s="38" t="s">
        <v>1063</v>
      </c>
      <c r="K67" s="38" t="s">
        <v>1062</v>
      </c>
      <c r="L67" s="36"/>
      <c r="M67" s="36"/>
      <c r="N67" s="36">
        <v>0</v>
      </c>
      <c r="O67" s="36">
        <v>0</v>
      </c>
      <c r="Q67" s="37"/>
      <c r="R67" s="36"/>
      <c r="S67" s="36">
        <v>0</v>
      </c>
      <c r="T67" s="36">
        <v>0</v>
      </c>
      <c r="U67" s="36">
        <v>0</v>
      </c>
      <c r="V67" s="36">
        <v>0</v>
      </c>
      <c r="W67" s="36">
        <v>0</v>
      </c>
      <c r="X67" s="36">
        <v>0</v>
      </c>
      <c r="Y67" s="36">
        <v>0</v>
      </c>
      <c r="Z67" s="36"/>
      <c r="AA67" s="36"/>
      <c r="AB67" s="36"/>
      <c r="AC67" s="36">
        <v>0</v>
      </c>
      <c r="AD67" s="36">
        <v>0</v>
      </c>
      <c r="AE67" s="36"/>
      <c r="AF67" s="36"/>
      <c r="AG67" s="36" t="s">
        <v>196</v>
      </c>
      <c r="AH67" s="36"/>
      <c r="AI67" s="36"/>
      <c r="AJ67" s="36" t="s">
        <v>1055</v>
      </c>
      <c r="AK67" s="36" t="s">
        <v>1010</v>
      </c>
      <c r="AL67" s="36" t="s">
        <v>1059</v>
      </c>
      <c r="AM67" s="36" t="s">
        <v>1067</v>
      </c>
      <c r="AN67" s="36" t="s">
        <v>1066</v>
      </c>
      <c r="AO67" s="36"/>
      <c r="AP67" s="36"/>
      <c r="AQ67" s="36"/>
      <c r="AR67" s="36"/>
      <c r="AS67" s="36">
        <v>0</v>
      </c>
      <c r="AT67" s="36">
        <v>0</v>
      </c>
      <c r="AU67" s="36">
        <v>1</v>
      </c>
      <c r="AV67" s="36"/>
      <c r="AW67" s="36"/>
      <c r="AX67" s="36"/>
      <c r="AY67" s="36"/>
      <c r="AZ67" s="36">
        <v>30</v>
      </c>
      <c r="BA67" s="36"/>
      <c r="BB67" s="36">
        <v>44</v>
      </c>
      <c r="BC67" s="36"/>
      <c r="BD67" s="36"/>
      <c r="BE67" s="36"/>
      <c r="BF67" s="36"/>
      <c r="BG67" s="36"/>
      <c r="BH67" s="36"/>
      <c r="BI67" s="36"/>
    </row>
    <row r="68" spans="1:61" ht="12.75" customHeight="1">
      <c r="A68" s="32">
        <v>2564</v>
      </c>
      <c r="B68" s="32">
        <v>2527</v>
      </c>
      <c r="C68" s="37" t="s">
        <v>1065</v>
      </c>
      <c r="D68" s="42" t="s">
        <v>85</v>
      </c>
      <c r="E68" s="37"/>
      <c r="F68" s="39" t="s">
        <v>1064</v>
      </c>
      <c r="G68" s="37">
        <v>238</v>
      </c>
      <c r="H68" s="36"/>
      <c r="I68" s="36"/>
      <c r="J68" s="38" t="s">
        <v>1063</v>
      </c>
      <c r="K68" s="38" t="s">
        <v>1062</v>
      </c>
      <c r="L68" s="36"/>
      <c r="M68" s="36"/>
      <c r="N68" s="36">
        <v>0</v>
      </c>
      <c r="O68" s="36">
        <v>0</v>
      </c>
      <c r="Q68" s="37"/>
      <c r="R68" s="36" t="s">
        <v>1061</v>
      </c>
      <c r="S68" s="36">
        <v>0</v>
      </c>
      <c r="T68" s="36">
        <v>0</v>
      </c>
      <c r="U68" s="36">
        <v>0</v>
      </c>
      <c r="V68" s="36">
        <v>0</v>
      </c>
      <c r="W68" s="36">
        <v>0</v>
      </c>
      <c r="X68" s="36">
        <v>0</v>
      </c>
      <c r="Y68" s="36">
        <v>0</v>
      </c>
      <c r="Z68" s="36">
        <v>7.5</v>
      </c>
      <c r="AA68" s="36">
        <v>1.875</v>
      </c>
      <c r="AB68" s="36">
        <v>25</v>
      </c>
      <c r="AC68" s="36">
        <v>75</v>
      </c>
      <c r="AD68" s="36">
        <v>809</v>
      </c>
      <c r="AE68" s="36"/>
      <c r="AF68" s="36" t="s">
        <v>654</v>
      </c>
      <c r="AG68" s="36" t="s">
        <v>196</v>
      </c>
      <c r="AH68" s="36"/>
      <c r="AI68" s="36"/>
      <c r="AJ68" s="36"/>
      <c r="AK68" s="36"/>
      <c r="AL68" s="36"/>
      <c r="AM68" s="36"/>
      <c r="AN68" s="36"/>
      <c r="AO68" s="36"/>
      <c r="AP68" s="36"/>
      <c r="AQ68" s="36"/>
      <c r="AR68" s="36"/>
      <c r="AS68" s="36">
        <v>0</v>
      </c>
      <c r="AT68" s="36">
        <v>0</v>
      </c>
      <c r="AU68" s="36">
        <v>1</v>
      </c>
      <c r="AV68" s="36"/>
      <c r="AW68" s="36"/>
      <c r="AX68" s="36"/>
      <c r="AY68" s="36"/>
      <c r="AZ68" s="36"/>
      <c r="BA68" s="36"/>
      <c r="BB68" s="36">
        <v>44</v>
      </c>
      <c r="BC68" s="36"/>
      <c r="BD68" s="36"/>
      <c r="BE68" s="36"/>
      <c r="BF68" s="36"/>
      <c r="BG68" s="36"/>
      <c r="BH68" s="36"/>
      <c r="BI68" s="36"/>
    </row>
    <row r="69" spans="1:61" ht="12.75" customHeight="1">
      <c r="A69" s="32">
        <v>2565</v>
      </c>
      <c r="B69" s="32">
        <v>2101</v>
      </c>
      <c r="C69" s="44" t="s">
        <v>1058</v>
      </c>
      <c r="D69" s="43" t="s">
        <v>83</v>
      </c>
      <c r="E69" s="37"/>
      <c r="F69" s="39" t="s">
        <v>1060</v>
      </c>
      <c r="G69" s="37">
        <v>174</v>
      </c>
      <c r="H69" s="36">
        <v>184</v>
      </c>
      <c r="I69" s="36">
        <v>0</v>
      </c>
      <c r="J69" s="38" t="s">
        <v>1052</v>
      </c>
      <c r="K69" s="38" t="s">
        <v>1037</v>
      </c>
      <c r="L69" s="36"/>
      <c r="M69" s="36"/>
      <c r="N69" s="36">
        <v>27</v>
      </c>
      <c r="O69" s="36">
        <v>27</v>
      </c>
      <c r="Q69" s="37"/>
      <c r="R69" s="36"/>
      <c r="S69" s="36">
        <v>4031.3</v>
      </c>
      <c r="T69" s="36">
        <v>0</v>
      </c>
      <c r="U69" s="36">
        <v>4031.3</v>
      </c>
      <c r="V69" s="36">
        <v>50.7</v>
      </c>
      <c r="W69" s="36">
        <v>0</v>
      </c>
      <c r="X69" s="36">
        <v>50.7</v>
      </c>
      <c r="Y69" s="36">
        <v>0</v>
      </c>
      <c r="Z69" s="36"/>
      <c r="AA69" s="36"/>
      <c r="AB69" s="36"/>
      <c r="AC69" s="36">
        <v>0</v>
      </c>
      <c r="AD69" s="36">
        <v>0</v>
      </c>
      <c r="AE69" s="36"/>
      <c r="AF69" s="36"/>
      <c r="AG69" s="36" t="s">
        <v>196</v>
      </c>
      <c r="AH69" s="36"/>
      <c r="AI69" s="36"/>
      <c r="AJ69" s="36" t="s">
        <v>1055</v>
      </c>
      <c r="AK69" s="36" t="s">
        <v>1010</v>
      </c>
      <c r="AL69" s="36" t="s">
        <v>1059</v>
      </c>
      <c r="AM69" s="36" t="s">
        <v>1058</v>
      </c>
      <c r="AN69" s="36"/>
      <c r="AO69" s="36"/>
      <c r="AP69" s="36"/>
      <c r="AQ69" s="36"/>
      <c r="AR69" s="36"/>
      <c r="AS69" s="36">
        <v>0</v>
      </c>
      <c r="AT69" s="36">
        <v>0</v>
      </c>
      <c r="AU69" s="36">
        <v>1</v>
      </c>
      <c r="AV69" s="36"/>
      <c r="AW69" s="36"/>
      <c r="AX69" s="36"/>
      <c r="AY69" s="36"/>
      <c r="AZ69" s="36">
        <v>30</v>
      </c>
      <c r="BA69" s="36"/>
      <c r="BB69" s="36">
        <v>44</v>
      </c>
      <c r="BC69" s="36"/>
      <c r="BD69" s="36"/>
      <c r="BE69" s="36"/>
      <c r="BF69" s="36"/>
      <c r="BG69" s="36"/>
      <c r="BH69" s="36"/>
      <c r="BI69" s="36"/>
    </row>
    <row r="70" spans="1:61" ht="12.75" customHeight="1">
      <c r="A70" s="32">
        <v>2566</v>
      </c>
      <c r="B70" s="32">
        <v>2529</v>
      </c>
      <c r="C70" s="37" t="s">
        <v>1057</v>
      </c>
      <c r="D70" s="42" t="s">
        <v>84</v>
      </c>
      <c r="E70" s="37"/>
      <c r="F70" s="39" t="s">
        <v>1056</v>
      </c>
      <c r="G70" s="37">
        <v>218</v>
      </c>
      <c r="H70" s="36">
        <v>100</v>
      </c>
      <c r="I70" s="36">
        <v>0</v>
      </c>
      <c r="J70" s="38" t="s">
        <v>1052</v>
      </c>
      <c r="K70" s="38" t="s">
        <v>1051</v>
      </c>
      <c r="L70" s="36"/>
      <c r="M70" s="36"/>
      <c r="N70" s="36">
        <v>10</v>
      </c>
      <c r="O70" s="36">
        <v>10</v>
      </c>
      <c r="Q70" s="37"/>
      <c r="R70" s="36"/>
      <c r="S70" s="36">
        <v>1875</v>
      </c>
      <c r="T70" s="36">
        <v>0</v>
      </c>
      <c r="U70" s="36">
        <v>1875</v>
      </c>
      <c r="V70" s="36">
        <v>18.8</v>
      </c>
      <c r="W70" s="36">
        <v>0</v>
      </c>
      <c r="X70" s="36">
        <v>18.8</v>
      </c>
      <c r="Y70" s="36">
        <v>0</v>
      </c>
      <c r="Z70" s="36"/>
      <c r="AA70" s="36"/>
      <c r="AB70" s="36"/>
      <c r="AC70" s="36">
        <v>0</v>
      </c>
      <c r="AD70" s="36">
        <v>0</v>
      </c>
      <c r="AE70" s="36"/>
      <c r="AF70" s="36"/>
      <c r="AG70" s="36" t="s">
        <v>196</v>
      </c>
      <c r="AH70" s="36"/>
      <c r="AI70" s="36"/>
      <c r="AJ70" s="36" t="s">
        <v>1055</v>
      </c>
      <c r="AK70" s="36"/>
      <c r="AL70" s="36"/>
      <c r="AM70" s="36"/>
      <c r="AN70" s="36"/>
      <c r="AO70" s="36"/>
      <c r="AP70" s="36"/>
      <c r="AQ70" s="36"/>
      <c r="AR70" s="36"/>
      <c r="AS70" s="36">
        <v>0</v>
      </c>
      <c r="AT70" s="36">
        <v>0</v>
      </c>
      <c r="AU70" s="36">
        <v>1</v>
      </c>
      <c r="AV70" s="36"/>
      <c r="AW70" s="36"/>
      <c r="AX70" s="36"/>
      <c r="AY70" s="36"/>
      <c r="AZ70" s="36">
        <v>30</v>
      </c>
      <c r="BA70" s="36"/>
      <c r="BB70" s="36">
        <v>44</v>
      </c>
      <c r="BC70" s="36"/>
      <c r="BD70" s="36"/>
      <c r="BE70" s="36"/>
      <c r="BF70" s="36"/>
      <c r="BG70" s="36"/>
      <c r="BH70" s="36"/>
      <c r="BI70" s="36"/>
    </row>
    <row r="71" spans="1:61" ht="12.75" customHeight="1">
      <c r="A71" s="32">
        <v>2567</v>
      </c>
      <c r="B71" s="32">
        <v>2530</v>
      </c>
      <c r="C71" s="37" t="s">
        <v>1054</v>
      </c>
      <c r="D71" s="42" t="s">
        <v>85</v>
      </c>
      <c r="E71" s="37"/>
      <c r="F71" s="39" t="s">
        <v>1053</v>
      </c>
      <c r="G71" s="37">
        <v>248</v>
      </c>
      <c r="H71" s="36"/>
      <c r="I71" s="36"/>
      <c r="J71" s="38" t="s">
        <v>1052</v>
      </c>
      <c r="K71" s="38" t="s">
        <v>1051</v>
      </c>
      <c r="L71" s="36"/>
      <c r="M71" s="36"/>
      <c r="N71" s="36">
        <v>10</v>
      </c>
      <c r="O71" s="36">
        <v>10</v>
      </c>
      <c r="Q71" s="37"/>
      <c r="R71" s="36" t="s">
        <v>1050</v>
      </c>
      <c r="S71" s="36">
        <v>1875</v>
      </c>
      <c r="T71" s="36">
        <v>0</v>
      </c>
      <c r="U71" s="36">
        <v>1875</v>
      </c>
      <c r="V71" s="36">
        <v>18.8</v>
      </c>
      <c r="W71" s="36">
        <v>0</v>
      </c>
      <c r="X71" s="36">
        <v>18.8</v>
      </c>
      <c r="Y71" s="36">
        <v>0</v>
      </c>
      <c r="Z71" s="36">
        <v>7.5</v>
      </c>
      <c r="AA71" s="36">
        <v>1.875</v>
      </c>
      <c r="AB71" s="36">
        <v>25</v>
      </c>
      <c r="AC71" s="36">
        <v>100</v>
      </c>
      <c r="AD71" s="36">
        <v>807</v>
      </c>
      <c r="AE71" s="36"/>
      <c r="AF71" s="36" t="s">
        <v>654</v>
      </c>
      <c r="AG71" s="36" t="s">
        <v>196</v>
      </c>
      <c r="AH71" s="36"/>
      <c r="AI71" s="36"/>
      <c r="AJ71" s="36"/>
      <c r="AK71" s="36"/>
      <c r="AL71" s="36"/>
      <c r="AM71" s="36"/>
      <c r="AN71" s="36"/>
      <c r="AO71" s="36"/>
      <c r="AP71" s="36"/>
      <c r="AQ71" s="36"/>
      <c r="AR71" s="36"/>
      <c r="AS71" s="36">
        <v>0</v>
      </c>
      <c r="AT71" s="36">
        <v>0</v>
      </c>
      <c r="AU71" s="36">
        <v>1</v>
      </c>
      <c r="AV71" s="36"/>
      <c r="AW71" s="36"/>
      <c r="AX71" s="36"/>
      <c r="AY71" s="36"/>
      <c r="AZ71" s="36">
        <v>30</v>
      </c>
      <c r="BA71" s="36"/>
      <c r="BB71" s="36">
        <v>44</v>
      </c>
      <c r="BC71" s="36"/>
      <c r="BD71" s="36"/>
      <c r="BE71" s="36"/>
      <c r="BF71" s="36"/>
      <c r="BG71" s="36"/>
      <c r="BH71" s="36"/>
      <c r="BI71" s="36"/>
    </row>
    <row r="72" spans="1:61" ht="12.75" customHeight="1">
      <c r="A72" s="32">
        <v>2568</v>
      </c>
      <c r="B72" s="32">
        <v>2529</v>
      </c>
      <c r="C72" s="37" t="s">
        <v>1049</v>
      </c>
      <c r="D72" s="42" t="s">
        <v>84</v>
      </c>
      <c r="E72" s="37"/>
      <c r="F72" s="39" t="s">
        <v>1048</v>
      </c>
      <c r="G72" s="37">
        <v>218</v>
      </c>
      <c r="H72" s="36">
        <v>100</v>
      </c>
      <c r="I72" s="36">
        <v>0</v>
      </c>
      <c r="J72" s="38" t="s">
        <v>1045</v>
      </c>
      <c r="K72" s="38" t="s">
        <v>1044</v>
      </c>
      <c r="L72" s="36"/>
      <c r="M72" s="36"/>
      <c r="N72" s="36">
        <v>11</v>
      </c>
      <c r="O72" s="36">
        <v>11</v>
      </c>
      <c r="Q72" s="37"/>
      <c r="R72" s="36"/>
      <c r="S72" s="36">
        <v>1031.3</v>
      </c>
      <c r="T72" s="36">
        <v>0</v>
      </c>
      <c r="U72" s="36">
        <v>1031.3</v>
      </c>
      <c r="V72" s="36">
        <v>20.6</v>
      </c>
      <c r="W72" s="36">
        <v>0</v>
      </c>
      <c r="X72" s="36">
        <v>20.6</v>
      </c>
      <c r="Y72" s="36">
        <v>0</v>
      </c>
      <c r="Z72" s="36"/>
      <c r="AA72" s="36"/>
      <c r="AB72" s="36"/>
      <c r="AC72" s="36"/>
      <c r="AD72" s="36">
        <v>0</v>
      </c>
      <c r="AE72" s="36"/>
      <c r="AF72" s="36"/>
      <c r="AG72" s="36" t="s">
        <v>196</v>
      </c>
      <c r="AH72" s="36"/>
      <c r="AI72" s="36"/>
      <c r="AJ72" s="36"/>
      <c r="AK72" s="36"/>
      <c r="AL72" s="36"/>
      <c r="AM72" s="36"/>
      <c r="AN72" s="36"/>
      <c r="AO72" s="36"/>
      <c r="AP72" s="36"/>
      <c r="AQ72" s="36"/>
      <c r="AR72" s="36"/>
      <c r="AS72" s="36">
        <v>0</v>
      </c>
      <c r="AT72" s="36">
        <v>0</v>
      </c>
      <c r="AU72" s="36">
        <v>1</v>
      </c>
      <c r="AV72" s="36"/>
      <c r="AW72" s="36"/>
      <c r="AX72" s="36"/>
      <c r="AY72" s="36"/>
      <c r="AZ72" s="36">
        <v>30</v>
      </c>
      <c r="BA72" s="36"/>
      <c r="BB72" s="36">
        <v>44</v>
      </c>
      <c r="BC72" s="36"/>
      <c r="BD72" s="36"/>
      <c r="BE72" s="36"/>
      <c r="BF72" s="36"/>
      <c r="BG72" s="36"/>
      <c r="BH72" s="36"/>
      <c r="BI72" s="36"/>
    </row>
    <row r="73" spans="1:61" ht="12.75" customHeight="1">
      <c r="A73" s="32">
        <v>2569</v>
      </c>
      <c r="B73" s="32">
        <v>2532</v>
      </c>
      <c r="C73" s="37" t="s">
        <v>1047</v>
      </c>
      <c r="D73" s="42" t="s">
        <v>85</v>
      </c>
      <c r="E73" s="37"/>
      <c r="F73" s="39" t="s">
        <v>1046</v>
      </c>
      <c r="G73" s="37">
        <v>248</v>
      </c>
      <c r="H73" s="36"/>
      <c r="I73" s="36"/>
      <c r="J73" s="38" t="s">
        <v>1045</v>
      </c>
      <c r="K73" s="38" t="s">
        <v>1044</v>
      </c>
      <c r="L73" s="36"/>
      <c r="M73" s="36"/>
      <c r="N73" s="36">
        <v>11</v>
      </c>
      <c r="O73" s="36">
        <v>11</v>
      </c>
      <c r="Q73" s="37"/>
      <c r="R73" s="36" t="s">
        <v>1043</v>
      </c>
      <c r="S73" s="36">
        <v>1031.3</v>
      </c>
      <c r="T73" s="36">
        <v>0</v>
      </c>
      <c r="U73" s="36">
        <v>1031.3</v>
      </c>
      <c r="V73" s="36">
        <v>20.6</v>
      </c>
      <c r="W73" s="36">
        <v>0</v>
      </c>
      <c r="X73" s="36">
        <v>20.6</v>
      </c>
      <c r="Y73" s="36">
        <v>0</v>
      </c>
      <c r="Z73" s="36">
        <v>7.5</v>
      </c>
      <c r="AA73" s="36">
        <v>1.875</v>
      </c>
      <c r="AB73" s="36">
        <v>25</v>
      </c>
      <c r="AC73" s="36">
        <v>50</v>
      </c>
      <c r="AD73" s="36">
        <v>808</v>
      </c>
      <c r="AE73" s="36"/>
      <c r="AF73" s="36" t="s">
        <v>654</v>
      </c>
      <c r="AG73" s="36" t="s">
        <v>196</v>
      </c>
      <c r="AH73" s="36"/>
      <c r="AI73" s="36"/>
      <c r="AJ73" s="36"/>
      <c r="AK73" s="36"/>
      <c r="AL73" s="36"/>
      <c r="AM73" s="36"/>
      <c r="AN73" s="36"/>
      <c r="AO73" s="36"/>
      <c r="AP73" s="36"/>
      <c r="AQ73" s="36"/>
      <c r="AR73" s="36"/>
      <c r="AS73" s="36">
        <v>0</v>
      </c>
      <c r="AT73" s="36">
        <v>0</v>
      </c>
      <c r="AU73" s="36">
        <v>1</v>
      </c>
      <c r="AV73" s="36"/>
      <c r="AW73" s="36"/>
      <c r="AX73" s="36"/>
      <c r="AY73" s="36"/>
      <c r="AZ73" s="36">
        <v>30</v>
      </c>
      <c r="BA73" s="36"/>
      <c r="BB73" s="36">
        <v>44</v>
      </c>
      <c r="BC73" s="36"/>
      <c r="BD73" s="36"/>
      <c r="BE73" s="36"/>
      <c r="BF73" s="36"/>
      <c r="BG73" s="36"/>
      <c r="BH73" s="36"/>
      <c r="BI73" s="36"/>
    </row>
    <row r="74" spans="1:61" ht="12.75" customHeight="1">
      <c r="A74" s="32">
        <v>2570</v>
      </c>
      <c r="B74" s="32">
        <v>2529</v>
      </c>
      <c r="C74" s="37" t="s">
        <v>1042</v>
      </c>
      <c r="D74" s="42" t="s">
        <v>84</v>
      </c>
      <c r="E74" s="37"/>
      <c r="F74" s="39" t="s">
        <v>1041</v>
      </c>
      <c r="G74" s="37">
        <v>218</v>
      </c>
      <c r="H74" s="36">
        <v>100</v>
      </c>
      <c r="I74" s="36">
        <v>0</v>
      </c>
      <c r="J74" s="38" t="s">
        <v>1038</v>
      </c>
      <c r="K74" s="38" t="s">
        <v>1037</v>
      </c>
      <c r="L74" s="36"/>
      <c r="M74" s="36"/>
      <c r="N74" s="36">
        <v>6</v>
      </c>
      <c r="O74" s="36">
        <v>6</v>
      </c>
      <c r="Q74" s="37"/>
      <c r="R74" s="36"/>
      <c r="S74" s="36">
        <v>1125</v>
      </c>
      <c r="T74" s="36">
        <v>0</v>
      </c>
      <c r="U74" s="36">
        <v>1125</v>
      </c>
      <c r="V74" s="36">
        <v>11.3</v>
      </c>
      <c r="W74" s="36">
        <v>0</v>
      </c>
      <c r="X74" s="36">
        <v>11.3</v>
      </c>
      <c r="Y74" s="36">
        <v>0</v>
      </c>
      <c r="Z74" s="36"/>
      <c r="AA74" s="36"/>
      <c r="AB74" s="36"/>
      <c r="AC74" s="36"/>
      <c r="AD74" s="36">
        <v>0</v>
      </c>
      <c r="AE74" s="36"/>
      <c r="AF74" s="36"/>
      <c r="AG74" s="36" t="s">
        <v>196</v>
      </c>
      <c r="AH74" s="36"/>
      <c r="AI74" s="36"/>
      <c r="AJ74" s="36"/>
      <c r="AK74" s="36"/>
      <c r="AL74" s="36"/>
      <c r="AM74" s="36"/>
      <c r="AN74" s="36"/>
      <c r="AO74" s="36"/>
      <c r="AP74" s="36"/>
      <c r="AQ74" s="36"/>
      <c r="AR74" s="36"/>
      <c r="AS74" s="36">
        <v>0</v>
      </c>
      <c r="AT74" s="36">
        <v>0</v>
      </c>
      <c r="AU74" s="36">
        <v>1</v>
      </c>
      <c r="AV74" s="36"/>
      <c r="AW74" s="36"/>
      <c r="AX74" s="36"/>
      <c r="AY74" s="36"/>
      <c r="AZ74" s="36">
        <v>30</v>
      </c>
      <c r="BA74" s="36"/>
      <c r="BB74" s="36">
        <v>44</v>
      </c>
      <c r="BC74" s="36"/>
      <c r="BD74" s="36"/>
      <c r="BE74" s="36"/>
      <c r="BF74" s="36"/>
      <c r="BG74" s="36"/>
      <c r="BH74" s="36"/>
      <c r="BI74" s="36"/>
    </row>
    <row r="75" spans="1:61" ht="12.75" customHeight="1">
      <c r="A75" s="32">
        <v>2571</v>
      </c>
      <c r="B75" s="32">
        <v>2534</v>
      </c>
      <c r="C75" s="37" t="s">
        <v>1040</v>
      </c>
      <c r="D75" s="42" t="s">
        <v>85</v>
      </c>
      <c r="E75" s="37"/>
      <c r="F75" s="39" t="s">
        <v>1039</v>
      </c>
      <c r="G75" s="37">
        <v>254</v>
      </c>
      <c r="H75" s="36"/>
      <c r="I75" s="36"/>
      <c r="J75" s="38" t="s">
        <v>1038</v>
      </c>
      <c r="K75" s="38" t="s">
        <v>1037</v>
      </c>
      <c r="L75" s="36"/>
      <c r="M75" s="36"/>
      <c r="N75" s="36">
        <v>6</v>
      </c>
      <c r="O75" s="36">
        <v>6</v>
      </c>
      <c r="Q75" s="37"/>
      <c r="R75" s="36" t="s">
        <v>1036</v>
      </c>
      <c r="S75" s="36">
        <v>1125</v>
      </c>
      <c r="T75" s="36">
        <v>0</v>
      </c>
      <c r="U75" s="36">
        <v>1125</v>
      </c>
      <c r="V75" s="36">
        <v>11.3</v>
      </c>
      <c r="W75" s="36">
        <v>0</v>
      </c>
      <c r="X75" s="36">
        <v>11.3</v>
      </c>
      <c r="Y75" s="36">
        <v>0</v>
      </c>
      <c r="Z75" s="36">
        <v>7.5</v>
      </c>
      <c r="AA75" s="36">
        <v>1.875</v>
      </c>
      <c r="AB75" s="36">
        <v>25</v>
      </c>
      <c r="AC75" s="36">
        <v>100</v>
      </c>
      <c r="AD75" s="36">
        <v>813</v>
      </c>
      <c r="AE75" s="36"/>
      <c r="AF75" s="36" t="s">
        <v>654</v>
      </c>
      <c r="AG75" s="36" t="s">
        <v>196</v>
      </c>
      <c r="AH75" s="36"/>
      <c r="AI75" s="36"/>
      <c r="AJ75" s="36"/>
      <c r="AK75" s="36"/>
      <c r="AL75" s="36"/>
      <c r="AM75" s="36"/>
      <c r="AN75" s="36"/>
      <c r="AO75" s="36"/>
      <c r="AP75" s="36"/>
      <c r="AQ75" s="36"/>
      <c r="AR75" s="36"/>
      <c r="AS75" s="36">
        <v>0</v>
      </c>
      <c r="AT75" s="36">
        <v>0</v>
      </c>
      <c r="AU75" s="36">
        <v>1</v>
      </c>
      <c r="AV75" s="36"/>
      <c r="AW75" s="36"/>
      <c r="AX75" s="36"/>
      <c r="AY75" s="36"/>
      <c r="AZ75" s="36">
        <v>30</v>
      </c>
      <c r="BA75" s="36"/>
      <c r="BB75" s="36">
        <v>44</v>
      </c>
      <c r="BC75" s="36"/>
      <c r="BD75" s="36"/>
      <c r="BE75" s="36"/>
      <c r="BF75" s="36"/>
      <c r="BG75" s="36"/>
      <c r="BH75" s="36"/>
      <c r="BI75" s="36"/>
    </row>
    <row r="78" spans="1:61" ht="12.75" customHeight="1">
      <c r="A78" s="32">
        <v>2137</v>
      </c>
      <c r="B78" s="32">
        <v>2100</v>
      </c>
      <c r="C78" s="41" t="s">
        <v>1033</v>
      </c>
      <c r="D78" s="40" t="s">
        <v>79</v>
      </c>
      <c r="E78" s="37"/>
      <c r="F78" s="39" t="s">
        <v>496</v>
      </c>
      <c r="G78" s="37">
        <v>546</v>
      </c>
      <c r="H78" s="36">
        <v>159</v>
      </c>
      <c r="I78" s="36">
        <v>0</v>
      </c>
      <c r="J78" s="38" t="s">
        <v>1035</v>
      </c>
      <c r="K78" s="38" t="s">
        <v>1034</v>
      </c>
      <c r="L78" s="36"/>
      <c r="M78" s="36"/>
      <c r="N78" s="36">
        <v>115</v>
      </c>
      <c r="O78" s="36">
        <v>115</v>
      </c>
      <c r="Q78" s="37"/>
      <c r="R78" s="36"/>
      <c r="S78" s="36">
        <v>0</v>
      </c>
      <c r="T78" s="36">
        <v>0</v>
      </c>
      <c r="U78" s="36">
        <v>0</v>
      </c>
      <c r="V78" s="36">
        <v>0</v>
      </c>
      <c r="W78" s="36">
        <v>0</v>
      </c>
      <c r="X78" s="36">
        <v>0</v>
      </c>
      <c r="Y78" s="36">
        <v>0</v>
      </c>
      <c r="Z78" s="36"/>
      <c r="AA78" s="36"/>
      <c r="AB78" s="36"/>
      <c r="AC78" s="36">
        <v>0</v>
      </c>
      <c r="AD78" s="36">
        <v>0</v>
      </c>
      <c r="AE78" s="36"/>
      <c r="AF78" s="36"/>
      <c r="AG78" s="36" t="s">
        <v>196</v>
      </c>
      <c r="AH78" s="36"/>
      <c r="AI78" s="36"/>
      <c r="AJ78" s="36"/>
      <c r="AK78" s="36" t="s">
        <v>1010</v>
      </c>
      <c r="AL78" s="36" t="s">
        <v>1033</v>
      </c>
      <c r="AM78" s="36"/>
      <c r="AN78" s="36"/>
      <c r="AO78" s="36"/>
      <c r="AP78" s="36"/>
      <c r="AQ78" s="36"/>
      <c r="AR78" s="36"/>
      <c r="AS78" s="36">
        <v>0</v>
      </c>
      <c r="AT78" s="36">
        <v>0</v>
      </c>
      <c r="AU78" s="36">
        <v>1</v>
      </c>
      <c r="AV78" s="36"/>
      <c r="AW78" s="36"/>
      <c r="AX78" s="36"/>
      <c r="AY78" s="36"/>
      <c r="AZ78" s="36"/>
      <c r="BA78" s="36"/>
      <c r="BB78" s="36">
        <v>44</v>
      </c>
      <c r="BC78" s="36"/>
      <c r="BD78" s="36"/>
      <c r="BE78" s="36"/>
      <c r="BF78" s="36"/>
      <c r="BG78" s="36"/>
      <c r="BH78" s="36"/>
      <c r="BI78" s="36"/>
    </row>
    <row r="79" spans="1:61" ht="12.75" customHeight="1">
      <c r="A79" s="32">
        <v>2138</v>
      </c>
      <c r="B79" s="32">
        <v>2100</v>
      </c>
      <c r="C79" s="41" t="s">
        <v>1030</v>
      </c>
      <c r="D79" s="40" t="s">
        <v>79</v>
      </c>
      <c r="E79" s="37"/>
      <c r="F79" s="39" t="s">
        <v>497</v>
      </c>
      <c r="G79" s="37">
        <v>620</v>
      </c>
      <c r="H79" s="36">
        <v>195</v>
      </c>
      <c r="I79" s="36">
        <v>0</v>
      </c>
      <c r="J79" s="38" t="s">
        <v>1032</v>
      </c>
      <c r="K79" s="38" t="s">
        <v>1031</v>
      </c>
      <c r="L79" s="36"/>
      <c r="M79" s="36"/>
      <c r="N79" s="36">
        <v>117</v>
      </c>
      <c r="O79" s="36">
        <v>117</v>
      </c>
      <c r="Q79" s="37"/>
      <c r="R79" s="36" t="s">
        <v>1022</v>
      </c>
      <c r="S79" s="36">
        <v>0</v>
      </c>
      <c r="T79" s="36">
        <v>0</v>
      </c>
      <c r="U79" s="36">
        <v>0</v>
      </c>
      <c r="V79" s="36">
        <v>0</v>
      </c>
      <c r="W79" s="36">
        <v>0</v>
      </c>
      <c r="X79" s="36">
        <v>0</v>
      </c>
      <c r="Y79" s="36">
        <v>0</v>
      </c>
      <c r="Z79" s="36"/>
      <c r="AA79" s="36"/>
      <c r="AB79" s="36"/>
      <c r="AC79" s="36">
        <v>0</v>
      </c>
      <c r="AD79" s="36">
        <v>0</v>
      </c>
      <c r="AE79" s="36"/>
      <c r="AF79" s="36"/>
      <c r="AG79" s="36" t="s">
        <v>196</v>
      </c>
      <c r="AH79" s="36"/>
      <c r="AI79" s="36"/>
      <c r="AJ79" s="36"/>
      <c r="AK79" s="36" t="s">
        <v>1010</v>
      </c>
      <c r="AL79" s="36" t="s">
        <v>1030</v>
      </c>
      <c r="AM79" s="36"/>
      <c r="AN79" s="36"/>
      <c r="AO79" s="36"/>
      <c r="AP79" s="36"/>
      <c r="AQ79" s="36"/>
      <c r="AR79" s="36"/>
      <c r="AS79" s="36">
        <v>0</v>
      </c>
      <c r="AT79" s="36">
        <v>0</v>
      </c>
      <c r="AU79" s="36">
        <v>1</v>
      </c>
      <c r="AV79" s="36"/>
      <c r="AW79" s="36"/>
      <c r="AX79" s="36"/>
      <c r="AY79" s="36"/>
      <c r="AZ79" s="36"/>
      <c r="BA79" s="36"/>
      <c r="BB79" s="36">
        <v>44</v>
      </c>
      <c r="BC79" s="36"/>
      <c r="BD79" s="36"/>
      <c r="BE79" s="36"/>
      <c r="BF79" s="36"/>
      <c r="BG79" s="36"/>
      <c r="BH79" s="36"/>
      <c r="BI79" s="36"/>
    </row>
    <row r="80" spans="1:61" ht="12.75" customHeight="1">
      <c r="A80" s="32">
        <v>2139</v>
      </c>
      <c r="B80" s="32">
        <v>2100</v>
      </c>
      <c r="C80" s="41" t="s">
        <v>1027</v>
      </c>
      <c r="D80" s="40" t="s">
        <v>79</v>
      </c>
      <c r="E80" s="37"/>
      <c r="F80" s="39" t="s">
        <v>498</v>
      </c>
      <c r="G80" s="37">
        <v>688</v>
      </c>
      <c r="H80" s="36">
        <v>191</v>
      </c>
      <c r="I80" s="36">
        <v>0</v>
      </c>
      <c r="J80" s="38" t="s">
        <v>1029</v>
      </c>
      <c r="K80" s="38" t="s">
        <v>1028</v>
      </c>
      <c r="L80" s="36"/>
      <c r="M80" s="36"/>
      <c r="N80" s="36">
        <v>117</v>
      </c>
      <c r="O80" s="36">
        <v>117</v>
      </c>
      <c r="Q80" s="37"/>
      <c r="R80" s="36" t="s">
        <v>1022</v>
      </c>
      <c r="S80" s="36">
        <v>0</v>
      </c>
      <c r="T80" s="36">
        <v>0</v>
      </c>
      <c r="U80" s="36">
        <v>0</v>
      </c>
      <c r="V80" s="36">
        <v>0</v>
      </c>
      <c r="W80" s="36">
        <v>0</v>
      </c>
      <c r="X80" s="36">
        <v>0</v>
      </c>
      <c r="Y80" s="36">
        <v>0</v>
      </c>
      <c r="Z80" s="36"/>
      <c r="AA80" s="36"/>
      <c r="AB80" s="36"/>
      <c r="AC80" s="36">
        <v>0</v>
      </c>
      <c r="AD80" s="36">
        <v>0</v>
      </c>
      <c r="AE80" s="36"/>
      <c r="AF80" s="36"/>
      <c r="AG80" s="36" t="s">
        <v>196</v>
      </c>
      <c r="AH80" s="36"/>
      <c r="AI80" s="36"/>
      <c r="AJ80" s="36"/>
      <c r="AK80" s="36" t="s">
        <v>1010</v>
      </c>
      <c r="AL80" s="36" t="s">
        <v>1027</v>
      </c>
      <c r="AM80" s="36"/>
      <c r="AN80" s="36"/>
      <c r="AO80" s="36"/>
      <c r="AP80" s="36"/>
      <c r="AQ80" s="36"/>
      <c r="AR80" s="36"/>
      <c r="AS80" s="36">
        <v>0</v>
      </c>
      <c r="AT80" s="36">
        <v>0</v>
      </c>
      <c r="AU80" s="36">
        <v>1</v>
      </c>
      <c r="AV80" s="36"/>
      <c r="AW80" s="36"/>
      <c r="AX80" s="36"/>
      <c r="AY80" s="36"/>
      <c r="AZ80" s="36"/>
      <c r="BA80" s="36"/>
      <c r="BB80" s="36">
        <v>44</v>
      </c>
      <c r="BC80" s="36"/>
      <c r="BD80" s="36"/>
      <c r="BE80" s="36"/>
      <c r="BF80" s="36"/>
      <c r="BG80" s="36"/>
      <c r="BH80" s="36"/>
      <c r="BI80" s="36"/>
    </row>
    <row r="81" spans="1:61" ht="12.75" customHeight="1">
      <c r="A81" s="32">
        <v>2140</v>
      </c>
      <c r="B81" s="32">
        <v>2100</v>
      </c>
      <c r="C81" s="41" t="s">
        <v>1025</v>
      </c>
      <c r="D81" s="40" t="s">
        <v>79</v>
      </c>
      <c r="E81" s="37"/>
      <c r="F81" s="39" t="s">
        <v>499</v>
      </c>
      <c r="G81" s="37">
        <v>756</v>
      </c>
      <c r="H81" s="36">
        <v>196</v>
      </c>
      <c r="I81" s="36">
        <v>0</v>
      </c>
      <c r="J81" s="38" t="s">
        <v>1026</v>
      </c>
      <c r="K81" s="38" t="s">
        <v>725</v>
      </c>
      <c r="L81" s="36"/>
      <c r="M81" s="36"/>
      <c r="N81" s="36">
        <v>119</v>
      </c>
      <c r="O81" s="36">
        <v>119</v>
      </c>
      <c r="Q81" s="37"/>
      <c r="R81" s="36"/>
      <c r="S81" s="36">
        <v>0</v>
      </c>
      <c r="T81" s="36">
        <v>0</v>
      </c>
      <c r="U81" s="36">
        <v>0</v>
      </c>
      <c r="V81" s="36">
        <v>0</v>
      </c>
      <c r="W81" s="36">
        <v>0</v>
      </c>
      <c r="X81" s="36">
        <v>0</v>
      </c>
      <c r="Y81" s="36">
        <v>0</v>
      </c>
      <c r="Z81" s="36"/>
      <c r="AA81" s="36"/>
      <c r="AB81" s="36"/>
      <c r="AC81" s="36">
        <v>0</v>
      </c>
      <c r="AD81" s="36">
        <v>0</v>
      </c>
      <c r="AE81" s="36"/>
      <c r="AF81" s="36"/>
      <c r="AG81" s="36" t="s">
        <v>196</v>
      </c>
      <c r="AH81" s="36"/>
      <c r="AI81" s="36"/>
      <c r="AJ81" s="36"/>
      <c r="AK81" s="36" t="s">
        <v>1010</v>
      </c>
      <c r="AL81" s="36" t="s">
        <v>1025</v>
      </c>
      <c r="AM81" s="36"/>
      <c r="AN81" s="36"/>
      <c r="AO81" s="36"/>
      <c r="AP81" s="36"/>
      <c r="AQ81" s="36"/>
      <c r="AR81" s="36"/>
      <c r="AS81" s="36">
        <v>0</v>
      </c>
      <c r="AT81" s="36">
        <v>0</v>
      </c>
      <c r="AU81" s="36">
        <v>1</v>
      </c>
      <c r="AV81" s="36"/>
      <c r="AW81" s="36"/>
      <c r="AX81" s="36"/>
      <c r="AY81" s="36"/>
      <c r="AZ81" s="36"/>
      <c r="BA81" s="36"/>
      <c r="BB81" s="36">
        <v>44</v>
      </c>
      <c r="BC81" s="36"/>
      <c r="BD81" s="36"/>
      <c r="BE81" s="36"/>
      <c r="BF81" s="36"/>
      <c r="BG81" s="36"/>
      <c r="BH81" s="36"/>
      <c r="BI81" s="36"/>
    </row>
    <row r="82" spans="1:61" ht="12.75" customHeight="1">
      <c r="A82" s="32">
        <v>2141</v>
      </c>
      <c r="B82" s="32">
        <v>2100</v>
      </c>
      <c r="C82" s="41" t="s">
        <v>1021</v>
      </c>
      <c r="D82" s="40" t="s">
        <v>79</v>
      </c>
      <c r="E82" s="37"/>
      <c r="F82" s="39" t="s">
        <v>500</v>
      </c>
      <c r="G82" s="37">
        <v>836</v>
      </c>
      <c r="H82" s="36">
        <v>182</v>
      </c>
      <c r="I82" s="36">
        <v>0</v>
      </c>
      <c r="J82" s="38" t="s">
        <v>1024</v>
      </c>
      <c r="K82" s="38" t="s">
        <v>1023</v>
      </c>
      <c r="L82" s="36"/>
      <c r="M82" s="36"/>
      <c r="N82" s="36">
        <v>120</v>
      </c>
      <c r="O82" s="36">
        <v>120</v>
      </c>
      <c r="Q82" s="37"/>
      <c r="R82" s="36" t="s">
        <v>1022</v>
      </c>
      <c r="S82" s="36">
        <v>0</v>
      </c>
      <c r="T82" s="36">
        <v>0</v>
      </c>
      <c r="U82" s="36">
        <v>0</v>
      </c>
      <c r="V82" s="36">
        <v>0</v>
      </c>
      <c r="W82" s="36">
        <v>0</v>
      </c>
      <c r="X82" s="36">
        <v>0</v>
      </c>
      <c r="Y82" s="36">
        <v>0</v>
      </c>
      <c r="Z82" s="36"/>
      <c r="AA82" s="36"/>
      <c r="AB82" s="36"/>
      <c r="AC82" s="36">
        <v>0</v>
      </c>
      <c r="AD82" s="36">
        <v>0</v>
      </c>
      <c r="AE82" s="36"/>
      <c r="AF82" s="36"/>
      <c r="AG82" s="36" t="s">
        <v>196</v>
      </c>
      <c r="AH82" s="36"/>
      <c r="AI82" s="36"/>
      <c r="AJ82" s="36"/>
      <c r="AK82" s="36" t="s">
        <v>1010</v>
      </c>
      <c r="AL82" s="36" t="s">
        <v>1021</v>
      </c>
      <c r="AM82" s="36"/>
      <c r="AN82" s="36"/>
      <c r="AO82" s="36"/>
      <c r="AP82" s="36"/>
      <c r="AQ82" s="36"/>
      <c r="AR82" s="36"/>
      <c r="AS82" s="36">
        <v>0</v>
      </c>
      <c r="AT82" s="36">
        <v>0</v>
      </c>
      <c r="AU82" s="36">
        <v>1</v>
      </c>
      <c r="AV82" s="36"/>
      <c r="AW82" s="36"/>
      <c r="AX82" s="36"/>
      <c r="AY82" s="36"/>
      <c r="AZ82" s="36"/>
      <c r="BA82" s="36"/>
      <c r="BB82" s="36">
        <v>44</v>
      </c>
      <c r="BC82" s="36"/>
      <c r="BD82" s="36"/>
      <c r="BE82" s="36"/>
      <c r="BF82" s="36"/>
      <c r="BG82" s="36"/>
      <c r="BH82" s="36"/>
      <c r="BI82" s="36"/>
    </row>
    <row r="83" spans="1:61" ht="12.75" customHeight="1">
      <c r="A83" s="32">
        <v>2142</v>
      </c>
      <c r="B83" s="32">
        <v>2100</v>
      </c>
      <c r="C83" s="41" t="s">
        <v>1017</v>
      </c>
      <c r="D83" s="40" t="s">
        <v>79</v>
      </c>
      <c r="E83" s="37"/>
      <c r="F83" s="39" t="s">
        <v>501</v>
      </c>
      <c r="G83" s="37">
        <v>898</v>
      </c>
      <c r="H83" s="36">
        <v>154</v>
      </c>
      <c r="I83" s="36">
        <v>0</v>
      </c>
      <c r="J83" s="38" t="s">
        <v>1020</v>
      </c>
      <c r="K83" s="38" t="s">
        <v>1019</v>
      </c>
      <c r="L83" s="36"/>
      <c r="M83" s="36"/>
      <c r="N83" s="36">
        <v>120</v>
      </c>
      <c r="O83" s="36">
        <v>120</v>
      </c>
      <c r="Q83" s="37"/>
      <c r="R83" s="36" t="s">
        <v>1018</v>
      </c>
      <c r="S83" s="36">
        <v>0</v>
      </c>
      <c r="T83" s="36">
        <v>0</v>
      </c>
      <c r="U83" s="36">
        <v>0</v>
      </c>
      <c r="V83" s="36">
        <v>0</v>
      </c>
      <c r="W83" s="36">
        <v>0</v>
      </c>
      <c r="X83" s="36">
        <v>0</v>
      </c>
      <c r="Y83" s="36">
        <v>0</v>
      </c>
      <c r="Z83" s="36"/>
      <c r="AA83" s="36"/>
      <c r="AB83" s="36"/>
      <c r="AC83" s="36">
        <v>0</v>
      </c>
      <c r="AD83" s="36">
        <v>0</v>
      </c>
      <c r="AE83" s="36"/>
      <c r="AF83" s="36"/>
      <c r="AG83" s="36" t="s">
        <v>196</v>
      </c>
      <c r="AH83" s="36"/>
      <c r="AI83" s="36"/>
      <c r="AJ83" s="36"/>
      <c r="AK83" s="36" t="s">
        <v>1010</v>
      </c>
      <c r="AL83" s="36" t="s">
        <v>1017</v>
      </c>
      <c r="AM83" s="36"/>
      <c r="AN83" s="36"/>
      <c r="AO83" s="36"/>
      <c r="AP83" s="36"/>
      <c r="AQ83" s="36"/>
      <c r="AR83" s="36"/>
      <c r="AS83" s="36">
        <v>0</v>
      </c>
      <c r="AT83" s="36">
        <v>0</v>
      </c>
      <c r="AU83" s="36">
        <v>1</v>
      </c>
      <c r="AV83" s="36"/>
      <c r="AW83" s="36"/>
      <c r="AX83" s="36"/>
      <c r="AY83" s="36"/>
      <c r="AZ83" s="36"/>
      <c r="BA83" s="36"/>
      <c r="BB83" s="36">
        <v>44</v>
      </c>
      <c r="BC83" s="36"/>
      <c r="BD83" s="36"/>
      <c r="BE83" s="36"/>
      <c r="BF83" s="36"/>
      <c r="BG83" s="36"/>
      <c r="BH83" s="36"/>
      <c r="BI83" s="36"/>
    </row>
    <row r="84" spans="1:61" ht="12.75" customHeight="1">
      <c r="A84" s="32">
        <v>2143</v>
      </c>
      <c r="B84" s="32">
        <v>2100</v>
      </c>
      <c r="C84" s="41" t="s">
        <v>1014</v>
      </c>
      <c r="D84" s="40" t="s">
        <v>79</v>
      </c>
      <c r="E84" s="37"/>
      <c r="F84" s="39" t="s">
        <v>502</v>
      </c>
      <c r="G84" s="37">
        <v>960</v>
      </c>
      <c r="H84" s="36">
        <v>186</v>
      </c>
      <c r="I84" s="36">
        <v>0</v>
      </c>
      <c r="J84" s="38" t="s">
        <v>1016</v>
      </c>
      <c r="K84" s="38" t="s">
        <v>1015</v>
      </c>
      <c r="L84" s="36"/>
      <c r="M84" s="36"/>
      <c r="N84" s="36">
        <v>121</v>
      </c>
      <c r="O84" s="36">
        <v>121</v>
      </c>
      <c r="Q84" s="37"/>
      <c r="R84" s="36" t="s">
        <v>1011</v>
      </c>
      <c r="S84" s="36">
        <v>0</v>
      </c>
      <c r="T84" s="36">
        <v>0</v>
      </c>
      <c r="U84" s="36">
        <v>0</v>
      </c>
      <c r="V84" s="36">
        <v>0</v>
      </c>
      <c r="W84" s="36">
        <v>0</v>
      </c>
      <c r="X84" s="36">
        <v>0</v>
      </c>
      <c r="Y84" s="36">
        <v>0</v>
      </c>
      <c r="Z84" s="36"/>
      <c r="AA84" s="36"/>
      <c r="AB84" s="36"/>
      <c r="AC84" s="36">
        <v>0</v>
      </c>
      <c r="AD84" s="36">
        <v>0</v>
      </c>
      <c r="AE84" s="36"/>
      <c r="AF84" s="36"/>
      <c r="AG84" s="36" t="s">
        <v>196</v>
      </c>
      <c r="AH84" s="36"/>
      <c r="AI84" s="36"/>
      <c r="AJ84" s="36"/>
      <c r="AK84" s="36" t="s">
        <v>1010</v>
      </c>
      <c r="AL84" s="36" t="s">
        <v>1014</v>
      </c>
      <c r="AM84" s="36"/>
      <c r="AN84" s="36"/>
      <c r="AO84" s="36"/>
      <c r="AP84" s="36"/>
      <c r="AQ84" s="36"/>
      <c r="AR84" s="36"/>
      <c r="AS84" s="36">
        <v>0</v>
      </c>
      <c r="AT84" s="36">
        <v>0</v>
      </c>
      <c r="AU84" s="36">
        <v>1</v>
      </c>
      <c r="AV84" s="36"/>
      <c r="AW84" s="36"/>
      <c r="AX84" s="36"/>
      <c r="AY84" s="36"/>
      <c r="AZ84" s="36"/>
      <c r="BA84" s="36"/>
      <c r="BB84" s="36">
        <v>44</v>
      </c>
      <c r="BC84" s="36"/>
      <c r="BD84" s="36"/>
      <c r="BE84" s="36"/>
      <c r="BF84" s="36"/>
      <c r="BG84" s="36"/>
      <c r="BH84" s="36"/>
      <c r="BI84" s="36"/>
    </row>
    <row r="85" spans="1:61" ht="12.75" customHeight="1">
      <c r="A85" s="32">
        <v>2144</v>
      </c>
      <c r="B85" s="32">
        <v>2100</v>
      </c>
      <c r="C85" s="41" t="s">
        <v>1009</v>
      </c>
      <c r="D85" s="40" t="s">
        <v>79</v>
      </c>
      <c r="E85" s="37"/>
      <c r="F85" s="39" t="s">
        <v>503</v>
      </c>
      <c r="G85" s="37">
        <v>1064</v>
      </c>
      <c r="H85" s="36">
        <v>157</v>
      </c>
      <c r="I85" s="36">
        <v>0</v>
      </c>
      <c r="J85" s="38" t="s">
        <v>1013</v>
      </c>
      <c r="K85" s="38" t="s">
        <v>1012</v>
      </c>
      <c r="L85" s="36"/>
      <c r="M85" s="36"/>
      <c r="N85" s="36">
        <v>120</v>
      </c>
      <c r="O85" s="36">
        <v>120</v>
      </c>
      <c r="Q85" s="37"/>
      <c r="R85" s="36" t="s">
        <v>1011</v>
      </c>
      <c r="S85" s="36">
        <v>0</v>
      </c>
      <c r="T85" s="36">
        <v>0</v>
      </c>
      <c r="U85" s="36">
        <v>0</v>
      </c>
      <c r="V85" s="36">
        <v>0</v>
      </c>
      <c r="W85" s="36">
        <v>0</v>
      </c>
      <c r="X85" s="36">
        <v>0</v>
      </c>
      <c r="Y85" s="36">
        <v>0</v>
      </c>
      <c r="Z85" s="36"/>
      <c r="AA85" s="36"/>
      <c r="AB85" s="36"/>
      <c r="AC85" s="36">
        <v>0</v>
      </c>
      <c r="AD85" s="36">
        <v>0</v>
      </c>
      <c r="AE85" s="36"/>
      <c r="AF85" s="36"/>
      <c r="AG85" s="36" t="s">
        <v>196</v>
      </c>
      <c r="AH85" s="36"/>
      <c r="AI85" s="36"/>
      <c r="AJ85" s="36"/>
      <c r="AK85" s="36" t="s">
        <v>1010</v>
      </c>
      <c r="AL85" s="36" t="s">
        <v>1009</v>
      </c>
      <c r="AM85" s="36"/>
      <c r="AN85" s="36"/>
      <c r="AO85" s="36"/>
      <c r="AP85" s="36"/>
      <c r="AQ85" s="36"/>
      <c r="AR85" s="36"/>
      <c r="AS85" s="36">
        <v>0</v>
      </c>
      <c r="AT85" s="36">
        <v>0</v>
      </c>
      <c r="AU85" s="36">
        <v>1</v>
      </c>
      <c r="AV85" s="36"/>
      <c r="AW85" s="36"/>
      <c r="AX85" s="36"/>
      <c r="AY85" s="36"/>
      <c r="AZ85" s="36"/>
      <c r="BA85" s="36"/>
      <c r="BB85" s="36">
        <v>44</v>
      </c>
      <c r="BC85" s="36"/>
      <c r="BD85" s="36"/>
      <c r="BE85" s="36"/>
      <c r="BF85" s="36"/>
      <c r="BG85" s="36"/>
      <c r="BH85" s="36"/>
      <c r="BI85" s="36"/>
    </row>
  </sheetData>
  <autoFilter ref="A3:BI40" xr:uid="{00000000-0009-0000-0000-000010000000}"/>
  <pageMargins left="0.78749999999999998" right="0.78749999999999998" top="0.78749999999999998" bottom="0.78749999999999998" header="0.511811023622047" footer="0.511811023622047"/>
  <pageSetup orientation="portrait" horizontalDpi="300" verticalDpi="30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ogSht"/>
  <dimension ref="A1:B29"/>
  <sheetViews>
    <sheetView zoomScale="120" zoomScaleNormal="120" workbookViewId="0">
      <selection activeCell="B13" sqref="B13"/>
    </sheetView>
  </sheetViews>
  <sheetFormatPr defaultColWidth="11.53125" defaultRowHeight="14.25"/>
  <cols>
    <col min="1" max="1" width="23.6640625" customWidth="1"/>
    <col min="2" max="2" width="115" customWidth="1"/>
  </cols>
  <sheetData>
    <row r="1" spans="1:2" ht="37.25" customHeight="1"/>
    <row r="2" spans="1:2">
      <c r="A2" s="141">
        <v>46278.504594907405</v>
      </c>
      <c r="B2" t="s">
        <v>248</v>
      </c>
    </row>
    <row r="3" spans="1:2">
      <c r="A3" s="141">
        <v>46278.504594907405</v>
      </c>
      <c r="B3" t="s">
        <v>251</v>
      </c>
    </row>
    <row r="4" spans="1:2">
      <c r="A4" s="141">
        <v>46278.504594907405</v>
      </c>
      <c r="B4" t="s">
        <v>404</v>
      </c>
    </row>
    <row r="5" spans="1:2">
      <c r="A5" s="141">
        <v>46278.504594907405</v>
      </c>
      <c r="B5" t="s">
        <v>1625</v>
      </c>
    </row>
    <row r="6" spans="1:2">
      <c r="A6" s="141">
        <v>46278.504594907405</v>
      </c>
      <c r="B6" t="s">
        <v>406</v>
      </c>
    </row>
    <row r="7" spans="1:2">
      <c r="A7" s="141">
        <v>46278.504594907405</v>
      </c>
      <c r="B7" t="s">
        <v>407</v>
      </c>
    </row>
    <row r="8" spans="1:2">
      <c r="A8" s="141">
        <v>46278.504594907405</v>
      </c>
      <c r="B8" t="s">
        <v>408</v>
      </c>
    </row>
    <row r="9" spans="1:2">
      <c r="A9" s="141">
        <v>46278.504594907405</v>
      </c>
      <c r="B9" t="s">
        <v>2600</v>
      </c>
    </row>
    <row r="10" spans="1:2">
      <c r="A10" s="141">
        <v>46278.504594907405</v>
      </c>
      <c r="B10" t="s">
        <v>410</v>
      </c>
    </row>
    <row r="11" spans="1:2">
      <c r="A11" s="141">
        <v>46278.504594907405</v>
      </c>
      <c r="B11" t="s">
        <v>412</v>
      </c>
    </row>
    <row r="12" spans="1:2">
      <c r="A12" s="141">
        <v>46278.504594907405</v>
      </c>
      <c r="B12" t="s">
        <v>414</v>
      </c>
    </row>
    <row r="13" spans="1:2">
      <c r="A13" s="141">
        <v>46278.504594907405</v>
      </c>
      <c r="B13" t="s">
        <v>459</v>
      </c>
    </row>
    <row r="14" spans="1:2">
      <c r="A14" s="141">
        <v>46278.504594907405</v>
      </c>
      <c r="B14" t="s">
        <v>460</v>
      </c>
    </row>
    <row r="15" spans="1:2">
      <c r="A15" s="141">
        <v>46278.504594907405</v>
      </c>
      <c r="B15" t="s">
        <v>1185</v>
      </c>
    </row>
    <row r="16" spans="1:2">
      <c r="A16" s="141">
        <v>46278.504606481481</v>
      </c>
      <c r="B16" t="s">
        <v>248</v>
      </c>
    </row>
    <row r="17" spans="1:2">
      <c r="A17" s="141">
        <v>46278.504606481481</v>
      </c>
      <c r="B17" t="s">
        <v>251</v>
      </c>
    </row>
    <row r="18" spans="1:2">
      <c r="A18" s="141">
        <v>46278.504606481481</v>
      </c>
      <c r="B18" t="s">
        <v>404</v>
      </c>
    </row>
    <row r="19" spans="1:2">
      <c r="A19" s="141">
        <v>46278.504606481481</v>
      </c>
      <c r="B19" t="s">
        <v>1625</v>
      </c>
    </row>
    <row r="20" spans="1:2">
      <c r="A20" s="141">
        <v>46278.504606481481</v>
      </c>
      <c r="B20" t="s">
        <v>406</v>
      </c>
    </row>
    <row r="21" spans="1:2">
      <c r="A21" s="141">
        <v>46278.504606481481</v>
      </c>
      <c r="B21" t="s">
        <v>407</v>
      </c>
    </row>
    <row r="22" spans="1:2">
      <c r="A22" s="141">
        <v>46278.504606481481</v>
      </c>
      <c r="B22" t="s">
        <v>408</v>
      </c>
    </row>
    <row r="23" spans="1:2">
      <c r="A23" s="141">
        <v>46278.504606481481</v>
      </c>
      <c r="B23" t="s">
        <v>2600</v>
      </c>
    </row>
    <row r="24" spans="1:2">
      <c r="A24" s="141">
        <v>46278.504606481481</v>
      </c>
      <c r="B24" t="s">
        <v>410</v>
      </c>
    </row>
    <row r="25" spans="1:2">
      <c r="A25" s="141">
        <v>46278.504606481481</v>
      </c>
      <c r="B25" t="s">
        <v>412</v>
      </c>
    </row>
    <row r="26" spans="1:2">
      <c r="A26" s="141">
        <v>46278.504606481481</v>
      </c>
      <c r="B26" t="s">
        <v>414</v>
      </c>
    </row>
    <row r="27" spans="1:2">
      <c r="A27" s="141">
        <v>46278.504606481481</v>
      </c>
      <c r="B27" t="s">
        <v>459</v>
      </c>
    </row>
    <row r="28" spans="1:2">
      <c r="A28" s="141">
        <v>46278.504606481481</v>
      </c>
      <c r="B28" t="s">
        <v>460</v>
      </c>
    </row>
    <row r="29" spans="1:2">
      <c r="A29" s="141">
        <v>46278.504606481481</v>
      </c>
      <c r="B29" t="s">
        <v>1185</v>
      </c>
    </row>
  </sheetData>
  <pageMargins left="0.78749999999999998" right="0.78749999999999998" top="1.0249999999999999" bottom="1.0249999999999999" header="0.78749999999999998" footer="0.78749999999999998"/>
  <pageSetup firstPageNumber="0" orientation="portrait" horizontalDpi="300" verticalDpi="300"/>
  <headerFooter>
    <oddHeader>&amp;C&amp;"Arial,Regular"&amp;10&amp;A</oddHeader>
    <oddFooter>&amp;C&amp;"Arial,Regular"&amp;10Page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EMP"/>
  <dimension ref="A1:LQ32"/>
  <sheetViews>
    <sheetView zoomScale="120" zoomScaleNormal="120" workbookViewId="0"/>
  </sheetViews>
  <sheetFormatPr defaultColWidth="11.53125" defaultRowHeight="14.25"/>
  <cols>
    <col min="1" max="2" width="13.33203125" bestFit="1" customWidth="1"/>
    <col min="3" max="3" width="43.6640625" bestFit="1" customWidth="1"/>
    <col min="4" max="4" width="10" bestFit="1" customWidth="1"/>
    <col min="5" max="5" width="10.46484375" bestFit="1" customWidth="1"/>
    <col min="6" max="6" width="16.53125" bestFit="1" customWidth="1"/>
    <col min="7" max="7" width="11.53125" bestFit="1" customWidth="1"/>
    <col min="8" max="8" width="11.86328125" bestFit="1" customWidth="1"/>
    <col min="9" max="9" width="19" bestFit="1" customWidth="1"/>
    <col min="10" max="10" width="12" bestFit="1" customWidth="1"/>
    <col min="11" max="11" width="13.86328125" bestFit="1" customWidth="1"/>
    <col min="12" max="12" width="7.86328125" bestFit="1" customWidth="1"/>
    <col min="13" max="13" width="23" bestFit="1" customWidth="1"/>
    <col min="14" max="14" width="14.46484375" bestFit="1" customWidth="1"/>
    <col min="15" max="15" width="7.6640625" bestFit="1" customWidth="1"/>
    <col min="16" max="16" width="8.86328125" bestFit="1" customWidth="1"/>
    <col min="17" max="17" width="17.33203125" bestFit="1" customWidth="1"/>
    <col min="18" max="18" width="18.6640625" bestFit="1" customWidth="1"/>
    <col min="19" max="20" width="10.46484375" bestFit="1" customWidth="1"/>
    <col min="21" max="21" width="8.33203125" bestFit="1" customWidth="1"/>
    <col min="22" max="22" width="9.46484375" bestFit="1" customWidth="1"/>
    <col min="23" max="23" width="10.53125" bestFit="1" customWidth="1"/>
    <col min="24" max="24" width="20.33203125" bestFit="1" customWidth="1"/>
    <col min="25" max="25" width="13.1328125" bestFit="1" customWidth="1"/>
    <col min="26" max="26" width="6.86328125" bestFit="1" customWidth="1"/>
    <col min="27" max="27" width="8" bestFit="1" customWidth="1"/>
    <col min="28" max="28" width="16.33203125" bestFit="1" customWidth="1"/>
    <col min="29" max="29" width="11.46484375" bestFit="1" customWidth="1"/>
    <col min="30" max="30" width="19.53125" bestFit="1" customWidth="1"/>
    <col min="31" max="31" width="16.86328125" bestFit="1" customWidth="1"/>
    <col min="32" max="32" width="10" bestFit="1" customWidth="1"/>
    <col min="33" max="33" width="8.6640625" bestFit="1" customWidth="1"/>
    <col min="34" max="34" width="11" bestFit="1" customWidth="1"/>
    <col min="35" max="35" width="8.1328125" bestFit="1" customWidth="1"/>
    <col min="36" max="36" width="19.33203125" bestFit="1" customWidth="1"/>
    <col min="37" max="37" width="19.86328125" bestFit="1" customWidth="1"/>
    <col min="38" max="38" width="26.46484375" bestFit="1" customWidth="1"/>
    <col min="39" max="39" width="43.6640625" bestFit="1" customWidth="1"/>
    <col min="40" max="40" width="32" bestFit="1" customWidth="1"/>
    <col min="41" max="41" width="17" bestFit="1" customWidth="1"/>
    <col min="42" max="42" width="16.46484375" bestFit="1" customWidth="1"/>
    <col min="43" max="43" width="16.33203125" bestFit="1" customWidth="1"/>
    <col min="44" max="44" width="7.33203125" bestFit="1" customWidth="1"/>
    <col min="45" max="45" width="11.33203125" bestFit="1" customWidth="1"/>
    <col min="46" max="46" width="9.6640625" bestFit="1" customWidth="1"/>
    <col min="47" max="47" width="18" bestFit="1" customWidth="1"/>
    <col min="48" max="48" width="17.86328125" bestFit="1" customWidth="1"/>
    <col min="49" max="49" width="10.53125" bestFit="1" customWidth="1"/>
    <col min="50" max="50" width="11.46484375" bestFit="1" customWidth="1"/>
    <col min="51" max="51" width="11.53125" bestFit="1" customWidth="1"/>
    <col min="52" max="52" width="7" bestFit="1" customWidth="1"/>
    <col min="53" max="53" width="13.46484375" bestFit="1" customWidth="1"/>
    <col min="54" max="54" width="17" bestFit="1" customWidth="1"/>
    <col min="55" max="56" width="5" bestFit="1" customWidth="1"/>
    <col min="57" max="57" width="6.86328125" bestFit="1" customWidth="1"/>
    <col min="58" max="58" width="12.33203125" bestFit="1" customWidth="1"/>
    <col min="59" max="59" width="16.46484375" bestFit="1" customWidth="1"/>
    <col min="60" max="60" width="7.6640625" bestFit="1" customWidth="1"/>
    <col min="61" max="61" width="8.33203125" bestFit="1" customWidth="1"/>
    <col min="62" max="62" width="7.46484375" bestFit="1" customWidth="1"/>
    <col min="63" max="63" width="9.46484375" bestFit="1" customWidth="1"/>
    <col min="64" max="64" width="8.53125" bestFit="1" customWidth="1"/>
    <col min="65" max="65" width="11.6640625" bestFit="1" customWidth="1"/>
    <col min="66" max="66" width="23.6640625" bestFit="1" customWidth="1"/>
    <col min="67" max="67" width="20" bestFit="1" customWidth="1"/>
    <col min="68" max="86" width="81.1328125" bestFit="1" customWidth="1"/>
    <col min="87" max="87" width="56.53125" bestFit="1" customWidth="1"/>
    <col min="88" max="88" width="12.6640625" bestFit="1" customWidth="1"/>
    <col min="89" max="89" width="24.46484375" bestFit="1" customWidth="1"/>
    <col min="90" max="90" width="10" bestFit="1" customWidth="1"/>
    <col min="91" max="91" width="15.1328125" bestFit="1" customWidth="1"/>
    <col min="92" max="92" width="13.53125" bestFit="1" customWidth="1"/>
    <col min="93" max="93" width="11" bestFit="1" customWidth="1"/>
    <col min="94" max="94" width="16.53125" bestFit="1" customWidth="1"/>
    <col min="95" max="95" width="16.86328125" bestFit="1" customWidth="1"/>
    <col min="96" max="96" width="18.6640625" bestFit="1" customWidth="1"/>
    <col min="97" max="97" width="18.1328125" bestFit="1" customWidth="1"/>
    <col min="98" max="98" width="15.33203125" bestFit="1" customWidth="1"/>
    <col min="99" max="99" width="19.33203125" bestFit="1" customWidth="1"/>
    <col min="100" max="100" width="16.53125" bestFit="1" customWidth="1"/>
    <col min="101" max="101" width="13.33203125" bestFit="1" customWidth="1"/>
    <col min="102" max="102" width="12" bestFit="1" customWidth="1"/>
    <col min="103" max="103" width="9.6640625" bestFit="1" customWidth="1"/>
    <col min="104" max="104" width="10.86328125" bestFit="1" customWidth="1"/>
    <col min="105" max="105" width="14.6640625" bestFit="1" customWidth="1"/>
    <col min="106" max="106" width="19.53125" bestFit="1" customWidth="1"/>
    <col min="107" max="107" width="13.46484375" bestFit="1" customWidth="1"/>
    <col min="108" max="108" width="16.46484375" bestFit="1" customWidth="1"/>
    <col min="109" max="109" width="12.86328125" bestFit="1" customWidth="1"/>
    <col min="110" max="110" width="16" bestFit="1" customWidth="1"/>
    <col min="111" max="111" width="20.1328125" bestFit="1" customWidth="1"/>
    <col min="112" max="112" width="20.86328125" bestFit="1" customWidth="1"/>
    <col min="113" max="113" width="13.86328125" bestFit="1" customWidth="1"/>
    <col min="114" max="114" width="13.46484375" bestFit="1" customWidth="1"/>
    <col min="115" max="115" width="26.46484375" bestFit="1" customWidth="1"/>
    <col min="116" max="116" width="13.33203125" bestFit="1" customWidth="1"/>
    <col min="117" max="117" width="76.33203125" bestFit="1" customWidth="1"/>
    <col min="118" max="118" width="73.1328125" bestFit="1" customWidth="1"/>
    <col min="119" max="119" width="20.6640625" bestFit="1" customWidth="1"/>
    <col min="120" max="120" width="15.6640625" bestFit="1" customWidth="1"/>
    <col min="121" max="121" width="12" bestFit="1" customWidth="1"/>
    <col min="122" max="122" width="10.86328125" bestFit="1" customWidth="1"/>
    <col min="123" max="123" width="17.53125" bestFit="1" customWidth="1"/>
    <col min="124" max="124" width="25.86328125" bestFit="1" customWidth="1"/>
    <col min="125" max="125" width="21" bestFit="1" customWidth="1"/>
    <col min="126" max="126" width="17.33203125" bestFit="1" customWidth="1"/>
    <col min="127" max="127" width="26.86328125" bestFit="1" customWidth="1"/>
    <col min="128" max="133" width="12" bestFit="1" customWidth="1"/>
    <col min="134" max="136" width="13.1328125" bestFit="1" customWidth="1"/>
    <col min="137" max="137" width="26.33203125" bestFit="1" customWidth="1"/>
    <col min="138" max="138" width="26" bestFit="1" customWidth="1"/>
    <col min="139" max="139" width="24" bestFit="1" customWidth="1"/>
    <col min="140" max="140" width="23" bestFit="1" customWidth="1"/>
    <col min="141" max="141" width="26" bestFit="1" customWidth="1"/>
    <col min="142" max="142" width="25.6640625" bestFit="1" customWidth="1"/>
    <col min="143" max="144" width="14.86328125" bestFit="1" customWidth="1"/>
    <col min="145" max="145" width="22.6640625" bestFit="1" customWidth="1"/>
    <col min="146" max="146" width="23.86328125" bestFit="1" customWidth="1"/>
    <col min="147" max="147" width="25.6640625" bestFit="1" customWidth="1"/>
    <col min="148" max="148" width="21.46484375" bestFit="1" customWidth="1"/>
    <col min="149" max="149" width="23.46484375" bestFit="1" customWidth="1"/>
    <col min="150" max="150" width="24.6640625" bestFit="1" customWidth="1"/>
    <col min="151" max="151" width="26.1328125" bestFit="1" customWidth="1"/>
    <col min="152" max="152" width="28.46484375" bestFit="1" customWidth="1"/>
    <col min="153" max="153" width="25.1328125" bestFit="1" customWidth="1"/>
    <col min="154" max="154" width="18.86328125" bestFit="1" customWidth="1"/>
    <col min="155" max="155" width="17" bestFit="1" customWidth="1"/>
    <col min="156" max="156" width="27.33203125" bestFit="1" customWidth="1"/>
    <col min="157" max="157" width="21.6640625" bestFit="1" customWidth="1"/>
    <col min="158" max="158" width="14.86328125" bestFit="1" customWidth="1"/>
    <col min="159" max="159" width="22.33203125" bestFit="1" customWidth="1"/>
    <col min="160" max="160" width="15.86328125" bestFit="1" customWidth="1"/>
    <col min="161" max="161" width="21.6640625" bestFit="1" customWidth="1"/>
    <col min="162" max="162" width="20.86328125" bestFit="1" customWidth="1"/>
    <col min="163" max="163" width="22.6640625" bestFit="1" customWidth="1"/>
    <col min="164" max="164" width="21" bestFit="1" customWidth="1"/>
    <col min="165" max="165" width="17.6640625" bestFit="1" customWidth="1"/>
    <col min="166" max="166" width="24.1328125" bestFit="1" customWidth="1"/>
    <col min="167" max="167" width="11.6640625" bestFit="1" customWidth="1"/>
    <col min="168" max="168" width="22.86328125" bestFit="1" customWidth="1"/>
    <col min="169" max="169" width="21.46484375" bestFit="1" customWidth="1"/>
    <col min="170" max="170" width="19.53125" bestFit="1" customWidth="1"/>
    <col min="171" max="171" width="6.46484375" bestFit="1" customWidth="1"/>
    <col min="172" max="172" width="23.46484375" bestFit="1" customWidth="1"/>
    <col min="173" max="173" width="14.86328125" bestFit="1" customWidth="1"/>
    <col min="174" max="174" width="15.86328125" bestFit="1" customWidth="1"/>
    <col min="175" max="175" width="14.46484375" bestFit="1" customWidth="1"/>
    <col min="176" max="176" width="15.33203125" bestFit="1" customWidth="1"/>
    <col min="177" max="177" width="18.46484375" bestFit="1" customWidth="1"/>
    <col min="178" max="178" width="4" bestFit="1" customWidth="1"/>
  </cols>
  <sheetData>
    <row r="1" spans="1:329">
      <c r="A1" t="s">
        <v>23</v>
      </c>
      <c r="B1" t="s">
        <v>29</v>
      </c>
      <c r="C1" t="s">
        <v>24</v>
      </c>
      <c r="D1" t="s">
        <v>30</v>
      </c>
      <c r="E1" t="s">
        <v>45</v>
      </c>
      <c r="F1" t="s">
        <v>46</v>
      </c>
      <c r="G1" t="s">
        <v>48</v>
      </c>
      <c r="H1" t="s">
        <v>49</v>
      </c>
      <c r="I1" t="s">
        <v>47</v>
      </c>
      <c r="J1" t="s">
        <v>50</v>
      </c>
      <c r="K1" t="s">
        <v>51</v>
      </c>
      <c r="L1" t="s">
        <v>52</v>
      </c>
      <c r="M1" t="s">
        <v>53</v>
      </c>
      <c r="N1" t="s">
        <v>54</v>
      </c>
      <c r="O1" t="s">
        <v>55</v>
      </c>
      <c r="P1" t="s">
        <v>258</v>
      </c>
      <c r="Q1" t="s">
        <v>56</v>
      </c>
      <c r="R1" t="s">
        <v>518</v>
      </c>
      <c r="S1" t="s">
        <v>67</v>
      </c>
      <c r="T1" t="s">
        <v>57</v>
      </c>
      <c r="U1" t="s">
        <v>58</v>
      </c>
      <c r="V1" t="s">
        <v>61</v>
      </c>
      <c r="W1" t="s">
        <v>59</v>
      </c>
      <c r="X1" t="s">
        <v>728</v>
      </c>
      <c r="Y1" t="s">
        <v>44</v>
      </c>
      <c r="Z1" t="s">
        <v>31</v>
      </c>
      <c r="AA1" t="s">
        <v>32</v>
      </c>
      <c r="AB1" t="s">
        <v>33</v>
      </c>
      <c r="AC1" t="s">
        <v>34</v>
      </c>
      <c r="AD1" t="s">
        <v>35</v>
      </c>
      <c r="AE1" t="s">
        <v>28</v>
      </c>
      <c r="AF1" t="s">
        <v>257</v>
      </c>
      <c r="AG1" t="s">
        <v>25</v>
      </c>
      <c r="AH1" t="s">
        <v>69</v>
      </c>
      <c r="AI1" t="s">
        <v>60</v>
      </c>
      <c r="AJ1" t="s">
        <v>62</v>
      </c>
      <c r="AK1" t="s">
        <v>27</v>
      </c>
      <c r="AL1" t="s">
        <v>74</v>
      </c>
      <c r="AM1" t="s">
        <v>73</v>
      </c>
      <c r="AN1" t="s">
        <v>43</v>
      </c>
      <c r="AO1" t="s">
        <v>63</v>
      </c>
      <c r="AP1" t="s">
        <v>64</v>
      </c>
      <c r="AQ1" t="s">
        <v>65</v>
      </c>
      <c r="AR1" t="s">
        <v>66</v>
      </c>
      <c r="AS1" t="s">
        <v>68</v>
      </c>
      <c r="AT1" t="s">
        <v>77</v>
      </c>
      <c r="AU1" t="s">
        <v>78</v>
      </c>
      <c r="AV1" t="s">
        <v>38</v>
      </c>
      <c r="AW1" t="s">
        <v>39</v>
      </c>
      <c r="AX1" t="s">
        <v>40</v>
      </c>
      <c r="AY1" t="s">
        <v>41</v>
      </c>
      <c r="AZ1" t="s">
        <v>36</v>
      </c>
      <c r="BA1" t="s">
        <v>37</v>
      </c>
      <c r="BB1" t="s">
        <v>42</v>
      </c>
      <c r="BC1" t="s">
        <v>1203</v>
      </c>
      <c r="BD1" t="s">
        <v>1202</v>
      </c>
      <c r="BE1" t="s">
        <v>87</v>
      </c>
      <c r="BF1" t="s">
        <v>88</v>
      </c>
      <c r="BG1" t="s">
        <v>105</v>
      </c>
      <c r="BH1" t="s">
        <v>130</v>
      </c>
      <c r="BI1" t="s">
        <v>131</v>
      </c>
      <c r="BJ1" t="s">
        <v>119</v>
      </c>
      <c r="BK1" t="s">
        <v>120</v>
      </c>
      <c r="BL1" t="s">
        <v>126</v>
      </c>
      <c r="BM1" t="s">
        <v>150</v>
      </c>
      <c r="BN1" t="s">
        <v>153</v>
      </c>
      <c r="BO1" t="s">
        <v>147</v>
      </c>
      <c r="BP1" t="s">
        <v>149</v>
      </c>
      <c r="BQ1" t="s">
        <v>151</v>
      </c>
      <c r="BR1" t="s">
        <v>152</v>
      </c>
      <c r="BS1" t="s">
        <v>148</v>
      </c>
      <c r="BT1" t="s">
        <v>111</v>
      </c>
      <c r="BU1" t="s">
        <v>112</v>
      </c>
      <c r="BV1" t="s">
        <v>113</v>
      </c>
      <c r="BW1" t="s">
        <v>114</v>
      </c>
      <c r="BX1" t="s">
        <v>115</v>
      </c>
      <c r="BY1" t="s">
        <v>116</v>
      </c>
      <c r="BZ1" t="s">
        <v>117</v>
      </c>
      <c r="CA1" t="s">
        <v>118</v>
      </c>
      <c r="CB1" t="s">
        <v>121</v>
      </c>
      <c r="CC1" t="s">
        <v>122</v>
      </c>
      <c r="CD1" t="s">
        <v>89</v>
      </c>
      <c r="CE1" t="s">
        <v>123</v>
      </c>
      <c r="CF1" t="s">
        <v>124</v>
      </c>
      <c r="CG1" t="s">
        <v>125</v>
      </c>
      <c r="CH1" t="s">
        <v>127</v>
      </c>
      <c r="CI1" t="s">
        <v>2384</v>
      </c>
      <c r="CJ1" t="s">
        <v>750</v>
      </c>
      <c r="CK1" t="s">
        <v>747</v>
      </c>
      <c r="CL1" t="s">
        <v>106</v>
      </c>
      <c r="CM1" t="s">
        <v>137</v>
      </c>
      <c r="CN1" t="s">
        <v>138</v>
      </c>
      <c r="CO1" t="s">
        <v>136</v>
      </c>
      <c r="CP1" t="s">
        <v>98</v>
      </c>
      <c r="CQ1" t="s">
        <v>99</v>
      </c>
      <c r="CR1" t="s">
        <v>100</v>
      </c>
      <c r="CS1" t="s">
        <v>101</v>
      </c>
      <c r="CT1" t="s">
        <v>97</v>
      </c>
      <c r="CU1" t="s">
        <v>90</v>
      </c>
      <c r="CV1" t="s">
        <v>91</v>
      </c>
      <c r="CW1" t="s">
        <v>135</v>
      </c>
      <c r="CX1" t="s">
        <v>162</v>
      </c>
      <c r="CY1" t="s">
        <v>163</v>
      </c>
      <c r="CZ1" t="s">
        <v>165</v>
      </c>
      <c r="DA1" t="s">
        <v>94</v>
      </c>
      <c r="DB1" t="s">
        <v>95</v>
      </c>
      <c r="DC1" t="s">
        <v>93</v>
      </c>
      <c r="DD1" t="s">
        <v>159</v>
      </c>
      <c r="DE1" t="s">
        <v>102</v>
      </c>
      <c r="DF1" t="s">
        <v>169</v>
      </c>
      <c r="DG1" t="s">
        <v>170</v>
      </c>
      <c r="DH1" t="s">
        <v>154</v>
      </c>
      <c r="DI1" t="s">
        <v>171</v>
      </c>
      <c r="DJ1" t="s">
        <v>172</v>
      </c>
      <c r="DK1" t="s">
        <v>161</v>
      </c>
      <c r="DL1" t="s">
        <v>2414</v>
      </c>
      <c r="DM1" t="s">
        <v>96</v>
      </c>
      <c r="DN1" t="s">
        <v>156</v>
      </c>
      <c r="DO1" t="s">
        <v>145</v>
      </c>
      <c r="DP1" t="s">
        <v>164</v>
      </c>
      <c r="DQ1" t="s">
        <v>168</v>
      </c>
      <c r="DR1" t="s">
        <v>173</v>
      </c>
      <c r="DS1" t="s">
        <v>155</v>
      </c>
      <c r="DT1" t="s">
        <v>157</v>
      </c>
      <c r="DU1" t="s">
        <v>158</v>
      </c>
      <c r="DV1" t="s">
        <v>160</v>
      </c>
      <c r="DW1" t="s">
        <v>166</v>
      </c>
      <c r="DX1" t="s">
        <v>139</v>
      </c>
      <c r="DY1" t="s">
        <v>142</v>
      </c>
      <c r="DZ1" t="s">
        <v>140</v>
      </c>
      <c r="EA1" t="s">
        <v>476</v>
      </c>
      <c r="EB1" t="s">
        <v>141</v>
      </c>
      <c r="EC1" t="s">
        <v>144</v>
      </c>
      <c r="ED1" t="s">
        <v>143</v>
      </c>
      <c r="EE1" t="s">
        <v>1208</v>
      </c>
      <c r="EF1" t="s">
        <v>146</v>
      </c>
      <c r="EG1" t="s">
        <v>167</v>
      </c>
      <c r="EH1" t="s">
        <v>103</v>
      </c>
      <c r="EI1" t="s">
        <v>104</v>
      </c>
      <c r="EJ1" t="s">
        <v>109</v>
      </c>
      <c r="EK1" t="s">
        <v>110</v>
      </c>
      <c r="EL1" t="s">
        <v>2650</v>
      </c>
      <c r="EM1" t="s">
        <v>128</v>
      </c>
      <c r="EN1" t="s">
        <v>129</v>
      </c>
      <c r="EO1" t="s">
        <v>132</v>
      </c>
      <c r="EP1" t="s">
        <v>133</v>
      </c>
      <c r="EQ1" t="s">
        <v>92</v>
      </c>
      <c r="ER1" t="s">
        <v>107</v>
      </c>
      <c r="ES1" t="s">
        <v>108</v>
      </c>
      <c r="ET1" t="s">
        <v>2967</v>
      </c>
      <c r="EU1" t="s">
        <v>3008</v>
      </c>
      <c r="EV1" t="s">
        <v>182</v>
      </c>
      <c r="EW1" t="s">
        <v>756</v>
      </c>
      <c r="EX1" t="s">
        <v>757</v>
      </c>
      <c r="EY1" t="s">
        <v>758</v>
      </c>
      <c r="EZ1" t="s">
        <v>759</v>
      </c>
      <c r="FA1" t="s">
        <v>760</v>
      </c>
      <c r="FB1" t="s">
        <v>761</v>
      </c>
      <c r="FC1" t="s">
        <v>905</v>
      </c>
      <c r="FD1" t="s">
        <v>763</v>
      </c>
      <c r="FE1" t="s">
        <v>764</v>
      </c>
      <c r="FF1" t="s">
        <v>765</v>
      </c>
      <c r="FG1" t="s">
        <v>751</v>
      </c>
      <c r="FH1" t="s">
        <v>752</v>
      </c>
      <c r="FI1" t="s">
        <v>753</v>
      </c>
      <c r="FJ1" t="s">
        <v>754</v>
      </c>
      <c r="FK1" t="s">
        <v>755</v>
      </c>
      <c r="FL1" t="s">
        <v>134</v>
      </c>
      <c r="FM1" t="s">
        <v>174</v>
      </c>
      <c r="FN1" t="s">
        <v>175</v>
      </c>
      <c r="FO1" t="s">
        <v>176</v>
      </c>
      <c r="FP1" t="s">
        <v>177</v>
      </c>
      <c r="FQ1" t="s">
        <v>178</v>
      </c>
      <c r="FR1" t="s">
        <v>179</v>
      </c>
      <c r="FS1" t="s">
        <v>180</v>
      </c>
      <c r="FT1" t="s">
        <v>181</v>
      </c>
      <c r="FU1" t="s">
        <v>1218</v>
      </c>
      <c r="FV1" t="s">
        <v>1209</v>
      </c>
      <c r="FW1" t="s">
        <v>1219</v>
      </c>
      <c r="FX1" t="s">
        <v>1220</v>
      </c>
      <c r="FY1" t="s">
        <v>1253</v>
      </c>
      <c r="FZ1" t="s">
        <v>1739</v>
      </c>
      <c r="GA1" t="s">
        <v>1254</v>
      </c>
      <c r="GB1" t="s">
        <v>1255</v>
      </c>
      <c r="GC1" t="s">
        <v>1256</v>
      </c>
      <c r="GD1" t="s">
        <v>1257</v>
      </c>
      <c r="GE1" t="s">
        <v>1258</v>
      </c>
      <c r="GF1" t="s">
        <v>1259</v>
      </c>
      <c r="GG1" t="s">
        <v>1210</v>
      </c>
      <c r="GH1" t="s">
        <v>1211</v>
      </c>
      <c r="GI1" t="s">
        <v>1212</v>
      </c>
      <c r="GJ1" t="s">
        <v>1213</v>
      </c>
      <c r="GK1" t="s">
        <v>1214</v>
      </c>
      <c r="GL1" t="s">
        <v>1215</v>
      </c>
      <c r="GM1" t="s">
        <v>1216</v>
      </c>
      <c r="GN1" t="s">
        <v>1217</v>
      </c>
      <c r="GO1" t="s">
        <v>1249</v>
      </c>
      <c r="GP1" t="s">
        <v>1207</v>
      </c>
      <c r="GQ1" t="s">
        <v>2258</v>
      </c>
      <c r="GR1" t="s">
        <v>2251</v>
      </c>
      <c r="GS1" t="s">
        <v>2259</v>
      </c>
      <c r="GT1" t="s">
        <v>2260</v>
      </c>
      <c r="GU1" t="s">
        <v>2261</v>
      </c>
      <c r="GV1" t="s">
        <v>2254</v>
      </c>
      <c r="GW1" t="s">
        <v>2255</v>
      </c>
      <c r="GX1" t="s">
        <v>2257</v>
      </c>
      <c r="GY1" t="s">
        <v>2256</v>
      </c>
      <c r="GZ1" t="s">
        <v>2086</v>
      </c>
      <c r="HA1" t="s">
        <v>2094</v>
      </c>
      <c r="HB1" t="s">
        <v>2267</v>
      </c>
      <c r="HC1" t="s">
        <v>2268</v>
      </c>
      <c r="HD1" t="s">
        <v>2238</v>
      </c>
      <c r="HE1" t="s">
        <v>2239</v>
      </c>
      <c r="HF1" t="s">
        <v>2240</v>
      </c>
      <c r="HG1" t="s">
        <v>2241</v>
      </c>
      <c r="HH1" t="s">
        <v>2242</v>
      </c>
      <c r="HI1" t="s">
        <v>2243</v>
      </c>
      <c r="HJ1" t="s">
        <v>2244</v>
      </c>
      <c r="HK1" t="s">
        <v>2245</v>
      </c>
      <c r="HL1" t="s">
        <v>2250</v>
      </c>
      <c r="HM1" t="s">
        <v>2246</v>
      </c>
      <c r="HN1" t="s">
        <v>2247</v>
      </c>
      <c r="HO1" t="s">
        <v>2248</v>
      </c>
      <c r="HP1" t="s">
        <v>2249</v>
      </c>
      <c r="HQ1" t="s">
        <v>2269</v>
      </c>
      <c r="HR1" t="s">
        <v>2262</v>
      </c>
      <c r="HS1" t="s">
        <v>2263</v>
      </c>
      <c r="HT1" t="s">
        <v>2264</v>
      </c>
      <c r="HU1" t="s">
        <v>2265</v>
      </c>
      <c r="HV1" t="s">
        <v>2266</v>
      </c>
      <c r="HW1" t="s">
        <v>2081</v>
      </c>
      <c r="HX1" t="s">
        <v>2082</v>
      </c>
      <c r="HY1" t="s">
        <v>2083</v>
      </c>
      <c r="HZ1" t="s">
        <v>2084</v>
      </c>
      <c r="IA1" t="s">
        <v>2252</v>
      </c>
      <c r="IB1" t="s">
        <v>2253</v>
      </c>
      <c r="IC1" t="s">
        <v>3065</v>
      </c>
      <c r="ID1" t="s">
        <v>746</v>
      </c>
      <c r="IE1" t="s">
        <v>748</v>
      </c>
      <c r="IF1" t="s">
        <v>749</v>
      </c>
      <c r="IG1" t="s">
        <v>1456</v>
      </c>
      <c r="IH1" t="s">
        <v>1448</v>
      </c>
      <c r="II1" t="s">
        <v>1469</v>
      </c>
      <c r="IJ1" t="s">
        <v>1463</v>
      </c>
      <c r="IK1" t="s">
        <v>1401</v>
      </c>
      <c r="IL1" t="s">
        <v>1338</v>
      </c>
      <c r="IM1" t="s">
        <v>1353</v>
      </c>
      <c r="IN1" t="s">
        <v>1485</v>
      </c>
      <c r="IO1" t="s">
        <v>1329</v>
      </c>
      <c r="IP1" t="s">
        <v>1412</v>
      </c>
      <c r="IQ1" t="s">
        <v>1372</v>
      </c>
      <c r="IR1" t="s">
        <v>1394</v>
      </c>
      <c r="IS1" t="s">
        <v>1502</v>
      </c>
      <c r="IT1" t="s">
        <v>1503</v>
      </c>
      <c r="IU1" t="s">
        <v>1504</v>
      </c>
      <c r="IV1" t="s">
        <v>1506</v>
      </c>
      <c r="IW1" t="s">
        <v>1507</v>
      </c>
      <c r="IX1" t="s">
        <v>1508</v>
      </c>
      <c r="IY1" t="s">
        <v>1509</v>
      </c>
      <c r="IZ1" t="s">
        <v>1510</v>
      </c>
      <c r="JA1" t="s">
        <v>1511</v>
      </c>
      <c r="JB1" t="s">
        <v>1512</v>
      </c>
      <c r="JC1" t="s">
        <v>1391</v>
      </c>
      <c r="JD1" t="s">
        <v>1513</v>
      </c>
      <c r="JE1" t="s">
        <v>1514</v>
      </c>
      <c r="JF1" t="s">
        <v>1515</v>
      </c>
      <c r="JG1" t="s">
        <v>1505</v>
      </c>
      <c r="JH1" t="s">
        <v>70</v>
      </c>
      <c r="JI1" t="s">
        <v>1260</v>
      </c>
      <c r="JJ1" t="s">
        <v>1261</v>
      </c>
      <c r="JK1" t="s">
        <v>1262</v>
      </c>
      <c r="JL1" t="s">
        <v>1263</v>
      </c>
      <c r="JM1" t="s">
        <v>1264</v>
      </c>
      <c r="JN1" t="s">
        <v>1265</v>
      </c>
      <c r="JO1" t="s">
        <v>1266</v>
      </c>
      <c r="JP1" t="s">
        <v>1267</v>
      </c>
      <c r="JQ1" t="s">
        <v>1268</v>
      </c>
      <c r="JR1" t="s">
        <v>1269</v>
      </c>
      <c r="JS1" t="s">
        <v>1270</v>
      </c>
      <c r="JT1" t="s">
        <v>1271</v>
      </c>
      <c r="JU1" t="s">
        <v>1272</v>
      </c>
      <c r="JV1" t="s">
        <v>1273</v>
      </c>
      <c r="JW1" t="s">
        <v>1274</v>
      </c>
      <c r="JX1" t="s">
        <v>1275</v>
      </c>
      <c r="JY1" t="s">
        <v>1276</v>
      </c>
      <c r="JZ1" t="s">
        <v>1277</v>
      </c>
      <c r="KA1" t="s">
        <v>1278</v>
      </c>
      <c r="KB1" t="s">
        <v>1279</v>
      </c>
      <c r="KC1" t="s">
        <v>1280</v>
      </c>
      <c r="KD1" t="s">
        <v>1281</v>
      </c>
      <c r="KE1" t="s">
        <v>1282</v>
      </c>
      <c r="KF1" t="s">
        <v>1283</v>
      </c>
      <c r="KG1" t="s">
        <v>1284</v>
      </c>
      <c r="KH1" t="s">
        <v>1285</v>
      </c>
      <c r="KI1" t="s">
        <v>1286</v>
      </c>
      <c r="KJ1" t="s">
        <v>1287</v>
      </c>
      <c r="KK1" t="s">
        <v>1288</v>
      </c>
      <c r="KL1" t="s">
        <v>1289</v>
      </c>
      <c r="KM1" t="s">
        <v>1290</v>
      </c>
      <c r="KN1" t="s">
        <v>3066</v>
      </c>
      <c r="KO1" t="s">
        <v>3067</v>
      </c>
      <c r="KP1" t="s">
        <v>3068</v>
      </c>
      <c r="KQ1" t="s">
        <v>3069</v>
      </c>
      <c r="KR1" t="s">
        <v>3070</v>
      </c>
      <c r="KS1" t="s">
        <v>3071</v>
      </c>
      <c r="KT1" t="s">
        <v>3072</v>
      </c>
      <c r="KU1" t="s">
        <v>3073</v>
      </c>
      <c r="KV1" t="s">
        <v>3074</v>
      </c>
      <c r="KW1" t="s">
        <v>3075</v>
      </c>
      <c r="KX1" t="s">
        <v>3076</v>
      </c>
      <c r="KY1" t="s">
        <v>3077</v>
      </c>
      <c r="KZ1" t="s">
        <v>3078</v>
      </c>
      <c r="LA1" t="s">
        <v>3079</v>
      </c>
      <c r="LB1" t="s">
        <v>3080</v>
      </c>
      <c r="LC1" t="s">
        <v>3081</v>
      </c>
      <c r="LD1" t="s">
        <v>3082</v>
      </c>
      <c r="LE1" t="s">
        <v>3083</v>
      </c>
      <c r="LF1" t="s">
        <v>3084</v>
      </c>
      <c r="LG1" t="s">
        <v>3085</v>
      </c>
      <c r="LH1" t="s">
        <v>3086</v>
      </c>
      <c r="LI1" t="s">
        <v>3087</v>
      </c>
      <c r="LJ1" t="s">
        <v>3088</v>
      </c>
      <c r="LK1" t="s">
        <v>3089</v>
      </c>
      <c r="LL1" t="s">
        <v>1291</v>
      </c>
      <c r="LM1" t="s">
        <v>1292</v>
      </c>
      <c r="LN1" t="s">
        <v>1293</v>
      </c>
      <c r="LO1" t="s">
        <v>1294</v>
      </c>
      <c r="LP1" t="s">
        <v>1295</v>
      </c>
      <c r="LQ1" t="s">
        <v>256</v>
      </c>
    </row>
    <row r="2" spans="1:329">
      <c r="A2" t="s">
        <v>3103</v>
      </c>
      <c r="B2" t="s">
        <v>633</v>
      </c>
      <c r="D2" t="s">
        <v>86</v>
      </c>
      <c r="E2" s="171">
        <v>46293</v>
      </c>
      <c r="F2" s="171">
        <v>46653</v>
      </c>
      <c r="I2">
        <v>250</v>
      </c>
      <c r="J2">
        <v>250</v>
      </c>
      <c r="K2">
        <v>793.5</v>
      </c>
      <c r="L2">
        <v>0</v>
      </c>
      <c r="M2">
        <v>793.5</v>
      </c>
      <c r="N2">
        <v>0</v>
      </c>
      <c r="O2">
        <v>57959.5</v>
      </c>
      <c r="P2">
        <v>0</v>
      </c>
      <c r="Q2">
        <v>57959.5</v>
      </c>
      <c r="Y2" t="s">
        <v>2408</v>
      </c>
      <c r="Z2" t="s">
        <v>633</v>
      </c>
      <c r="AE2" t="s">
        <v>2407</v>
      </c>
      <c r="AH2">
        <v>44</v>
      </c>
      <c r="AK2">
        <v>34</v>
      </c>
      <c r="AL2">
        <v>76</v>
      </c>
      <c r="AM2">
        <v>0</v>
      </c>
      <c r="AV2" t="s">
        <v>3104</v>
      </c>
      <c r="BB2" t="s">
        <v>625</v>
      </c>
      <c r="BE2" t="s">
        <v>3103</v>
      </c>
      <c r="BF2" t="s">
        <v>633</v>
      </c>
      <c r="BM2" t="s">
        <v>202</v>
      </c>
      <c r="BN2" t="s">
        <v>202</v>
      </c>
      <c r="BO2" t="s">
        <v>202</v>
      </c>
      <c r="BP2" t="s">
        <v>202</v>
      </c>
      <c r="BQ2" t="s">
        <v>202</v>
      </c>
      <c r="BR2" t="s">
        <v>202</v>
      </c>
      <c r="BS2" t="s">
        <v>202</v>
      </c>
      <c r="BT2" t="s">
        <v>625</v>
      </c>
      <c r="BU2" t="s">
        <v>716</v>
      </c>
      <c r="BV2" t="s">
        <v>196</v>
      </c>
      <c r="CA2" t="s">
        <v>202</v>
      </c>
      <c r="CB2" t="s">
        <v>209</v>
      </c>
      <c r="CD2" t="s">
        <v>583</v>
      </c>
      <c r="CF2" t="s">
        <v>242</v>
      </c>
      <c r="CG2" t="s">
        <v>2407</v>
      </c>
      <c r="CK2" t="s">
        <v>86</v>
      </c>
      <c r="CM2" t="s">
        <v>3141</v>
      </c>
      <c r="CP2" t="s">
        <v>3143</v>
      </c>
      <c r="CQ2" t="s">
        <v>562</v>
      </c>
      <c r="CR2" t="s">
        <v>568</v>
      </c>
      <c r="CS2" t="s">
        <v>576</v>
      </c>
      <c r="CT2" t="s">
        <v>594</v>
      </c>
      <c r="CX2" t="s">
        <v>621</v>
      </c>
      <c r="DC2" t="s">
        <v>3142</v>
      </c>
      <c r="DE2" t="s">
        <v>620</v>
      </c>
      <c r="DK2" t="s">
        <v>3142</v>
      </c>
      <c r="DM2" t="s">
        <v>3097</v>
      </c>
      <c r="DW2" t="s">
        <v>209</v>
      </c>
      <c r="EH2">
        <v>44</v>
      </c>
      <c r="LQ2">
        <v>29885</v>
      </c>
    </row>
    <row r="3" spans="1:329">
      <c r="A3" t="s">
        <v>3093</v>
      </c>
      <c r="B3" t="s">
        <v>3105</v>
      </c>
      <c r="C3" t="s">
        <v>3103</v>
      </c>
      <c r="D3" t="s">
        <v>79</v>
      </c>
      <c r="E3" s="171">
        <v>46293</v>
      </c>
      <c r="F3" s="171">
        <v>46564</v>
      </c>
      <c r="I3">
        <v>189</v>
      </c>
      <c r="J3">
        <v>189</v>
      </c>
      <c r="K3">
        <v>395.5</v>
      </c>
      <c r="L3">
        <v>0</v>
      </c>
      <c r="M3">
        <v>395.5</v>
      </c>
      <c r="N3">
        <v>0</v>
      </c>
      <c r="O3">
        <v>28962.5</v>
      </c>
      <c r="P3">
        <v>0</v>
      </c>
      <c r="Q3">
        <v>28962.5</v>
      </c>
      <c r="Y3" t="s">
        <v>2408</v>
      </c>
      <c r="Z3" t="s">
        <v>633</v>
      </c>
      <c r="AA3" t="s">
        <v>3105</v>
      </c>
      <c r="AE3" t="s">
        <v>2409</v>
      </c>
      <c r="AH3">
        <v>44</v>
      </c>
      <c r="AK3">
        <v>77</v>
      </c>
      <c r="AL3">
        <v>119</v>
      </c>
      <c r="AM3">
        <v>0</v>
      </c>
      <c r="AV3" t="s">
        <v>3104</v>
      </c>
      <c r="BB3" t="s">
        <v>625</v>
      </c>
      <c r="BE3" t="s">
        <v>3093</v>
      </c>
      <c r="BF3" t="s">
        <v>3105</v>
      </c>
      <c r="BM3" t="s">
        <v>202</v>
      </c>
      <c r="BN3" t="s">
        <v>202</v>
      </c>
      <c r="BO3" t="s">
        <v>202</v>
      </c>
      <c r="BP3" t="s">
        <v>202</v>
      </c>
      <c r="BQ3" t="s">
        <v>202</v>
      </c>
      <c r="BR3" t="s">
        <v>202</v>
      </c>
      <c r="BS3" t="s">
        <v>202</v>
      </c>
      <c r="BT3" t="s">
        <v>625</v>
      </c>
      <c r="BU3" t="s">
        <v>716</v>
      </c>
      <c r="BV3" t="s">
        <v>196</v>
      </c>
      <c r="CA3" t="s">
        <v>202</v>
      </c>
      <c r="CB3" t="s">
        <v>3145</v>
      </c>
      <c r="CD3" t="s">
        <v>583</v>
      </c>
      <c r="CF3" t="s">
        <v>242</v>
      </c>
      <c r="CG3" t="s">
        <v>2409</v>
      </c>
      <c r="CK3" t="s">
        <v>79</v>
      </c>
      <c r="CM3" t="s">
        <v>3064</v>
      </c>
      <c r="CN3" t="s">
        <v>3144</v>
      </c>
      <c r="CO3" t="s">
        <v>3148</v>
      </c>
      <c r="CP3" t="s">
        <v>3143</v>
      </c>
      <c r="CQ3" t="s">
        <v>562</v>
      </c>
      <c r="CR3" t="s">
        <v>568</v>
      </c>
      <c r="CS3" t="s">
        <v>576</v>
      </c>
      <c r="CT3" t="s">
        <v>3146</v>
      </c>
      <c r="CX3" t="s">
        <v>621</v>
      </c>
      <c r="CZ3" t="s">
        <v>506</v>
      </c>
      <c r="DA3" t="s">
        <v>3147</v>
      </c>
      <c r="DC3" t="s">
        <v>3142</v>
      </c>
      <c r="DD3" t="s">
        <v>2158</v>
      </c>
      <c r="DE3" t="s">
        <v>620</v>
      </c>
      <c r="DK3" t="s">
        <v>3142</v>
      </c>
      <c r="DM3" t="s">
        <v>3097</v>
      </c>
      <c r="DW3" t="s">
        <v>209</v>
      </c>
      <c r="EH3">
        <v>44</v>
      </c>
      <c r="ES3">
        <v>710</v>
      </c>
      <c r="ID3" t="s">
        <v>3103</v>
      </c>
      <c r="LQ3">
        <v>29886</v>
      </c>
    </row>
    <row r="4" spans="1:329">
      <c r="A4" t="s">
        <v>3094</v>
      </c>
      <c r="B4" t="s">
        <v>1685</v>
      </c>
      <c r="C4" t="s">
        <v>3093</v>
      </c>
      <c r="D4" t="s">
        <v>83</v>
      </c>
      <c r="E4" s="171">
        <v>46293</v>
      </c>
      <c r="F4" s="171">
        <v>46382</v>
      </c>
      <c r="I4">
        <v>63</v>
      </c>
      <c r="J4">
        <v>63</v>
      </c>
      <c r="K4">
        <v>64</v>
      </c>
      <c r="L4">
        <v>0</v>
      </c>
      <c r="M4">
        <v>64</v>
      </c>
      <c r="N4">
        <v>0</v>
      </c>
      <c r="O4">
        <v>4100</v>
      </c>
      <c r="P4">
        <v>0</v>
      </c>
      <c r="Q4">
        <v>4100</v>
      </c>
      <c r="Y4" t="s">
        <v>2408</v>
      </c>
      <c r="Z4" t="s">
        <v>633</v>
      </c>
      <c r="AA4" t="s">
        <v>3105</v>
      </c>
      <c r="AB4" t="s">
        <v>1685</v>
      </c>
      <c r="AE4" t="s">
        <v>744</v>
      </c>
      <c r="AH4">
        <v>44</v>
      </c>
      <c r="AK4">
        <v>117</v>
      </c>
      <c r="AL4">
        <v>159</v>
      </c>
      <c r="AM4">
        <v>0</v>
      </c>
      <c r="BB4" t="s">
        <v>625</v>
      </c>
      <c r="BE4" t="s">
        <v>3094</v>
      </c>
      <c r="BF4" t="s">
        <v>1685</v>
      </c>
      <c r="BM4" t="s">
        <v>202</v>
      </c>
      <c r="BN4" t="s">
        <v>202</v>
      </c>
      <c r="BO4" t="s">
        <v>202</v>
      </c>
      <c r="BP4" t="s">
        <v>202</v>
      </c>
      <c r="BQ4" t="s">
        <v>202</v>
      </c>
      <c r="BR4" t="s">
        <v>202</v>
      </c>
      <c r="BS4" t="s">
        <v>202</v>
      </c>
      <c r="BT4" t="s">
        <v>625</v>
      </c>
      <c r="BU4" t="s">
        <v>716</v>
      </c>
      <c r="BV4" t="s">
        <v>196</v>
      </c>
      <c r="CA4" t="s">
        <v>202</v>
      </c>
      <c r="CB4" t="s">
        <v>3145</v>
      </c>
      <c r="CD4" t="s">
        <v>583</v>
      </c>
      <c r="CF4" t="s">
        <v>242</v>
      </c>
      <c r="CG4" t="s">
        <v>744</v>
      </c>
      <c r="CK4" t="s">
        <v>83</v>
      </c>
      <c r="CM4" t="s">
        <v>3096</v>
      </c>
      <c r="CN4" t="s">
        <v>3144</v>
      </c>
      <c r="CO4" t="s">
        <v>3148</v>
      </c>
      <c r="CP4" t="s">
        <v>3143</v>
      </c>
      <c r="CQ4" t="s">
        <v>562</v>
      </c>
      <c r="CR4" t="s">
        <v>568</v>
      </c>
      <c r="CS4" t="s">
        <v>576</v>
      </c>
      <c r="CT4" t="s">
        <v>3150</v>
      </c>
      <c r="CX4" t="s">
        <v>621</v>
      </c>
      <c r="CZ4" t="s">
        <v>3149</v>
      </c>
      <c r="DA4" t="s">
        <v>3147</v>
      </c>
      <c r="DC4" t="s">
        <v>3142</v>
      </c>
      <c r="DD4" t="s">
        <v>2156</v>
      </c>
      <c r="DE4" t="s">
        <v>620</v>
      </c>
      <c r="DK4" t="s">
        <v>3142</v>
      </c>
      <c r="DM4" t="s">
        <v>3095</v>
      </c>
      <c r="DW4" t="s">
        <v>209</v>
      </c>
      <c r="EH4">
        <v>44</v>
      </c>
      <c r="ID4" t="s">
        <v>3093</v>
      </c>
      <c r="LQ4">
        <v>29887</v>
      </c>
    </row>
    <row r="5" spans="1:329">
      <c r="A5">
        <v>3773</v>
      </c>
      <c r="B5" t="s">
        <v>3106</v>
      </c>
      <c r="C5" t="s">
        <v>3094</v>
      </c>
      <c r="D5" t="s">
        <v>84</v>
      </c>
      <c r="E5" s="171">
        <v>46293</v>
      </c>
      <c r="F5" s="171">
        <v>46305</v>
      </c>
      <c r="I5">
        <v>10</v>
      </c>
      <c r="J5">
        <v>10</v>
      </c>
      <c r="K5">
        <v>20</v>
      </c>
      <c r="L5">
        <v>0</v>
      </c>
      <c r="M5">
        <v>20</v>
      </c>
      <c r="N5">
        <v>0</v>
      </c>
      <c r="O5">
        <v>1500</v>
      </c>
      <c r="P5">
        <v>0</v>
      </c>
      <c r="Q5">
        <v>1500</v>
      </c>
      <c r="T5">
        <v>8</v>
      </c>
      <c r="U5">
        <v>50</v>
      </c>
      <c r="W5">
        <v>100</v>
      </c>
      <c r="Y5" t="s">
        <v>2408</v>
      </c>
      <c r="Z5" t="s">
        <v>633</v>
      </c>
      <c r="AA5" t="s">
        <v>3105</v>
      </c>
      <c r="AB5" t="s">
        <v>1685</v>
      </c>
      <c r="AC5" t="s">
        <v>3106</v>
      </c>
      <c r="AE5" t="s">
        <v>745</v>
      </c>
      <c r="AF5" t="s">
        <v>84</v>
      </c>
      <c r="AH5">
        <v>44</v>
      </c>
      <c r="AI5">
        <v>40</v>
      </c>
      <c r="AK5">
        <v>155</v>
      </c>
      <c r="AL5">
        <v>197</v>
      </c>
      <c r="AM5">
        <v>0</v>
      </c>
      <c r="AQ5">
        <v>0</v>
      </c>
      <c r="AR5">
        <v>0</v>
      </c>
      <c r="AS5">
        <v>1</v>
      </c>
      <c r="AZ5" t="s">
        <v>493</v>
      </c>
      <c r="BA5" t="s">
        <v>196</v>
      </c>
      <c r="BB5" t="s">
        <v>625</v>
      </c>
      <c r="BE5">
        <v>3773</v>
      </c>
      <c r="BF5" t="s">
        <v>3106</v>
      </c>
      <c r="BM5" t="s">
        <v>202</v>
      </c>
      <c r="BN5" t="s">
        <v>202</v>
      </c>
      <c r="BO5" t="s">
        <v>202</v>
      </c>
      <c r="BP5" t="s">
        <v>202</v>
      </c>
      <c r="BQ5" t="s">
        <v>202</v>
      </c>
      <c r="BR5" t="s">
        <v>202</v>
      </c>
      <c r="BS5" t="s">
        <v>202</v>
      </c>
      <c r="BT5" t="s">
        <v>625</v>
      </c>
      <c r="BU5" t="s">
        <v>716</v>
      </c>
      <c r="BV5" t="s">
        <v>196</v>
      </c>
      <c r="CA5" t="s">
        <v>554</v>
      </c>
      <c r="CD5" t="s">
        <v>583</v>
      </c>
      <c r="CF5" t="s">
        <v>242</v>
      </c>
      <c r="CG5" t="s">
        <v>745</v>
      </c>
      <c r="CJ5" t="s">
        <v>554</v>
      </c>
      <c r="CK5" t="s">
        <v>84</v>
      </c>
      <c r="CP5" t="s">
        <v>3143</v>
      </c>
      <c r="CQ5" t="s">
        <v>562</v>
      </c>
      <c r="CR5" t="s">
        <v>568</v>
      </c>
      <c r="CS5" t="s">
        <v>576</v>
      </c>
      <c r="CT5" t="s">
        <v>3151</v>
      </c>
      <c r="CX5" t="s">
        <v>621</v>
      </c>
      <c r="DE5" t="s">
        <v>620</v>
      </c>
      <c r="DK5" t="s">
        <v>3142</v>
      </c>
      <c r="DM5" t="s">
        <v>3095</v>
      </c>
      <c r="ID5" t="s">
        <v>3094</v>
      </c>
      <c r="IE5" t="s">
        <v>84</v>
      </c>
      <c r="LQ5">
        <v>29888</v>
      </c>
    </row>
    <row r="6" spans="1:329">
      <c r="A6" t="s">
        <v>3107</v>
      </c>
      <c r="B6" t="s">
        <v>3108</v>
      </c>
      <c r="C6" t="s">
        <v>3093</v>
      </c>
      <c r="D6" t="s">
        <v>83</v>
      </c>
      <c r="E6" s="171">
        <v>46391</v>
      </c>
      <c r="F6" s="171">
        <v>46450</v>
      </c>
      <c r="I6">
        <v>44</v>
      </c>
      <c r="J6">
        <v>44</v>
      </c>
      <c r="K6">
        <v>146.6</v>
      </c>
      <c r="L6">
        <v>0</v>
      </c>
      <c r="M6">
        <v>146.6</v>
      </c>
      <c r="N6">
        <v>0</v>
      </c>
      <c r="O6">
        <v>10996.9</v>
      </c>
      <c r="P6">
        <v>0</v>
      </c>
      <c r="Q6">
        <v>10996.9</v>
      </c>
      <c r="Y6" t="s">
        <v>2408</v>
      </c>
      <c r="Z6" t="s">
        <v>633</v>
      </c>
      <c r="AA6" t="s">
        <v>3105</v>
      </c>
      <c r="AB6" t="s">
        <v>3108</v>
      </c>
      <c r="AE6" t="s">
        <v>1117</v>
      </c>
      <c r="AH6">
        <v>44</v>
      </c>
      <c r="AK6">
        <v>117</v>
      </c>
      <c r="AL6">
        <v>159</v>
      </c>
      <c r="AM6">
        <v>0</v>
      </c>
      <c r="BB6" t="s">
        <v>625</v>
      </c>
      <c r="BE6" t="s">
        <v>3107</v>
      </c>
      <c r="BF6" t="s">
        <v>3108</v>
      </c>
      <c r="BM6" t="s">
        <v>202</v>
      </c>
      <c r="BN6" t="s">
        <v>202</v>
      </c>
      <c r="BO6" t="s">
        <v>202</v>
      </c>
      <c r="BP6" t="s">
        <v>202</v>
      </c>
      <c r="BQ6" t="s">
        <v>202</v>
      </c>
      <c r="BR6" t="s">
        <v>202</v>
      </c>
      <c r="BS6" t="s">
        <v>202</v>
      </c>
      <c r="BT6" t="s">
        <v>625</v>
      </c>
      <c r="BU6" t="s">
        <v>716</v>
      </c>
      <c r="BV6" t="s">
        <v>196</v>
      </c>
      <c r="CA6" t="s">
        <v>202</v>
      </c>
      <c r="CD6" t="s">
        <v>583</v>
      </c>
      <c r="CF6" t="s">
        <v>242</v>
      </c>
      <c r="CG6" t="s">
        <v>1117</v>
      </c>
      <c r="CK6" t="s">
        <v>83</v>
      </c>
      <c r="CM6" t="s">
        <v>3152</v>
      </c>
      <c r="CO6" t="s">
        <v>3154</v>
      </c>
      <c r="CP6" t="s">
        <v>3143</v>
      </c>
      <c r="CQ6" t="s">
        <v>562</v>
      </c>
      <c r="CR6" t="s">
        <v>568</v>
      </c>
      <c r="CS6" t="s">
        <v>576</v>
      </c>
      <c r="CT6" t="s">
        <v>3153</v>
      </c>
      <c r="CX6" t="s">
        <v>621</v>
      </c>
      <c r="CZ6" t="s">
        <v>3149</v>
      </c>
      <c r="DA6" t="s">
        <v>3147</v>
      </c>
      <c r="DC6" t="s">
        <v>3142</v>
      </c>
      <c r="DD6" t="s">
        <v>2156</v>
      </c>
      <c r="DE6" t="s">
        <v>620</v>
      </c>
      <c r="DK6" t="s">
        <v>3142</v>
      </c>
      <c r="DM6" t="s">
        <v>3095</v>
      </c>
      <c r="DW6" t="s">
        <v>209</v>
      </c>
      <c r="EH6">
        <v>44</v>
      </c>
      <c r="ID6" t="s">
        <v>3093</v>
      </c>
      <c r="LQ6">
        <v>29889</v>
      </c>
    </row>
    <row r="7" spans="1:329">
      <c r="A7">
        <v>3954</v>
      </c>
      <c r="B7" t="s">
        <v>3109</v>
      </c>
      <c r="C7" t="s">
        <v>3107</v>
      </c>
      <c r="D7" t="s">
        <v>84</v>
      </c>
      <c r="E7" s="171">
        <v>46391</v>
      </c>
      <c r="F7" s="171">
        <v>46424</v>
      </c>
      <c r="I7">
        <v>25</v>
      </c>
      <c r="J7">
        <v>25</v>
      </c>
      <c r="K7">
        <v>146.6</v>
      </c>
      <c r="L7">
        <v>0</v>
      </c>
      <c r="M7">
        <v>146.6</v>
      </c>
      <c r="N7">
        <v>0</v>
      </c>
      <c r="O7">
        <v>10996.9</v>
      </c>
      <c r="P7">
        <v>0</v>
      </c>
      <c r="Q7">
        <v>10996.9</v>
      </c>
      <c r="T7">
        <v>9</v>
      </c>
      <c r="U7">
        <v>51</v>
      </c>
      <c r="W7">
        <v>101</v>
      </c>
      <c r="Y7" t="s">
        <v>2408</v>
      </c>
      <c r="Z7" t="s">
        <v>633</v>
      </c>
      <c r="AA7" t="s">
        <v>3105</v>
      </c>
      <c r="AB7" t="s">
        <v>3108</v>
      </c>
      <c r="AC7" t="s">
        <v>3109</v>
      </c>
      <c r="AE7" t="s">
        <v>1116</v>
      </c>
      <c r="AF7" t="s">
        <v>485</v>
      </c>
      <c r="AH7">
        <v>44</v>
      </c>
      <c r="AI7">
        <v>41</v>
      </c>
      <c r="AK7">
        <v>155</v>
      </c>
      <c r="AL7">
        <v>197</v>
      </c>
      <c r="AM7">
        <v>0</v>
      </c>
      <c r="AQ7">
        <v>0</v>
      </c>
      <c r="AR7">
        <v>0</v>
      </c>
      <c r="AS7">
        <v>1</v>
      </c>
      <c r="AZ7" t="s">
        <v>493</v>
      </c>
      <c r="BA7" t="s">
        <v>196</v>
      </c>
      <c r="BB7" t="s">
        <v>625</v>
      </c>
      <c r="BE7">
        <v>3954</v>
      </c>
      <c r="BF7" t="s">
        <v>3109</v>
      </c>
      <c r="BM7" t="s">
        <v>202</v>
      </c>
      <c r="BN7" t="s">
        <v>202</v>
      </c>
      <c r="BO7" t="s">
        <v>202</v>
      </c>
      <c r="BP7" t="s">
        <v>202</v>
      </c>
      <c r="BQ7" t="s">
        <v>202</v>
      </c>
      <c r="BR7" t="s">
        <v>202</v>
      </c>
      <c r="BS7" t="s">
        <v>202</v>
      </c>
      <c r="BT7" t="s">
        <v>625</v>
      </c>
      <c r="BU7" t="s">
        <v>716</v>
      </c>
      <c r="BV7" t="s">
        <v>196</v>
      </c>
      <c r="CA7" t="s">
        <v>554</v>
      </c>
      <c r="CD7" t="s">
        <v>583</v>
      </c>
      <c r="CF7" t="s">
        <v>242</v>
      </c>
      <c r="CG7" t="s">
        <v>1116</v>
      </c>
      <c r="CJ7" t="s">
        <v>554</v>
      </c>
      <c r="CK7" t="s">
        <v>84</v>
      </c>
      <c r="CP7" t="s">
        <v>3143</v>
      </c>
      <c r="CQ7" t="s">
        <v>562</v>
      </c>
      <c r="CR7" t="s">
        <v>568</v>
      </c>
      <c r="CS7" t="s">
        <v>576</v>
      </c>
      <c r="CT7" t="s">
        <v>3155</v>
      </c>
      <c r="CX7" t="s">
        <v>621</v>
      </c>
      <c r="DE7" t="s">
        <v>620</v>
      </c>
      <c r="DK7" t="s">
        <v>3142</v>
      </c>
      <c r="DM7" t="s">
        <v>3095</v>
      </c>
      <c r="ID7" t="s">
        <v>3107</v>
      </c>
      <c r="IE7" t="s">
        <v>485</v>
      </c>
      <c r="LQ7">
        <v>29890</v>
      </c>
    </row>
    <row r="8" spans="1:329">
      <c r="A8" t="s">
        <v>3092</v>
      </c>
      <c r="B8" t="s">
        <v>1638</v>
      </c>
      <c r="C8" t="s">
        <v>3093</v>
      </c>
      <c r="D8" t="s">
        <v>83</v>
      </c>
      <c r="E8" s="171">
        <v>46455</v>
      </c>
      <c r="F8" s="171">
        <v>46538</v>
      </c>
      <c r="I8">
        <v>57</v>
      </c>
      <c r="J8">
        <v>57</v>
      </c>
      <c r="K8">
        <v>184.9</v>
      </c>
      <c r="L8">
        <v>0</v>
      </c>
      <c r="M8">
        <v>184.9</v>
      </c>
      <c r="N8">
        <v>0</v>
      </c>
      <c r="O8">
        <v>13865.6</v>
      </c>
      <c r="P8">
        <v>0</v>
      </c>
      <c r="Q8">
        <v>13865.6</v>
      </c>
      <c r="Y8" t="s">
        <v>2408</v>
      </c>
      <c r="Z8" t="s">
        <v>633</v>
      </c>
      <c r="AA8" t="s">
        <v>3105</v>
      </c>
      <c r="AB8" t="s">
        <v>1638</v>
      </c>
      <c r="AE8" t="s">
        <v>1098</v>
      </c>
      <c r="AH8">
        <v>44</v>
      </c>
      <c r="AK8">
        <v>115</v>
      </c>
      <c r="AL8">
        <v>157</v>
      </c>
      <c r="AM8">
        <v>0</v>
      </c>
      <c r="BB8" t="s">
        <v>625</v>
      </c>
      <c r="BE8" t="s">
        <v>3092</v>
      </c>
      <c r="BF8" t="s">
        <v>1638</v>
      </c>
      <c r="BM8" t="s">
        <v>202</v>
      </c>
      <c r="BN8" t="s">
        <v>202</v>
      </c>
      <c r="BO8" t="s">
        <v>202</v>
      </c>
      <c r="BP8" t="s">
        <v>202</v>
      </c>
      <c r="BQ8" t="s">
        <v>202</v>
      </c>
      <c r="BR8" t="s">
        <v>202</v>
      </c>
      <c r="BS8" t="s">
        <v>202</v>
      </c>
      <c r="BT8" t="s">
        <v>625</v>
      </c>
      <c r="BU8" t="s">
        <v>716</v>
      </c>
      <c r="BV8" t="s">
        <v>196</v>
      </c>
      <c r="CA8" t="s">
        <v>202</v>
      </c>
      <c r="CD8" t="s">
        <v>583</v>
      </c>
      <c r="CF8" t="s">
        <v>242</v>
      </c>
      <c r="CG8" t="s">
        <v>1098</v>
      </c>
      <c r="CK8" t="s">
        <v>83</v>
      </c>
      <c r="CM8" t="s">
        <v>3156</v>
      </c>
      <c r="CO8" t="s">
        <v>3159</v>
      </c>
      <c r="CP8" t="s">
        <v>3143</v>
      </c>
      <c r="CQ8" t="s">
        <v>562</v>
      </c>
      <c r="CR8" t="s">
        <v>568</v>
      </c>
      <c r="CS8" t="s">
        <v>576</v>
      </c>
      <c r="CT8" t="s">
        <v>3157</v>
      </c>
      <c r="CX8" t="s">
        <v>621</v>
      </c>
      <c r="CZ8" t="s">
        <v>506</v>
      </c>
      <c r="DA8" t="s">
        <v>3158</v>
      </c>
      <c r="DC8" t="s">
        <v>3142</v>
      </c>
      <c r="DD8" t="s">
        <v>2158</v>
      </c>
      <c r="DE8" t="s">
        <v>620</v>
      </c>
      <c r="DK8" t="s">
        <v>3142</v>
      </c>
      <c r="DM8" t="s">
        <v>3095</v>
      </c>
      <c r="DW8" t="s">
        <v>209</v>
      </c>
      <c r="EH8">
        <v>44</v>
      </c>
      <c r="ID8" t="s">
        <v>3093</v>
      </c>
      <c r="LQ8">
        <v>29891</v>
      </c>
    </row>
    <row r="9" spans="1:329">
      <c r="A9">
        <v>3955</v>
      </c>
      <c r="B9" t="s">
        <v>3110</v>
      </c>
      <c r="C9" t="s">
        <v>3092</v>
      </c>
      <c r="D9" t="s">
        <v>84</v>
      </c>
      <c r="E9" s="171">
        <v>46455</v>
      </c>
      <c r="F9" s="171">
        <v>46497</v>
      </c>
      <c r="I9">
        <v>29</v>
      </c>
      <c r="J9">
        <v>29</v>
      </c>
      <c r="K9">
        <v>184.9</v>
      </c>
      <c r="L9">
        <v>0</v>
      </c>
      <c r="M9">
        <v>184.9</v>
      </c>
      <c r="N9">
        <v>0</v>
      </c>
      <c r="O9">
        <v>13865.6</v>
      </c>
      <c r="P9">
        <v>0</v>
      </c>
      <c r="Q9">
        <v>13865.6</v>
      </c>
      <c r="T9">
        <v>10</v>
      </c>
      <c r="U9">
        <v>52</v>
      </c>
      <c r="W9">
        <v>102</v>
      </c>
      <c r="Y9" t="s">
        <v>2408</v>
      </c>
      <c r="Z9" t="s">
        <v>633</v>
      </c>
      <c r="AA9" t="s">
        <v>3105</v>
      </c>
      <c r="AB9" t="s">
        <v>1638</v>
      </c>
      <c r="AC9" t="s">
        <v>3110</v>
      </c>
      <c r="AE9" t="s">
        <v>1095</v>
      </c>
      <c r="AF9" t="s">
        <v>84</v>
      </c>
      <c r="AH9">
        <v>44</v>
      </c>
      <c r="AI9">
        <v>42</v>
      </c>
      <c r="AK9">
        <v>153</v>
      </c>
      <c r="AL9">
        <v>195</v>
      </c>
      <c r="AM9">
        <v>0</v>
      </c>
      <c r="AQ9">
        <v>0</v>
      </c>
      <c r="AR9">
        <v>0</v>
      </c>
      <c r="AS9">
        <v>1</v>
      </c>
      <c r="AZ9" t="s">
        <v>493</v>
      </c>
      <c r="BA9" t="s">
        <v>196</v>
      </c>
      <c r="BB9" t="s">
        <v>625</v>
      </c>
      <c r="BE9">
        <v>3955</v>
      </c>
      <c r="BF9" t="s">
        <v>3110</v>
      </c>
      <c r="BM9" t="s">
        <v>202</v>
      </c>
      <c r="BN9" t="s">
        <v>202</v>
      </c>
      <c r="BO9" t="s">
        <v>202</v>
      </c>
      <c r="BP9" t="s">
        <v>202</v>
      </c>
      <c r="BQ9" t="s">
        <v>202</v>
      </c>
      <c r="BR9" t="s">
        <v>202</v>
      </c>
      <c r="BS9" t="s">
        <v>202</v>
      </c>
      <c r="BT9" t="s">
        <v>625</v>
      </c>
      <c r="BU9" t="s">
        <v>716</v>
      </c>
      <c r="BV9" t="s">
        <v>196</v>
      </c>
      <c r="CA9" t="s">
        <v>554</v>
      </c>
      <c r="CD9" t="s">
        <v>583</v>
      </c>
      <c r="CF9" t="s">
        <v>242</v>
      </c>
      <c r="CG9" t="s">
        <v>1095</v>
      </c>
      <c r="CJ9" t="s">
        <v>554</v>
      </c>
      <c r="CK9" t="s">
        <v>84</v>
      </c>
      <c r="CP9" t="s">
        <v>3143</v>
      </c>
      <c r="CQ9" t="s">
        <v>562</v>
      </c>
      <c r="CR9" t="s">
        <v>568</v>
      </c>
      <c r="CS9" t="s">
        <v>576</v>
      </c>
      <c r="CT9" t="s">
        <v>3160</v>
      </c>
      <c r="CX9" t="s">
        <v>621</v>
      </c>
      <c r="DE9" t="s">
        <v>620</v>
      </c>
      <c r="DK9" t="s">
        <v>3142</v>
      </c>
      <c r="DM9" t="s">
        <v>3095</v>
      </c>
      <c r="ID9" t="s">
        <v>3092</v>
      </c>
      <c r="IE9" t="s">
        <v>84</v>
      </c>
      <c r="LQ9">
        <v>29892</v>
      </c>
    </row>
    <row r="10" spans="1:329">
      <c r="A10">
        <v>11100</v>
      </c>
      <c r="B10" t="s">
        <v>816</v>
      </c>
      <c r="C10">
        <v>3955</v>
      </c>
      <c r="D10" t="s">
        <v>85</v>
      </c>
      <c r="E10" s="171">
        <v>46455</v>
      </c>
      <c r="F10" s="171">
        <v>46497</v>
      </c>
      <c r="I10">
        <v>29</v>
      </c>
      <c r="J10">
        <v>29</v>
      </c>
      <c r="K10">
        <v>184.9</v>
      </c>
      <c r="L10">
        <v>0</v>
      </c>
      <c r="M10">
        <v>184.9</v>
      </c>
      <c r="N10">
        <v>0</v>
      </c>
      <c r="O10">
        <v>13865.6</v>
      </c>
      <c r="P10">
        <v>0</v>
      </c>
      <c r="Q10">
        <v>13865.6</v>
      </c>
      <c r="S10">
        <v>902</v>
      </c>
      <c r="T10">
        <v>8.5</v>
      </c>
      <c r="U10">
        <v>75</v>
      </c>
      <c r="V10" t="s">
        <v>581</v>
      </c>
      <c r="W10">
        <v>75</v>
      </c>
      <c r="Y10" t="s">
        <v>816</v>
      </c>
      <c r="Z10" t="s">
        <v>633</v>
      </c>
      <c r="AA10" t="s">
        <v>3105</v>
      </c>
      <c r="AB10" t="s">
        <v>1638</v>
      </c>
      <c r="AC10" t="s">
        <v>3110</v>
      </c>
      <c r="AD10" t="s">
        <v>816</v>
      </c>
      <c r="AE10" t="s">
        <v>1094</v>
      </c>
      <c r="AH10">
        <v>44</v>
      </c>
      <c r="AI10">
        <v>6.375</v>
      </c>
      <c r="AK10">
        <v>183</v>
      </c>
      <c r="AL10">
        <v>225</v>
      </c>
      <c r="AM10">
        <v>0</v>
      </c>
      <c r="AQ10">
        <v>0</v>
      </c>
      <c r="AR10">
        <v>0</v>
      </c>
      <c r="AS10">
        <v>1</v>
      </c>
      <c r="BE10">
        <v>11100</v>
      </c>
      <c r="BF10" t="s">
        <v>816</v>
      </c>
      <c r="BM10" t="s">
        <v>202</v>
      </c>
      <c r="BN10" t="s">
        <v>202</v>
      </c>
      <c r="BO10" t="s">
        <v>202</v>
      </c>
      <c r="BP10" t="s">
        <v>202</v>
      </c>
      <c r="BQ10" t="s">
        <v>202</v>
      </c>
      <c r="BR10" t="s">
        <v>202</v>
      </c>
      <c r="BS10" t="s">
        <v>202</v>
      </c>
      <c r="BT10" t="s">
        <v>625</v>
      </c>
      <c r="BU10" t="s">
        <v>716</v>
      </c>
      <c r="BV10" t="s">
        <v>196</v>
      </c>
      <c r="CA10" t="s">
        <v>554</v>
      </c>
      <c r="CD10" t="s">
        <v>583</v>
      </c>
      <c r="CF10" t="s">
        <v>242</v>
      </c>
      <c r="CG10" t="s">
        <v>1094</v>
      </c>
      <c r="CJ10" t="s">
        <v>554</v>
      </c>
      <c r="CK10" t="s">
        <v>85</v>
      </c>
      <c r="CP10" t="s">
        <v>3143</v>
      </c>
      <c r="CQ10" t="s">
        <v>562</v>
      </c>
      <c r="CR10" t="s">
        <v>568</v>
      </c>
      <c r="CS10" t="s">
        <v>576</v>
      </c>
      <c r="CT10" t="s">
        <v>3161</v>
      </c>
      <c r="CX10" t="s">
        <v>621</v>
      </c>
      <c r="DE10" t="s">
        <v>620</v>
      </c>
      <c r="DK10" t="s">
        <v>3142</v>
      </c>
      <c r="DM10" t="s">
        <v>3095</v>
      </c>
      <c r="ID10">
        <v>3955</v>
      </c>
      <c r="LQ10">
        <v>29893</v>
      </c>
    </row>
    <row r="11" spans="1:329">
      <c r="A11">
        <v>3964</v>
      </c>
      <c r="B11" t="s">
        <v>3111</v>
      </c>
      <c r="C11" t="s">
        <v>3093</v>
      </c>
      <c r="D11" t="s">
        <v>708</v>
      </c>
      <c r="E11" s="171">
        <v>46564</v>
      </c>
      <c r="F11" s="171">
        <v>46699</v>
      </c>
      <c r="I11">
        <v>92</v>
      </c>
      <c r="J11">
        <v>92</v>
      </c>
      <c r="K11">
        <v>0</v>
      </c>
      <c r="L11">
        <v>0</v>
      </c>
      <c r="M11">
        <v>0</v>
      </c>
      <c r="N11">
        <v>0</v>
      </c>
      <c r="O11">
        <v>0</v>
      </c>
      <c r="P11">
        <v>0</v>
      </c>
      <c r="Q11">
        <v>0</v>
      </c>
      <c r="T11">
        <v>11</v>
      </c>
      <c r="U11">
        <v>53</v>
      </c>
      <c r="W11">
        <v>103</v>
      </c>
      <c r="Y11" t="s">
        <v>2408</v>
      </c>
      <c r="Z11" t="s">
        <v>633</v>
      </c>
      <c r="AA11" t="s">
        <v>3105</v>
      </c>
      <c r="AB11" t="s">
        <v>3111</v>
      </c>
      <c r="AE11" t="s">
        <v>1080</v>
      </c>
      <c r="AH11">
        <v>44</v>
      </c>
      <c r="AI11">
        <v>43</v>
      </c>
      <c r="AK11">
        <v>61</v>
      </c>
      <c r="AL11">
        <v>103</v>
      </c>
      <c r="AM11">
        <v>0</v>
      </c>
      <c r="AQ11">
        <v>0</v>
      </c>
      <c r="AR11">
        <v>0</v>
      </c>
      <c r="AS11">
        <v>1</v>
      </c>
      <c r="BB11" t="s">
        <v>625</v>
      </c>
      <c r="BE11">
        <v>3964</v>
      </c>
      <c r="BF11" t="s">
        <v>3111</v>
      </c>
      <c r="BT11" t="s">
        <v>625</v>
      </c>
      <c r="BU11" t="s">
        <v>716</v>
      </c>
      <c r="BV11" t="s">
        <v>196</v>
      </c>
      <c r="CA11" t="s">
        <v>554</v>
      </c>
      <c r="CD11" t="s">
        <v>583</v>
      </c>
      <c r="CF11" t="s">
        <v>242</v>
      </c>
      <c r="CG11" t="s">
        <v>1080</v>
      </c>
      <c r="CJ11" t="s">
        <v>554</v>
      </c>
      <c r="CK11" t="s">
        <v>708</v>
      </c>
      <c r="DK11" t="s">
        <v>3142</v>
      </c>
      <c r="DM11" t="s">
        <v>3095</v>
      </c>
      <c r="ID11" t="s">
        <v>3093</v>
      </c>
      <c r="LQ11">
        <v>29894</v>
      </c>
    </row>
    <row r="12" spans="1:329">
      <c r="A12" t="s">
        <v>3112</v>
      </c>
      <c r="B12" t="s">
        <v>3113</v>
      </c>
      <c r="C12" t="s">
        <v>3103</v>
      </c>
      <c r="D12" t="s">
        <v>79</v>
      </c>
      <c r="E12" s="171">
        <v>46307</v>
      </c>
      <c r="F12" s="171">
        <v>46429</v>
      </c>
      <c r="I12">
        <v>86</v>
      </c>
      <c r="J12">
        <v>86</v>
      </c>
      <c r="K12">
        <v>60.1</v>
      </c>
      <c r="L12">
        <v>0</v>
      </c>
      <c r="M12">
        <v>60.1</v>
      </c>
      <c r="N12">
        <v>0</v>
      </c>
      <c r="O12">
        <v>3656.3</v>
      </c>
      <c r="P12">
        <v>0</v>
      </c>
      <c r="Q12">
        <v>3656.3</v>
      </c>
      <c r="Y12" t="s">
        <v>2408</v>
      </c>
      <c r="Z12" t="s">
        <v>633</v>
      </c>
      <c r="AA12" t="s">
        <v>3113</v>
      </c>
      <c r="AE12" t="s">
        <v>494</v>
      </c>
      <c r="AH12">
        <v>44</v>
      </c>
      <c r="AK12">
        <v>387</v>
      </c>
      <c r="AL12">
        <v>429</v>
      </c>
      <c r="AM12">
        <v>0</v>
      </c>
      <c r="BB12" t="s">
        <v>625</v>
      </c>
      <c r="BE12" t="s">
        <v>3112</v>
      </c>
      <c r="BF12" t="s">
        <v>3113</v>
      </c>
      <c r="BT12" t="s">
        <v>625</v>
      </c>
      <c r="BU12" t="s">
        <v>716</v>
      </c>
      <c r="BV12" t="s">
        <v>196</v>
      </c>
      <c r="CA12" t="s">
        <v>202</v>
      </c>
      <c r="CD12" t="s">
        <v>583</v>
      </c>
      <c r="CF12" t="s">
        <v>242</v>
      </c>
      <c r="CG12" t="s">
        <v>494</v>
      </c>
      <c r="CK12" t="s">
        <v>79</v>
      </c>
      <c r="DK12" t="s">
        <v>3142</v>
      </c>
      <c r="DM12" t="s">
        <v>3095</v>
      </c>
      <c r="DW12" t="s">
        <v>209</v>
      </c>
      <c r="EH12">
        <v>44</v>
      </c>
      <c r="ID12" t="s">
        <v>3103</v>
      </c>
      <c r="LQ12">
        <v>29895</v>
      </c>
    </row>
    <row r="13" spans="1:329">
      <c r="A13" t="s">
        <v>3114</v>
      </c>
      <c r="B13" t="s">
        <v>3115</v>
      </c>
      <c r="C13" t="s">
        <v>3112</v>
      </c>
      <c r="D13" t="s">
        <v>83</v>
      </c>
      <c r="E13" s="171">
        <v>46307</v>
      </c>
      <c r="F13" s="171">
        <v>46361</v>
      </c>
      <c r="I13">
        <v>39</v>
      </c>
      <c r="J13">
        <v>39</v>
      </c>
      <c r="K13">
        <v>26.3</v>
      </c>
      <c r="L13">
        <v>0</v>
      </c>
      <c r="M13">
        <v>26.3</v>
      </c>
      <c r="N13">
        <v>0</v>
      </c>
      <c r="O13">
        <v>1968.8</v>
      </c>
      <c r="P13">
        <v>0</v>
      </c>
      <c r="Q13">
        <v>1968.8</v>
      </c>
      <c r="Y13" t="s">
        <v>2408</v>
      </c>
      <c r="Z13" t="s">
        <v>633</v>
      </c>
      <c r="AA13" t="s">
        <v>3113</v>
      </c>
      <c r="AB13" t="s">
        <v>3115</v>
      </c>
      <c r="AE13" t="s">
        <v>3061</v>
      </c>
      <c r="AH13">
        <v>44</v>
      </c>
      <c r="AK13">
        <v>432</v>
      </c>
      <c r="AL13">
        <v>474</v>
      </c>
      <c r="AM13">
        <v>0</v>
      </c>
      <c r="BB13" t="s">
        <v>625</v>
      </c>
      <c r="BE13" t="s">
        <v>3114</v>
      </c>
      <c r="BF13" t="s">
        <v>3115</v>
      </c>
      <c r="BT13" t="s">
        <v>625</v>
      </c>
      <c r="BU13" t="s">
        <v>716</v>
      </c>
      <c r="BV13" t="s">
        <v>196</v>
      </c>
      <c r="CA13" t="s">
        <v>202</v>
      </c>
      <c r="CD13" t="s">
        <v>583</v>
      </c>
      <c r="CF13" t="s">
        <v>242</v>
      </c>
      <c r="CG13" t="s">
        <v>3061</v>
      </c>
      <c r="CK13" t="s">
        <v>83</v>
      </c>
      <c r="DK13" t="s">
        <v>3142</v>
      </c>
      <c r="DM13" t="s">
        <v>3095</v>
      </c>
      <c r="DW13" t="s">
        <v>209</v>
      </c>
      <c r="EH13">
        <v>44</v>
      </c>
      <c r="ID13" t="s">
        <v>3112</v>
      </c>
      <c r="LQ13">
        <v>29896</v>
      </c>
    </row>
    <row r="14" spans="1:329">
      <c r="A14">
        <v>3775</v>
      </c>
      <c r="B14" t="s">
        <v>3116</v>
      </c>
      <c r="C14" t="s">
        <v>3114</v>
      </c>
      <c r="D14" t="s">
        <v>84</v>
      </c>
      <c r="E14" s="171">
        <v>46307</v>
      </c>
      <c r="F14" s="171">
        <v>46326</v>
      </c>
      <c r="I14">
        <v>14</v>
      </c>
      <c r="J14">
        <v>14</v>
      </c>
      <c r="K14">
        <v>26.3</v>
      </c>
      <c r="L14">
        <v>0</v>
      </c>
      <c r="M14">
        <v>26.3</v>
      </c>
      <c r="N14">
        <v>0</v>
      </c>
      <c r="O14">
        <v>1968.8</v>
      </c>
      <c r="P14">
        <v>0</v>
      </c>
      <c r="Q14">
        <v>1968.8</v>
      </c>
      <c r="T14">
        <v>12</v>
      </c>
      <c r="U14">
        <v>54</v>
      </c>
      <c r="W14">
        <v>104</v>
      </c>
      <c r="Y14" t="s">
        <v>2408</v>
      </c>
      <c r="Z14" t="s">
        <v>633</v>
      </c>
      <c r="AA14" t="s">
        <v>3113</v>
      </c>
      <c r="AB14" t="s">
        <v>3115</v>
      </c>
      <c r="AC14" t="s">
        <v>3116</v>
      </c>
      <c r="AE14" t="s">
        <v>3090</v>
      </c>
      <c r="AF14" t="s">
        <v>84</v>
      </c>
      <c r="AH14">
        <v>10</v>
      </c>
      <c r="AI14">
        <v>44</v>
      </c>
      <c r="AK14">
        <v>482</v>
      </c>
      <c r="AL14">
        <v>512</v>
      </c>
      <c r="AM14">
        <v>0</v>
      </c>
      <c r="AQ14">
        <v>0</v>
      </c>
      <c r="AR14">
        <v>0</v>
      </c>
      <c r="AS14">
        <v>1</v>
      </c>
      <c r="AZ14" t="s">
        <v>493</v>
      </c>
      <c r="BA14" t="s">
        <v>196</v>
      </c>
      <c r="BB14" t="s">
        <v>625</v>
      </c>
      <c r="BE14">
        <v>3775</v>
      </c>
      <c r="BF14" t="s">
        <v>3116</v>
      </c>
      <c r="BT14" t="s">
        <v>625</v>
      </c>
      <c r="BU14" t="s">
        <v>716</v>
      </c>
      <c r="BV14" t="s">
        <v>196</v>
      </c>
      <c r="CA14" t="s">
        <v>554</v>
      </c>
      <c r="CD14" t="s">
        <v>583</v>
      </c>
      <c r="CF14" t="s">
        <v>242</v>
      </c>
      <c r="CG14" t="s">
        <v>3090</v>
      </c>
      <c r="CJ14" t="s">
        <v>554</v>
      </c>
      <c r="CK14" t="s">
        <v>84</v>
      </c>
      <c r="DK14" t="s">
        <v>3142</v>
      </c>
      <c r="DM14" t="s">
        <v>3095</v>
      </c>
      <c r="ID14" t="s">
        <v>3114</v>
      </c>
      <c r="IE14" t="s">
        <v>84</v>
      </c>
      <c r="LQ14">
        <v>29897</v>
      </c>
    </row>
    <row r="15" spans="1:329">
      <c r="A15" t="s">
        <v>3117</v>
      </c>
      <c r="B15" t="s">
        <v>3118</v>
      </c>
      <c r="C15" t="s">
        <v>3112</v>
      </c>
      <c r="D15" t="s">
        <v>83</v>
      </c>
      <c r="E15" s="171">
        <v>46363</v>
      </c>
      <c r="F15" s="171">
        <v>46416</v>
      </c>
      <c r="I15">
        <v>38</v>
      </c>
      <c r="J15">
        <v>38</v>
      </c>
      <c r="K15">
        <v>33.799999999999997</v>
      </c>
      <c r="L15">
        <v>0</v>
      </c>
      <c r="M15">
        <v>33.799999999999997</v>
      </c>
      <c r="N15">
        <v>0</v>
      </c>
      <c r="O15">
        <v>1687.5</v>
      </c>
      <c r="P15">
        <v>0</v>
      </c>
      <c r="Q15">
        <v>1687.5</v>
      </c>
      <c r="Y15" t="s">
        <v>2408</v>
      </c>
      <c r="Z15" t="s">
        <v>633</v>
      </c>
      <c r="AA15" t="s">
        <v>3113</v>
      </c>
      <c r="AB15" t="s">
        <v>3118</v>
      </c>
      <c r="AE15" t="s">
        <v>3119</v>
      </c>
      <c r="AH15">
        <v>44</v>
      </c>
      <c r="AK15">
        <v>432</v>
      </c>
      <c r="AL15">
        <v>486</v>
      </c>
      <c r="AM15">
        <v>0</v>
      </c>
      <c r="BB15" t="s">
        <v>625</v>
      </c>
      <c r="BE15" t="s">
        <v>3117</v>
      </c>
      <c r="BF15" t="s">
        <v>3118</v>
      </c>
      <c r="BT15" t="s">
        <v>625</v>
      </c>
      <c r="BU15" t="s">
        <v>716</v>
      </c>
      <c r="BV15" t="s">
        <v>196</v>
      </c>
      <c r="CA15" t="s">
        <v>202</v>
      </c>
      <c r="CD15" t="s">
        <v>583</v>
      </c>
      <c r="CF15" t="s">
        <v>242</v>
      </c>
      <c r="CG15" t="s">
        <v>3119</v>
      </c>
      <c r="CK15" t="s">
        <v>83</v>
      </c>
      <c r="DK15" t="s">
        <v>3142</v>
      </c>
      <c r="DM15" t="s">
        <v>3095</v>
      </c>
      <c r="DW15" t="s">
        <v>209</v>
      </c>
      <c r="EH15">
        <v>44</v>
      </c>
      <c r="ID15" t="s">
        <v>3112</v>
      </c>
      <c r="LQ15">
        <v>29898</v>
      </c>
    </row>
    <row r="16" spans="1:329">
      <c r="A16">
        <v>3777</v>
      </c>
      <c r="B16" t="s">
        <v>3120</v>
      </c>
      <c r="C16" t="s">
        <v>3117</v>
      </c>
      <c r="D16" t="s">
        <v>84</v>
      </c>
      <c r="E16" s="171">
        <v>46349</v>
      </c>
      <c r="F16" s="171">
        <v>46361</v>
      </c>
      <c r="I16">
        <v>10</v>
      </c>
      <c r="J16">
        <v>10</v>
      </c>
      <c r="K16">
        <v>33.799999999999997</v>
      </c>
      <c r="L16">
        <v>0</v>
      </c>
      <c r="M16">
        <v>33.799999999999997</v>
      </c>
      <c r="N16">
        <v>0</v>
      </c>
      <c r="O16">
        <v>1687.5</v>
      </c>
      <c r="P16">
        <v>0</v>
      </c>
      <c r="Q16">
        <v>1687.5</v>
      </c>
      <c r="T16">
        <v>13</v>
      </c>
      <c r="U16">
        <v>55</v>
      </c>
      <c r="W16">
        <v>105</v>
      </c>
      <c r="Y16" t="s">
        <v>2408</v>
      </c>
      <c r="Z16" t="s">
        <v>633</v>
      </c>
      <c r="AA16" t="s">
        <v>3113</v>
      </c>
      <c r="AB16" t="s">
        <v>3118</v>
      </c>
      <c r="AC16" t="s">
        <v>3120</v>
      </c>
      <c r="AE16" t="s">
        <v>3121</v>
      </c>
      <c r="AF16" t="s">
        <v>84</v>
      </c>
      <c r="AG16">
        <v>16057</v>
      </c>
      <c r="AH16">
        <v>10</v>
      </c>
      <c r="AI16">
        <v>45</v>
      </c>
      <c r="AK16">
        <v>548</v>
      </c>
      <c r="AL16">
        <v>524</v>
      </c>
      <c r="AM16">
        <v>0</v>
      </c>
      <c r="AQ16">
        <v>0</v>
      </c>
      <c r="AR16">
        <v>0</v>
      </c>
      <c r="AS16">
        <v>1</v>
      </c>
      <c r="AZ16" t="s">
        <v>493</v>
      </c>
      <c r="BA16" t="s">
        <v>196</v>
      </c>
      <c r="BB16" t="s">
        <v>625</v>
      </c>
      <c r="BE16">
        <v>3777</v>
      </c>
      <c r="BF16" t="s">
        <v>3120</v>
      </c>
      <c r="BT16" t="s">
        <v>625</v>
      </c>
      <c r="BU16" t="s">
        <v>716</v>
      </c>
      <c r="BV16" t="s">
        <v>196</v>
      </c>
      <c r="CA16" t="s">
        <v>554</v>
      </c>
      <c r="CD16" t="s">
        <v>583</v>
      </c>
      <c r="CF16" t="s">
        <v>242</v>
      </c>
      <c r="CG16" t="s">
        <v>3121</v>
      </c>
      <c r="CJ16" t="s">
        <v>554</v>
      </c>
      <c r="CK16" t="s">
        <v>84</v>
      </c>
      <c r="DK16" t="s">
        <v>3142</v>
      </c>
      <c r="DM16" t="s">
        <v>3095</v>
      </c>
      <c r="ID16" t="s">
        <v>3117</v>
      </c>
      <c r="IE16" t="s">
        <v>84</v>
      </c>
      <c r="LQ16">
        <v>29899</v>
      </c>
    </row>
    <row r="17" spans="1:329">
      <c r="A17" t="s">
        <v>3122</v>
      </c>
      <c r="B17" t="s">
        <v>3123</v>
      </c>
      <c r="C17" t="s">
        <v>3103</v>
      </c>
      <c r="D17" t="s">
        <v>79</v>
      </c>
      <c r="E17" s="171">
        <v>46321</v>
      </c>
      <c r="F17" s="171">
        <v>46470</v>
      </c>
      <c r="I17">
        <v>106</v>
      </c>
      <c r="J17">
        <v>106</v>
      </c>
      <c r="K17">
        <v>337.9</v>
      </c>
      <c r="L17">
        <v>0</v>
      </c>
      <c r="M17">
        <v>337.9</v>
      </c>
      <c r="N17">
        <v>0</v>
      </c>
      <c r="O17">
        <v>25340.7</v>
      </c>
      <c r="P17">
        <v>0</v>
      </c>
      <c r="Q17">
        <v>25340.7</v>
      </c>
      <c r="Y17" t="s">
        <v>2408</v>
      </c>
      <c r="Z17" t="s">
        <v>633</v>
      </c>
      <c r="AA17" t="s">
        <v>3123</v>
      </c>
      <c r="AE17" t="s">
        <v>495</v>
      </c>
      <c r="AH17">
        <v>44</v>
      </c>
      <c r="AK17">
        <v>663</v>
      </c>
      <c r="AL17">
        <v>624</v>
      </c>
      <c r="AM17">
        <v>0</v>
      </c>
      <c r="AV17" t="s">
        <v>3104</v>
      </c>
      <c r="BB17" t="s">
        <v>625</v>
      </c>
      <c r="BE17" t="s">
        <v>3122</v>
      </c>
      <c r="BF17" t="s">
        <v>3123</v>
      </c>
      <c r="BT17" t="s">
        <v>625</v>
      </c>
      <c r="BU17" t="s">
        <v>716</v>
      </c>
      <c r="BV17" t="s">
        <v>196</v>
      </c>
      <c r="CA17" t="s">
        <v>202</v>
      </c>
      <c r="CD17" t="s">
        <v>583</v>
      </c>
      <c r="CF17" t="s">
        <v>242</v>
      </c>
      <c r="CG17" t="s">
        <v>495</v>
      </c>
      <c r="CK17" t="s">
        <v>79</v>
      </c>
      <c r="DK17" t="s">
        <v>3142</v>
      </c>
      <c r="DM17" t="s">
        <v>3095</v>
      </c>
      <c r="DW17" t="s">
        <v>209</v>
      </c>
      <c r="EH17">
        <v>44</v>
      </c>
      <c r="ID17" t="s">
        <v>3103</v>
      </c>
      <c r="LQ17">
        <v>29900</v>
      </c>
    </row>
    <row r="18" spans="1:329">
      <c r="A18" t="s">
        <v>3124</v>
      </c>
      <c r="B18" t="s">
        <v>3125</v>
      </c>
      <c r="C18" t="s">
        <v>3122</v>
      </c>
      <c r="D18" t="s">
        <v>83</v>
      </c>
      <c r="E18" s="171">
        <v>46321</v>
      </c>
      <c r="F18" s="171">
        <v>46382</v>
      </c>
      <c r="I18">
        <v>44</v>
      </c>
      <c r="J18">
        <v>44</v>
      </c>
      <c r="K18">
        <v>140.30000000000001</v>
      </c>
      <c r="L18">
        <v>0</v>
      </c>
      <c r="M18">
        <v>140.30000000000001</v>
      </c>
      <c r="N18">
        <v>0</v>
      </c>
      <c r="O18">
        <v>10518.8</v>
      </c>
      <c r="P18">
        <v>0</v>
      </c>
      <c r="Q18">
        <v>10518.8</v>
      </c>
      <c r="Y18" t="s">
        <v>2408</v>
      </c>
      <c r="Z18" t="s">
        <v>633</v>
      </c>
      <c r="AA18" t="s">
        <v>3123</v>
      </c>
      <c r="AB18" t="s">
        <v>3125</v>
      </c>
      <c r="AE18" t="s">
        <v>3062</v>
      </c>
      <c r="AH18">
        <v>44</v>
      </c>
      <c r="AK18">
        <v>700</v>
      </c>
      <c r="AL18">
        <v>661</v>
      </c>
      <c r="AM18">
        <v>0</v>
      </c>
      <c r="BB18" t="s">
        <v>625</v>
      </c>
      <c r="BE18" t="s">
        <v>3124</v>
      </c>
      <c r="BF18" t="s">
        <v>3125</v>
      </c>
      <c r="BT18" t="s">
        <v>625</v>
      </c>
      <c r="BU18" t="s">
        <v>716</v>
      </c>
      <c r="BV18" t="s">
        <v>196</v>
      </c>
      <c r="CA18" t="s">
        <v>202</v>
      </c>
      <c r="CG18" t="s">
        <v>3062</v>
      </c>
      <c r="CK18" t="s">
        <v>83</v>
      </c>
      <c r="DK18" t="s">
        <v>3142</v>
      </c>
      <c r="DM18" t="s">
        <v>3095</v>
      </c>
      <c r="DW18" t="s">
        <v>209</v>
      </c>
      <c r="EH18">
        <v>44</v>
      </c>
      <c r="ID18" t="s">
        <v>3122</v>
      </c>
      <c r="LQ18">
        <v>29901</v>
      </c>
    </row>
    <row r="19" spans="1:329">
      <c r="A19">
        <v>3956</v>
      </c>
      <c r="B19" t="s">
        <v>3126</v>
      </c>
      <c r="C19" t="s">
        <v>3124</v>
      </c>
      <c r="D19" t="s">
        <v>84</v>
      </c>
      <c r="E19" s="171">
        <v>46321</v>
      </c>
      <c r="F19" s="171">
        <v>46347</v>
      </c>
      <c r="I19">
        <v>20</v>
      </c>
      <c r="J19">
        <v>20</v>
      </c>
      <c r="K19">
        <v>140.30000000000001</v>
      </c>
      <c r="L19">
        <v>0</v>
      </c>
      <c r="M19">
        <v>140.30000000000001</v>
      </c>
      <c r="N19">
        <v>0</v>
      </c>
      <c r="O19">
        <v>10518.8</v>
      </c>
      <c r="P19">
        <v>0</v>
      </c>
      <c r="Q19">
        <v>10518.8</v>
      </c>
      <c r="T19">
        <v>14</v>
      </c>
      <c r="U19">
        <v>56</v>
      </c>
      <c r="W19">
        <v>106</v>
      </c>
      <c r="Y19" t="s">
        <v>2408</v>
      </c>
      <c r="Z19" t="s">
        <v>633</v>
      </c>
      <c r="AA19" t="s">
        <v>3123</v>
      </c>
      <c r="AB19" t="s">
        <v>3125</v>
      </c>
      <c r="AC19" t="s">
        <v>3126</v>
      </c>
      <c r="AE19" t="s">
        <v>3091</v>
      </c>
      <c r="AF19" t="s">
        <v>84</v>
      </c>
      <c r="AH19">
        <v>44</v>
      </c>
      <c r="AI19">
        <v>46</v>
      </c>
      <c r="AK19">
        <v>744</v>
      </c>
      <c r="AL19">
        <v>705</v>
      </c>
      <c r="AM19">
        <v>0</v>
      </c>
      <c r="AQ19">
        <v>0</v>
      </c>
      <c r="AR19">
        <v>0</v>
      </c>
      <c r="AS19">
        <v>1</v>
      </c>
      <c r="AZ19" t="s">
        <v>493</v>
      </c>
      <c r="BA19" t="s">
        <v>196</v>
      </c>
      <c r="BB19" t="s">
        <v>625</v>
      </c>
      <c r="BE19">
        <v>3956</v>
      </c>
      <c r="BF19" t="s">
        <v>3126</v>
      </c>
      <c r="BT19" t="s">
        <v>625</v>
      </c>
      <c r="BU19" t="s">
        <v>716</v>
      </c>
      <c r="BV19" t="s">
        <v>196</v>
      </c>
      <c r="CA19" t="s">
        <v>554</v>
      </c>
      <c r="CG19" t="s">
        <v>3091</v>
      </c>
      <c r="CJ19" t="s">
        <v>554</v>
      </c>
      <c r="CK19" t="s">
        <v>84</v>
      </c>
      <c r="ID19" t="s">
        <v>3124</v>
      </c>
      <c r="IE19" t="s">
        <v>84</v>
      </c>
      <c r="LQ19">
        <v>29902</v>
      </c>
    </row>
    <row r="20" spans="1:329">
      <c r="A20" t="s">
        <v>3127</v>
      </c>
      <c r="B20" t="s">
        <v>3128</v>
      </c>
      <c r="C20" t="s">
        <v>3122</v>
      </c>
      <c r="D20" t="s">
        <v>83</v>
      </c>
      <c r="E20" s="171">
        <v>46384</v>
      </c>
      <c r="F20" s="171">
        <v>46471</v>
      </c>
      <c r="I20">
        <v>63</v>
      </c>
      <c r="J20">
        <v>63</v>
      </c>
      <c r="K20">
        <v>197.6</v>
      </c>
      <c r="L20">
        <v>0</v>
      </c>
      <c r="M20">
        <v>197.6</v>
      </c>
      <c r="N20">
        <v>0</v>
      </c>
      <c r="O20">
        <v>14821.9</v>
      </c>
      <c r="P20">
        <v>0</v>
      </c>
      <c r="Q20">
        <v>14821.9</v>
      </c>
      <c r="Y20" t="s">
        <v>2408</v>
      </c>
      <c r="Z20" t="s">
        <v>633</v>
      </c>
      <c r="AA20" t="s">
        <v>3123</v>
      </c>
      <c r="AB20" t="s">
        <v>3128</v>
      </c>
      <c r="AE20" t="s">
        <v>3063</v>
      </c>
      <c r="AH20">
        <v>44</v>
      </c>
      <c r="AK20">
        <v>700</v>
      </c>
      <c r="AL20">
        <v>661</v>
      </c>
      <c r="AM20">
        <v>0</v>
      </c>
      <c r="BB20" t="s">
        <v>625</v>
      </c>
      <c r="BE20" t="s">
        <v>3127</v>
      </c>
      <c r="BF20" t="s">
        <v>3128</v>
      </c>
      <c r="BG20" t="s">
        <v>3162</v>
      </c>
      <c r="BH20" t="s">
        <v>617</v>
      </c>
      <c r="BI20" t="s">
        <v>614</v>
      </c>
      <c r="BJ20" t="s">
        <v>701</v>
      </c>
      <c r="BK20" t="s">
        <v>662</v>
      </c>
      <c r="BL20" t="s">
        <v>711</v>
      </c>
      <c r="BT20" t="s">
        <v>625</v>
      </c>
      <c r="BU20" t="s">
        <v>716</v>
      </c>
      <c r="BV20" t="s">
        <v>196</v>
      </c>
      <c r="CA20" t="s">
        <v>202</v>
      </c>
      <c r="CG20" t="s">
        <v>3063</v>
      </c>
      <c r="CK20" t="s">
        <v>83</v>
      </c>
      <c r="DC20" t="s">
        <v>711</v>
      </c>
      <c r="EH20">
        <v>44</v>
      </c>
      <c r="EN20" t="s">
        <v>584</v>
      </c>
      <c r="ID20" t="s">
        <v>3122</v>
      </c>
      <c r="LQ20">
        <v>29903</v>
      </c>
    </row>
    <row r="21" spans="1:329">
      <c r="A21">
        <v>3957</v>
      </c>
      <c r="B21" t="s">
        <v>3110</v>
      </c>
      <c r="C21" t="s">
        <v>3127</v>
      </c>
      <c r="D21" t="s">
        <v>84</v>
      </c>
      <c r="E21" s="171">
        <v>46384</v>
      </c>
      <c r="F21" s="171">
        <v>46424</v>
      </c>
      <c r="I21">
        <v>29</v>
      </c>
      <c r="J21">
        <v>29</v>
      </c>
      <c r="K21">
        <v>197.6</v>
      </c>
      <c r="L21">
        <v>0</v>
      </c>
      <c r="M21">
        <v>197.6</v>
      </c>
      <c r="N21">
        <v>0</v>
      </c>
      <c r="O21">
        <v>14821.9</v>
      </c>
      <c r="P21">
        <v>0</v>
      </c>
      <c r="Q21">
        <v>14821.9</v>
      </c>
      <c r="T21">
        <v>15</v>
      </c>
      <c r="U21">
        <v>57</v>
      </c>
      <c r="W21">
        <v>107</v>
      </c>
      <c r="Y21" t="s">
        <v>2408</v>
      </c>
      <c r="Z21" t="s">
        <v>633</v>
      </c>
      <c r="AA21" t="s">
        <v>3123</v>
      </c>
      <c r="AB21" t="s">
        <v>3128</v>
      </c>
      <c r="AC21" t="s">
        <v>3110</v>
      </c>
      <c r="AE21" t="s">
        <v>3129</v>
      </c>
      <c r="AF21" t="s">
        <v>84</v>
      </c>
      <c r="AH21">
        <v>44</v>
      </c>
      <c r="AI21">
        <v>47</v>
      </c>
      <c r="AK21">
        <v>750</v>
      </c>
      <c r="AL21">
        <v>711</v>
      </c>
      <c r="AM21">
        <v>0</v>
      </c>
      <c r="AQ21">
        <v>0</v>
      </c>
      <c r="AR21">
        <v>0</v>
      </c>
      <c r="AS21">
        <v>1</v>
      </c>
      <c r="AZ21" t="s">
        <v>493</v>
      </c>
      <c r="BA21" t="s">
        <v>196</v>
      </c>
      <c r="BB21" t="s">
        <v>625</v>
      </c>
      <c r="BE21">
        <v>3957</v>
      </c>
      <c r="BF21" t="s">
        <v>3110</v>
      </c>
      <c r="BK21" t="s">
        <v>662</v>
      </c>
      <c r="BT21" t="s">
        <v>625</v>
      </c>
      <c r="BU21" t="s">
        <v>716</v>
      </c>
      <c r="BV21" t="s">
        <v>196</v>
      </c>
      <c r="CA21" t="s">
        <v>554</v>
      </c>
      <c r="CG21" t="s">
        <v>3129</v>
      </c>
      <c r="CJ21" t="s">
        <v>554</v>
      </c>
      <c r="CK21" t="s">
        <v>84</v>
      </c>
      <c r="ID21" t="s">
        <v>3127</v>
      </c>
      <c r="IE21" t="s">
        <v>84</v>
      </c>
      <c r="LQ21">
        <v>29904</v>
      </c>
    </row>
    <row r="22" spans="1:329">
      <c r="A22">
        <v>3962</v>
      </c>
      <c r="B22" t="s">
        <v>3130</v>
      </c>
      <c r="C22" t="s">
        <v>3092</v>
      </c>
      <c r="D22" t="s">
        <v>708</v>
      </c>
      <c r="E22" s="171">
        <v>46428</v>
      </c>
      <c r="F22" s="171">
        <v>46503</v>
      </c>
      <c r="I22">
        <v>52</v>
      </c>
      <c r="J22">
        <v>52</v>
      </c>
      <c r="K22">
        <v>0</v>
      </c>
      <c r="L22">
        <v>0</v>
      </c>
      <c r="M22">
        <v>0</v>
      </c>
      <c r="N22">
        <v>0</v>
      </c>
      <c r="O22">
        <v>0</v>
      </c>
      <c r="P22">
        <v>0</v>
      </c>
      <c r="Q22">
        <v>0</v>
      </c>
      <c r="T22">
        <v>16</v>
      </c>
      <c r="U22">
        <v>58</v>
      </c>
      <c r="W22">
        <v>108</v>
      </c>
      <c r="Y22" t="s">
        <v>2408</v>
      </c>
      <c r="Z22" t="s">
        <v>633</v>
      </c>
      <c r="AA22" t="s">
        <v>3105</v>
      </c>
      <c r="AB22" t="s">
        <v>1638</v>
      </c>
      <c r="AE22" t="s">
        <v>1090</v>
      </c>
      <c r="AH22">
        <v>44</v>
      </c>
      <c r="AI22">
        <v>48</v>
      </c>
      <c r="AK22">
        <v>360</v>
      </c>
      <c r="AL22">
        <v>402</v>
      </c>
      <c r="AM22">
        <v>0</v>
      </c>
      <c r="AQ22">
        <v>0</v>
      </c>
      <c r="AR22">
        <v>0</v>
      </c>
      <c r="AS22">
        <v>1</v>
      </c>
      <c r="BB22" t="s">
        <v>625</v>
      </c>
      <c r="BE22">
        <v>3962</v>
      </c>
      <c r="BF22" t="s">
        <v>3130</v>
      </c>
      <c r="BT22" t="s">
        <v>625</v>
      </c>
      <c r="BU22" t="s">
        <v>716</v>
      </c>
      <c r="BV22" t="s">
        <v>196</v>
      </c>
      <c r="CA22" t="s">
        <v>554</v>
      </c>
      <c r="CG22" t="s">
        <v>1090</v>
      </c>
      <c r="CJ22" t="s">
        <v>554</v>
      </c>
      <c r="CK22" t="s">
        <v>708</v>
      </c>
      <c r="ID22" t="s">
        <v>3092</v>
      </c>
      <c r="LQ22">
        <v>29905</v>
      </c>
    </row>
    <row r="23" spans="1:329">
      <c r="A23">
        <v>3963</v>
      </c>
      <c r="B23" t="s">
        <v>1689</v>
      </c>
      <c r="C23" t="s">
        <v>3112</v>
      </c>
      <c r="D23" t="s">
        <v>708</v>
      </c>
      <c r="E23" s="171">
        <v>46378</v>
      </c>
      <c r="F23" s="171">
        <v>46439</v>
      </c>
      <c r="I23">
        <v>42</v>
      </c>
      <c r="J23">
        <v>42</v>
      </c>
      <c r="K23">
        <v>0</v>
      </c>
      <c r="L23">
        <v>0</v>
      </c>
      <c r="M23">
        <v>0</v>
      </c>
      <c r="N23">
        <v>0</v>
      </c>
      <c r="O23">
        <v>0</v>
      </c>
      <c r="P23">
        <v>0</v>
      </c>
      <c r="Q23">
        <v>0</v>
      </c>
      <c r="T23">
        <v>17</v>
      </c>
      <c r="U23">
        <v>59</v>
      </c>
      <c r="W23">
        <v>109</v>
      </c>
      <c r="Y23" t="s">
        <v>2408</v>
      </c>
      <c r="Z23" t="s">
        <v>633</v>
      </c>
      <c r="AA23" t="s">
        <v>3113</v>
      </c>
      <c r="AB23" t="s">
        <v>1689</v>
      </c>
      <c r="AE23" t="s">
        <v>3131</v>
      </c>
      <c r="AH23">
        <v>44</v>
      </c>
      <c r="AI23">
        <v>49</v>
      </c>
      <c r="AK23">
        <v>347</v>
      </c>
      <c r="AL23">
        <v>389</v>
      </c>
      <c r="AM23">
        <v>0</v>
      </c>
      <c r="AQ23">
        <v>0</v>
      </c>
      <c r="AR23">
        <v>0</v>
      </c>
      <c r="AS23">
        <v>1</v>
      </c>
      <c r="BB23" t="s">
        <v>625</v>
      </c>
      <c r="BE23">
        <v>3963</v>
      </c>
      <c r="BF23" t="s">
        <v>1689</v>
      </c>
      <c r="BT23" t="s">
        <v>625</v>
      </c>
      <c r="BU23" t="s">
        <v>716</v>
      </c>
      <c r="BV23" t="s">
        <v>196</v>
      </c>
      <c r="CA23" t="s">
        <v>554</v>
      </c>
      <c r="CG23" t="s">
        <v>3131</v>
      </c>
      <c r="CJ23" t="s">
        <v>554</v>
      </c>
      <c r="CK23" t="s">
        <v>708</v>
      </c>
      <c r="ID23" t="s">
        <v>3112</v>
      </c>
      <c r="LQ23">
        <v>29906</v>
      </c>
    </row>
    <row r="24" spans="1:329">
      <c r="A24">
        <v>16054</v>
      </c>
      <c r="B24" t="s">
        <v>3132</v>
      </c>
      <c r="C24" t="s">
        <v>3094</v>
      </c>
      <c r="D24" t="s">
        <v>84</v>
      </c>
      <c r="E24" s="171">
        <v>46312</v>
      </c>
      <c r="F24" s="171">
        <v>46325</v>
      </c>
      <c r="I24">
        <v>10</v>
      </c>
      <c r="J24">
        <v>10</v>
      </c>
      <c r="K24">
        <v>8</v>
      </c>
      <c r="L24">
        <v>0</v>
      </c>
      <c r="M24">
        <v>8</v>
      </c>
      <c r="N24">
        <v>0</v>
      </c>
      <c r="O24">
        <v>800</v>
      </c>
      <c r="P24">
        <v>0</v>
      </c>
      <c r="Q24">
        <v>800</v>
      </c>
      <c r="T24">
        <v>18</v>
      </c>
      <c r="U24">
        <v>60</v>
      </c>
      <c r="W24">
        <v>110</v>
      </c>
      <c r="Y24" t="s">
        <v>2408</v>
      </c>
      <c r="Z24" t="s">
        <v>633</v>
      </c>
      <c r="AA24" t="s">
        <v>3105</v>
      </c>
      <c r="AB24" t="s">
        <v>1685</v>
      </c>
      <c r="AC24" t="s">
        <v>3132</v>
      </c>
      <c r="AE24" t="s">
        <v>1128</v>
      </c>
      <c r="AF24" t="s">
        <v>84</v>
      </c>
      <c r="AG24">
        <v>3773</v>
      </c>
      <c r="AH24">
        <v>44</v>
      </c>
      <c r="AI24">
        <v>50</v>
      </c>
      <c r="AK24">
        <v>161</v>
      </c>
      <c r="AL24">
        <v>197</v>
      </c>
      <c r="AM24">
        <v>0</v>
      </c>
      <c r="AQ24">
        <v>0</v>
      </c>
      <c r="AR24">
        <v>0</v>
      </c>
      <c r="AS24">
        <v>1</v>
      </c>
      <c r="AZ24" t="s">
        <v>196</v>
      </c>
      <c r="BE24">
        <v>16054</v>
      </c>
      <c r="BF24" t="s">
        <v>3132</v>
      </c>
      <c r="BT24" t="s">
        <v>625</v>
      </c>
      <c r="BU24" t="s">
        <v>716</v>
      </c>
      <c r="BV24" t="s">
        <v>196</v>
      </c>
      <c r="CA24" t="s">
        <v>554</v>
      </c>
      <c r="CG24" t="s">
        <v>1128</v>
      </c>
      <c r="CJ24" t="s">
        <v>554</v>
      </c>
      <c r="CK24" t="s">
        <v>84</v>
      </c>
      <c r="ID24" t="s">
        <v>3094</v>
      </c>
      <c r="IE24" t="s">
        <v>84</v>
      </c>
      <c r="LQ24">
        <v>29907</v>
      </c>
    </row>
    <row r="25" spans="1:329">
      <c r="A25">
        <v>16055</v>
      </c>
      <c r="B25" t="s">
        <v>3133</v>
      </c>
      <c r="C25" t="s">
        <v>3094</v>
      </c>
      <c r="D25" t="s">
        <v>84</v>
      </c>
      <c r="E25" s="171">
        <v>46331</v>
      </c>
      <c r="F25" s="171">
        <v>46343</v>
      </c>
      <c r="I25">
        <v>9</v>
      </c>
      <c r="J25">
        <v>9</v>
      </c>
      <c r="K25">
        <v>36</v>
      </c>
      <c r="L25">
        <v>0</v>
      </c>
      <c r="M25">
        <v>36</v>
      </c>
      <c r="N25">
        <v>0</v>
      </c>
      <c r="O25">
        <v>1800</v>
      </c>
      <c r="P25">
        <v>0</v>
      </c>
      <c r="Q25">
        <v>1800</v>
      </c>
      <c r="T25">
        <v>19</v>
      </c>
      <c r="U25">
        <v>61</v>
      </c>
      <c r="W25">
        <v>111</v>
      </c>
      <c r="Y25" t="s">
        <v>2408</v>
      </c>
      <c r="Z25" t="s">
        <v>633</v>
      </c>
      <c r="AA25" t="s">
        <v>3105</v>
      </c>
      <c r="AB25" t="s">
        <v>1685</v>
      </c>
      <c r="AC25" t="s">
        <v>3133</v>
      </c>
      <c r="AE25" t="s">
        <v>1123</v>
      </c>
      <c r="AF25" t="s">
        <v>84</v>
      </c>
      <c r="AG25">
        <v>16054</v>
      </c>
      <c r="AH25">
        <v>44</v>
      </c>
      <c r="AI25">
        <v>51</v>
      </c>
      <c r="AK25">
        <v>167</v>
      </c>
      <c r="AL25">
        <v>197</v>
      </c>
      <c r="AM25">
        <v>0</v>
      </c>
      <c r="AQ25">
        <v>0</v>
      </c>
      <c r="AR25">
        <v>0</v>
      </c>
      <c r="AS25">
        <v>1</v>
      </c>
      <c r="AZ25" t="s">
        <v>196</v>
      </c>
      <c r="BE25">
        <v>16055</v>
      </c>
      <c r="BF25" t="s">
        <v>3133</v>
      </c>
      <c r="BT25" t="s">
        <v>625</v>
      </c>
      <c r="BU25" t="s">
        <v>716</v>
      </c>
      <c r="BV25" t="s">
        <v>196</v>
      </c>
      <c r="CA25" t="s">
        <v>554</v>
      </c>
      <c r="CG25" t="s">
        <v>1123</v>
      </c>
      <c r="CJ25" t="s">
        <v>554</v>
      </c>
      <c r="CK25" t="s">
        <v>84</v>
      </c>
      <c r="ID25" t="s">
        <v>3094</v>
      </c>
      <c r="IE25" t="s">
        <v>84</v>
      </c>
      <c r="LQ25">
        <v>29908</v>
      </c>
    </row>
    <row r="26" spans="1:329">
      <c r="A26">
        <v>16056</v>
      </c>
      <c r="B26" t="s">
        <v>3134</v>
      </c>
      <c r="C26" t="s">
        <v>3094</v>
      </c>
      <c r="D26" t="s">
        <v>84</v>
      </c>
      <c r="E26" s="171">
        <v>46293</v>
      </c>
      <c r="F26" s="171">
        <v>46300</v>
      </c>
      <c r="I26">
        <v>6</v>
      </c>
      <c r="J26">
        <v>6</v>
      </c>
      <c r="K26">
        <v>0</v>
      </c>
      <c r="L26">
        <v>0</v>
      </c>
      <c r="M26">
        <v>0</v>
      </c>
      <c r="N26">
        <v>0</v>
      </c>
      <c r="O26">
        <v>0</v>
      </c>
      <c r="P26">
        <v>0</v>
      </c>
      <c r="Q26">
        <v>0</v>
      </c>
      <c r="T26">
        <v>20</v>
      </c>
      <c r="U26">
        <v>62</v>
      </c>
      <c r="W26">
        <v>112</v>
      </c>
      <c r="Y26" t="s">
        <v>2408</v>
      </c>
      <c r="Z26" t="s">
        <v>633</v>
      </c>
      <c r="AA26" t="s">
        <v>3105</v>
      </c>
      <c r="AB26" t="s">
        <v>1685</v>
      </c>
      <c r="AC26" t="s">
        <v>3134</v>
      </c>
      <c r="AE26" t="s">
        <v>3135</v>
      </c>
      <c r="AF26" t="s">
        <v>484</v>
      </c>
      <c r="AH26">
        <v>44</v>
      </c>
      <c r="AI26">
        <v>52</v>
      </c>
      <c r="AK26">
        <v>285</v>
      </c>
      <c r="AL26">
        <v>303</v>
      </c>
      <c r="AM26">
        <v>0</v>
      </c>
      <c r="AQ26">
        <v>0</v>
      </c>
      <c r="AR26">
        <v>0</v>
      </c>
      <c r="AS26">
        <v>1</v>
      </c>
      <c r="AZ26" t="s">
        <v>196</v>
      </c>
      <c r="BE26">
        <v>16056</v>
      </c>
      <c r="BF26" t="s">
        <v>3134</v>
      </c>
      <c r="BT26" t="s">
        <v>625</v>
      </c>
      <c r="BU26" t="s">
        <v>716</v>
      </c>
      <c r="BV26" t="s">
        <v>196</v>
      </c>
      <c r="CA26" t="s">
        <v>554</v>
      </c>
      <c r="CG26" t="s">
        <v>3137</v>
      </c>
      <c r="CJ26" t="s">
        <v>554</v>
      </c>
      <c r="CK26" t="s">
        <v>84</v>
      </c>
      <c r="ID26" t="s">
        <v>3094</v>
      </c>
      <c r="IE26" t="s">
        <v>484</v>
      </c>
      <c r="LQ26">
        <v>29909</v>
      </c>
    </row>
    <row r="27" spans="1:329">
      <c r="A27">
        <v>16057</v>
      </c>
      <c r="B27" t="s">
        <v>3136</v>
      </c>
      <c r="C27" t="s">
        <v>3114</v>
      </c>
      <c r="D27" t="s">
        <v>84</v>
      </c>
      <c r="E27" s="171">
        <v>46331</v>
      </c>
      <c r="F27" s="171">
        <v>46350</v>
      </c>
      <c r="I27">
        <v>14</v>
      </c>
      <c r="J27">
        <v>14</v>
      </c>
      <c r="K27">
        <v>0</v>
      </c>
      <c r="L27">
        <v>0</v>
      </c>
      <c r="M27">
        <v>0</v>
      </c>
      <c r="N27">
        <v>0</v>
      </c>
      <c r="O27">
        <v>0</v>
      </c>
      <c r="P27">
        <v>0</v>
      </c>
      <c r="Q27">
        <v>0</v>
      </c>
      <c r="T27">
        <v>21</v>
      </c>
      <c r="U27">
        <v>63</v>
      </c>
      <c r="W27">
        <v>113</v>
      </c>
      <c r="Y27" t="s">
        <v>2408</v>
      </c>
      <c r="Z27" t="s">
        <v>633</v>
      </c>
      <c r="AA27" t="s">
        <v>3113</v>
      </c>
      <c r="AB27" t="s">
        <v>3115</v>
      </c>
      <c r="AC27" t="s">
        <v>3136</v>
      </c>
      <c r="AE27" t="s">
        <v>3137</v>
      </c>
      <c r="AF27" t="s">
        <v>84</v>
      </c>
      <c r="AG27">
        <v>3775</v>
      </c>
      <c r="AH27">
        <v>44</v>
      </c>
      <c r="AI27">
        <v>53</v>
      </c>
      <c r="AK27">
        <v>494</v>
      </c>
      <c r="AL27">
        <v>512</v>
      </c>
      <c r="AM27">
        <v>0</v>
      </c>
      <c r="AQ27">
        <v>0</v>
      </c>
      <c r="AR27">
        <v>0</v>
      </c>
      <c r="AS27">
        <v>1</v>
      </c>
      <c r="AZ27" t="s">
        <v>196</v>
      </c>
      <c r="BE27">
        <v>16057</v>
      </c>
      <c r="BF27" t="s">
        <v>3136</v>
      </c>
      <c r="BT27" t="s">
        <v>625</v>
      </c>
      <c r="BU27" t="s">
        <v>716</v>
      </c>
      <c r="BV27" t="s">
        <v>196</v>
      </c>
      <c r="CA27" t="s">
        <v>554</v>
      </c>
      <c r="CG27" t="s">
        <v>3163</v>
      </c>
      <c r="CJ27" t="s">
        <v>554</v>
      </c>
      <c r="CK27" t="s">
        <v>84</v>
      </c>
      <c r="ID27" t="s">
        <v>3114</v>
      </c>
      <c r="IE27" t="s">
        <v>84</v>
      </c>
      <c r="LQ27">
        <v>29910</v>
      </c>
    </row>
    <row r="28" spans="1:329">
      <c r="A28">
        <v>27500</v>
      </c>
      <c r="B28" t="s">
        <v>3138</v>
      </c>
      <c r="C28" t="s">
        <v>3094</v>
      </c>
      <c r="D28" t="s">
        <v>84</v>
      </c>
      <c r="E28" s="171">
        <v>46293</v>
      </c>
      <c r="F28" s="171">
        <v>46300</v>
      </c>
      <c r="I28">
        <v>6</v>
      </c>
      <c r="J28">
        <v>6</v>
      </c>
      <c r="K28">
        <v>0</v>
      </c>
      <c r="L28">
        <v>0</v>
      </c>
      <c r="M28">
        <v>0</v>
      </c>
      <c r="N28">
        <v>0</v>
      </c>
      <c r="O28">
        <v>0</v>
      </c>
      <c r="P28">
        <v>0</v>
      </c>
      <c r="Q28">
        <v>0</v>
      </c>
      <c r="T28">
        <v>22</v>
      </c>
      <c r="U28">
        <v>64</v>
      </c>
      <c r="W28">
        <v>114</v>
      </c>
      <c r="Y28" t="s">
        <v>2408</v>
      </c>
      <c r="Z28" t="s">
        <v>633</v>
      </c>
      <c r="AA28" t="s">
        <v>3105</v>
      </c>
      <c r="AB28" t="s">
        <v>1685</v>
      </c>
      <c r="AC28" t="s">
        <v>3138</v>
      </c>
      <c r="AE28" t="s">
        <v>3139</v>
      </c>
      <c r="AF28" t="s">
        <v>485</v>
      </c>
      <c r="AH28">
        <v>44</v>
      </c>
      <c r="AI28">
        <v>54</v>
      </c>
      <c r="AK28">
        <v>239</v>
      </c>
      <c r="AL28">
        <v>257</v>
      </c>
      <c r="AM28">
        <v>0</v>
      </c>
      <c r="AQ28">
        <v>0</v>
      </c>
      <c r="AR28">
        <v>0</v>
      </c>
      <c r="AS28">
        <v>1</v>
      </c>
      <c r="AZ28" t="s">
        <v>196</v>
      </c>
      <c r="BE28">
        <v>27500</v>
      </c>
      <c r="BF28" t="s">
        <v>3138</v>
      </c>
      <c r="BT28" t="s">
        <v>625</v>
      </c>
      <c r="BU28" t="s">
        <v>716</v>
      </c>
      <c r="BV28" t="s">
        <v>196</v>
      </c>
      <c r="CA28" t="s">
        <v>554</v>
      </c>
      <c r="CG28" t="s">
        <v>744</v>
      </c>
      <c r="CJ28" t="s">
        <v>554</v>
      </c>
      <c r="CK28" t="s">
        <v>84</v>
      </c>
      <c r="ID28" t="s">
        <v>3094</v>
      </c>
      <c r="IE28" t="s">
        <v>485</v>
      </c>
      <c r="LQ28">
        <v>29911</v>
      </c>
    </row>
    <row r="29" spans="1:329">
      <c r="A29">
        <v>2752066</v>
      </c>
      <c r="B29" t="s">
        <v>3140</v>
      </c>
      <c r="C29" t="s">
        <v>3093</v>
      </c>
      <c r="D29" t="s">
        <v>84</v>
      </c>
      <c r="E29" s="171">
        <v>46293</v>
      </c>
      <c r="F29" s="171">
        <v>46300</v>
      </c>
      <c r="I29">
        <v>6</v>
      </c>
      <c r="J29">
        <v>6</v>
      </c>
      <c r="K29">
        <v>0</v>
      </c>
      <c r="L29">
        <v>0</v>
      </c>
      <c r="M29">
        <v>0</v>
      </c>
      <c r="N29">
        <v>0</v>
      </c>
      <c r="O29">
        <v>0</v>
      </c>
      <c r="P29">
        <v>0</v>
      </c>
      <c r="Q29">
        <v>0</v>
      </c>
      <c r="S29">
        <v>0</v>
      </c>
      <c r="Y29" t="s">
        <v>2408</v>
      </c>
      <c r="Z29" t="s">
        <v>633</v>
      </c>
      <c r="AA29" t="s">
        <v>3105</v>
      </c>
      <c r="AC29" t="s">
        <v>3140</v>
      </c>
      <c r="AE29" t="s">
        <v>1060</v>
      </c>
      <c r="AF29" t="s">
        <v>1206</v>
      </c>
      <c r="AH29">
        <v>44</v>
      </c>
      <c r="AK29">
        <v>325</v>
      </c>
      <c r="AL29">
        <v>355</v>
      </c>
      <c r="AM29">
        <v>0</v>
      </c>
      <c r="AQ29">
        <v>0</v>
      </c>
      <c r="AR29">
        <v>0</v>
      </c>
      <c r="AS29">
        <v>1</v>
      </c>
      <c r="AZ29" t="s">
        <v>196</v>
      </c>
      <c r="BE29">
        <v>2752066</v>
      </c>
      <c r="BF29" t="s">
        <v>3140</v>
      </c>
      <c r="BT29" t="s">
        <v>625</v>
      </c>
      <c r="BU29" t="s">
        <v>716</v>
      </c>
      <c r="BV29" t="s">
        <v>196</v>
      </c>
      <c r="CA29" t="s">
        <v>554</v>
      </c>
      <c r="CG29" t="s">
        <v>2409</v>
      </c>
      <c r="CJ29" t="s">
        <v>554</v>
      </c>
      <c r="CK29" t="s">
        <v>84</v>
      </c>
      <c r="ID29" t="s">
        <v>3093</v>
      </c>
      <c r="IE29" t="s">
        <v>1206</v>
      </c>
      <c r="LQ29">
        <v>29912</v>
      </c>
    </row>
    <row r="30" spans="1:329">
      <c r="A30">
        <v>91</v>
      </c>
      <c r="B30" t="s">
        <v>2440</v>
      </c>
      <c r="C30">
        <v>3773</v>
      </c>
      <c r="D30" t="s">
        <v>85</v>
      </c>
      <c r="E30" s="171">
        <v>46293</v>
      </c>
      <c r="F30" s="171">
        <v>46305</v>
      </c>
      <c r="I30">
        <v>10</v>
      </c>
      <c r="J30">
        <v>10</v>
      </c>
      <c r="K30">
        <v>20</v>
      </c>
      <c r="L30">
        <v>0</v>
      </c>
      <c r="M30">
        <v>20</v>
      </c>
      <c r="N30">
        <v>0</v>
      </c>
      <c r="O30">
        <v>1500</v>
      </c>
      <c r="P30">
        <v>0</v>
      </c>
      <c r="Q30">
        <v>1500</v>
      </c>
      <c r="S30">
        <v>789</v>
      </c>
      <c r="T30">
        <v>8</v>
      </c>
      <c r="U30">
        <v>25</v>
      </c>
      <c r="V30" t="s">
        <v>581</v>
      </c>
      <c r="W30">
        <v>75</v>
      </c>
      <c r="Y30" t="s">
        <v>2439</v>
      </c>
      <c r="Z30" t="s">
        <v>633</v>
      </c>
      <c r="AA30" t="s">
        <v>3105</v>
      </c>
      <c r="AB30" t="s">
        <v>1685</v>
      </c>
      <c r="AC30" t="s">
        <v>3106</v>
      </c>
      <c r="AD30" t="s">
        <v>2440</v>
      </c>
      <c r="AE30" t="s">
        <v>1131</v>
      </c>
      <c r="AH30">
        <v>44</v>
      </c>
      <c r="AI30">
        <v>2</v>
      </c>
      <c r="AK30">
        <v>185</v>
      </c>
      <c r="AQ30">
        <v>0</v>
      </c>
      <c r="AR30">
        <v>0</v>
      </c>
      <c r="AS30">
        <v>1</v>
      </c>
      <c r="AZ30" t="s">
        <v>196</v>
      </c>
      <c r="BC30">
        <v>0</v>
      </c>
      <c r="BD30">
        <v>0</v>
      </c>
      <c r="BE30">
        <v>91</v>
      </c>
      <c r="BF30" t="s">
        <v>3164</v>
      </c>
      <c r="BG30" t="s">
        <v>2440</v>
      </c>
      <c r="BH30" t="s">
        <v>2198</v>
      </c>
      <c r="BI30" t="s">
        <v>2170</v>
      </c>
      <c r="BK30" t="s">
        <v>358</v>
      </c>
      <c r="BL30" t="s">
        <v>2236</v>
      </c>
      <c r="CG30" t="s">
        <v>745</v>
      </c>
      <c r="CK30" t="s">
        <v>85</v>
      </c>
      <c r="CM30">
        <v>0</v>
      </c>
      <c r="CO30">
        <v>0</v>
      </c>
      <c r="DC30" t="s">
        <v>2236</v>
      </c>
      <c r="EH30">
        <v>44</v>
      </c>
      <c r="EN30" t="s">
        <v>587</v>
      </c>
      <c r="FG30">
        <v>0</v>
      </c>
      <c r="LQ30">
        <v>29913</v>
      </c>
    </row>
    <row r="31" spans="1:329">
      <c r="A31">
        <v>92</v>
      </c>
      <c r="B31" t="s">
        <v>2444</v>
      </c>
      <c r="C31">
        <v>16054</v>
      </c>
      <c r="D31" t="s">
        <v>85</v>
      </c>
      <c r="E31" s="171">
        <v>46312</v>
      </c>
      <c r="F31" s="171">
        <v>46325</v>
      </c>
      <c r="I31">
        <v>10</v>
      </c>
      <c r="J31">
        <v>10</v>
      </c>
      <c r="K31">
        <v>8</v>
      </c>
      <c r="L31">
        <v>0</v>
      </c>
      <c r="M31">
        <v>8</v>
      </c>
      <c r="N31">
        <v>0</v>
      </c>
      <c r="O31">
        <v>800</v>
      </c>
      <c r="P31">
        <v>0</v>
      </c>
      <c r="Q31">
        <v>800</v>
      </c>
      <c r="S31">
        <v>773</v>
      </c>
      <c r="T31">
        <v>8</v>
      </c>
      <c r="U31">
        <v>10</v>
      </c>
      <c r="V31" t="s">
        <v>581</v>
      </c>
      <c r="W31">
        <v>100</v>
      </c>
      <c r="Y31" t="s">
        <v>2155</v>
      </c>
      <c r="Z31" t="s">
        <v>633</v>
      </c>
      <c r="AA31" t="s">
        <v>3105</v>
      </c>
      <c r="AB31" t="s">
        <v>1685</v>
      </c>
      <c r="AC31" t="s">
        <v>3132</v>
      </c>
      <c r="AD31" t="s">
        <v>2444</v>
      </c>
      <c r="AE31" t="s">
        <v>1126</v>
      </c>
      <c r="AH31">
        <v>44</v>
      </c>
      <c r="AI31">
        <v>0.8</v>
      </c>
      <c r="AK31">
        <v>191</v>
      </c>
      <c r="AQ31">
        <v>0</v>
      </c>
      <c r="AR31">
        <v>0</v>
      </c>
      <c r="AS31">
        <v>1</v>
      </c>
      <c r="AZ31" t="s">
        <v>196</v>
      </c>
      <c r="BC31">
        <v>0</v>
      </c>
      <c r="BD31">
        <v>0</v>
      </c>
      <c r="BE31">
        <v>92</v>
      </c>
      <c r="BF31" t="s">
        <v>3165</v>
      </c>
      <c r="BG31" t="s">
        <v>2444</v>
      </c>
      <c r="BH31" t="s">
        <v>559</v>
      </c>
      <c r="BI31" t="s">
        <v>2171</v>
      </c>
      <c r="BK31" t="s">
        <v>358</v>
      </c>
      <c r="BL31" t="s">
        <v>2233</v>
      </c>
      <c r="CG31" t="s">
        <v>1128</v>
      </c>
      <c r="CK31" t="s">
        <v>85</v>
      </c>
      <c r="CM31">
        <v>0</v>
      </c>
      <c r="CO31">
        <v>0</v>
      </c>
      <c r="DC31" t="s">
        <v>2233</v>
      </c>
      <c r="EH31">
        <v>44</v>
      </c>
      <c r="EN31" t="s">
        <v>586</v>
      </c>
      <c r="FG31">
        <v>0</v>
      </c>
      <c r="LQ31">
        <v>29914</v>
      </c>
    </row>
    <row r="32" spans="1:329">
      <c r="A32">
        <v>93</v>
      </c>
      <c r="B32" t="s">
        <v>1577</v>
      </c>
      <c r="C32">
        <v>16055</v>
      </c>
      <c r="D32" t="s">
        <v>85</v>
      </c>
      <c r="E32" s="171">
        <v>46331</v>
      </c>
      <c r="F32" s="171">
        <v>46343</v>
      </c>
      <c r="I32">
        <v>9</v>
      </c>
      <c r="J32">
        <v>9</v>
      </c>
      <c r="K32">
        <v>36</v>
      </c>
      <c r="L32">
        <v>0</v>
      </c>
      <c r="M32">
        <v>36</v>
      </c>
      <c r="N32">
        <v>0</v>
      </c>
      <c r="O32">
        <v>1800</v>
      </c>
      <c r="P32">
        <v>0</v>
      </c>
      <c r="Q32">
        <v>1800</v>
      </c>
      <c r="S32">
        <v>700</v>
      </c>
      <c r="T32">
        <v>8</v>
      </c>
      <c r="U32">
        <v>50</v>
      </c>
      <c r="V32" t="s">
        <v>581</v>
      </c>
      <c r="W32">
        <v>50</v>
      </c>
      <c r="Y32" t="s">
        <v>816</v>
      </c>
      <c r="Z32" t="s">
        <v>633</v>
      </c>
      <c r="AA32" t="s">
        <v>3105</v>
      </c>
      <c r="AB32" t="s">
        <v>1685</v>
      </c>
      <c r="AC32" t="s">
        <v>3133</v>
      </c>
      <c r="AD32" t="s">
        <v>1577</v>
      </c>
      <c r="AE32" t="s">
        <v>1120</v>
      </c>
      <c r="AH32">
        <v>44</v>
      </c>
      <c r="AI32">
        <v>4</v>
      </c>
      <c r="AK32">
        <v>197</v>
      </c>
      <c r="AQ32">
        <v>0</v>
      </c>
      <c r="AR32">
        <v>0</v>
      </c>
      <c r="AS32">
        <v>1</v>
      </c>
      <c r="AZ32" t="s">
        <v>196</v>
      </c>
      <c r="BC32">
        <v>0</v>
      </c>
      <c r="BD32">
        <v>0</v>
      </c>
      <c r="BE32">
        <v>93</v>
      </c>
      <c r="BF32" t="s">
        <v>3166</v>
      </c>
      <c r="BG32" t="s">
        <v>1577</v>
      </c>
      <c r="BH32" t="s">
        <v>2224</v>
      </c>
      <c r="BI32" t="s">
        <v>483</v>
      </c>
      <c r="BK32" t="s">
        <v>358</v>
      </c>
      <c r="BL32" t="s">
        <v>2233</v>
      </c>
      <c r="CG32" t="s">
        <v>1123</v>
      </c>
      <c r="CK32" t="s">
        <v>85</v>
      </c>
      <c r="CM32">
        <v>0</v>
      </c>
      <c r="CO32">
        <v>0</v>
      </c>
      <c r="DC32" t="s">
        <v>2233</v>
      </c>
      <c r="EH32">
        <v>44</v>
      </c>
      <c r="EN32" t="s">
        <v>584</v>
      </c>
      <c r="FG32">
        <v>0</v>
      </c>
      <c r="LQ32">
        <v>29915</v>
      </c>
    </row>
  </sheetData>
  <pageMargins left="0.78749999999999998" right="0.78749999999999998" top="1.0249999999999999" bottom="1.0249999999999999" header="0.78749999999999998" footer="0.78749999999999998"/>
  <pageSetup firstPageNumber="0" orientation="portrait" horizontalDpi="300" verticalDpi="300"/>
  <headerFooter>
    <oddHeader>&amp;C&amp;"Arial,Regular"&amp;10&amp;A</oddHead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0BE825B-C216-4186-BB8E-10DBFFDE923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2329</TotalTime>
  <Application>Microsoft Excel</Application>
  <DocSecurity>0</DocSecurity>
  <ScaleCrop>false</ScaleCrop>
  <HeadingPairs>
    <vt:vector size="4" baseType="variant">
      <vt:variant>
        <vt:lpstr>Worksheets</vt:lpstr>
      </vt:variant>
      <vt:variant>
        <vt:i4>20</vt:i4>
      </vt:variant>
      <vt:variant>
        <vt:lpstr>Named Ranges</vt:lpstr>
      </vt:variant>
      <vt:variant>
        <vt:i4>2</vt:i4>
      </vt:variant>
    </vt:vector>
  </HeadingPairs>
  <TitlesOfParts>
    <vt:vector size="22" baseType="lpstr">
      <vt:lpstr>Portfolio</vt:lpstr>
      <vt:lpstr>BulkOperations</vt:lpstr>
      <vt:lpstr>AdminPanel</vt:lpstr>
      <vt:lpstr>Timebars</vt:lpstr>
      <vt:lpstr>MetaData</vt:lpstr>
      <vt:lpstr>Documents</vt:lpstr>
      <vt:lpstr>Baseline</vt:lpstr>
      <vt:lpstr>TBMDJoined</vt:lpstr>
      <vt:lpstr>Charts</vt:lpstr>
      <vt:lpstr>Resources</vt:lpstr>
      <vt:lpstr>Schema</vt:lpstr>
      <vt:lpstr>Tags</vt:lpstr>
      <vt:lpstr>CoreReport</vt:lpstr>
      <vt:lpstr>Fields</vt:lpstr>
      <vt:lpstr>ResCalcs</vt:lpstr>
      <vt:lpstr>ResCalcs2</vt:lpstr>
      <vt:lpstr>ResCalcsUsage</vt:lpstr>
      <vt:lpstr>Bar Creator Sheet</vt:lpstr>
      <vt:lpstr>Log</vt:lpstr>
      <vt:lpstr>TEMP</vt:lpstr>
      <vt:lpstr>ExRng</vt:lpstr>
      <vt:lpstr>ImRng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jimecox</dc:creator>
  <dc:description/>
  <cp:lastModifiedBy>Jim Cox</cp:lastModifiedBy>
  <cp:revision>229</cp:revision>
  <dcterms:created xsi:type="dcterms:W3CDTF">2020-01-03T00:05:36Z</dcterms:created>
  <dcterms:modified xsi:type="dcterms:W3CDTF">2026-09-13T16:11:17Z</dcterms:modified>
  <dc:language>en-CA</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